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uocAnh\2026\01.Project\cic-erp-contract\"/>
    </mc:Choice>
  </mc:AlternateContent>
  <bookViews>
    <workbookView xWindow="0" yWindow="0" windowWidth="8325" windowHeight="115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H13" i="1"/>
  <c r="I8" i="1"/>
  <c r="F8" i="1"/>
  <c r="G8" i="1" s="1"/>
  <c r="K8" i="1" s="1"/>
  <c r="I7" i="1"/>
  <c r="C12" i="1" s="1"/>
  <c r="F7" i="1"/>
  <c r="G7" i="1" s="1"/>
  <c r="H19" i="1" l="1"/>
  <c r="H12" i="1"/>
  <c r="L7" i="1"/>
  <c r="C11" i="1"/>
  <c r="K7" i="1"/>
  <c r="C13" i="1" s="1"/>
  <c r="M8" i="1"/>
  <c r="M7" i="1" l="1"/>
  <c r="C16" i="1"/>
  <c r="C17" i="1" s="1"/>
  <c r="C18" i="1" s="1"/>
  <c r="H21" i="1"/>
  <c r="H20" i="1" s="1"/>
</calcChain>
</file>

<file path=xl/sharedStrings.xml><?xml version="1.0" encoding="utf-8"?>
<sst xmlns="http://schemas.openxmlformats.org/spreadsheetml/2006/main" count="48" uniqueCount="43">
  <si>
    <t>←</t>
  </si>
  <si>
    <t>STT</t>
  </si>
  <si>
    <t>Tên phần mềm</t>
  </si>
  <si>
    <t>Nhà cung cấp</t>
  </si>
  <si>
    <t>Số lượng</t>
  </si>
  <si>
    <t>ĐVT</t>
  </si>
  <si>
    <t>Đầu vào</t>
  </si>
  <si>
    <t>Đầu ra</t>
  </si>
  <si>
    <t>Chi phí khác</t>
  </si>
  <si>
    <t>Chênh lệch</t>
  </si>
  <si>
    <t>Đơn giá</t>
  </si>
  <si>
    <t>Thành tiền</t>
  </si>
  <si>
    <t>Nhập khẩu</t>
  </si>
  <si>
    <t>Thuế nhà thầu</t>
  </si>
  <si>
    <t>Chuyển tiền</t>
  </si>
  <si>
    <t>VNĐ</t>
  </si>
  <si>
    <t>Tổng hợp tài chính:</t>
  </si>
  <si>
    <t>Thanh toán hợp đồng:</t>
  </si>
  <si>
    <t>Giá trị</t>
  </si>
  <si>
    <t>Dự kiến tiến độ thanh toán</t>
  </si>
  <si>
    <t xml:space="preserve">Đầu vào </t>
  </si>
  <si>
    <t>Tạm ứng:</t>
  </si>
  <si>
    <t>Sản lượng</t>
  </si>
  <si>
    <t>- Tạm ứng của khách hàng</t>
  </si>
  <si>
    <t>- Tạm ứng cho nhà cung cấp</t>
  </si>
  <si>
    <t>Phí thuê chuyên gia (net)</t>
  </si>
  <si>
    <t>Phí thanh toán chứng từ</t>
  </si>
  <si>
    <t>Tổng chi phí</t>
  </si>
  <si>
    <t>Lợi nhuận</t>
  </si>
  <si>
    <t>Hệ số LN/ SL</t>
  </si>
  <si>
    <t>Thanh toán:</t>
  </si>
  <si>
    <t>- Thanh toán của khách hàng</t>
  </si>
  <si>
    <t>- Thanh toán cho nhà cung cấp</t>
  </si>
  <si>
    <t>Tổng giám đốc</t>
  </si>
  <si>
    <t>Phụ trách trung tâm</t>
  </si>
  <si>
    <t>Nguyễn Hoàng Hà</t>
  </si>
  <si>
    <t>Đinh Trần Tuấn</t>
  </si>
  <si>
    <t>Bảng phương án kinh doanh cho vv01/2026 với
Công ty TNHH Giải pháp và Công nghệ ViHoth (EU: Sumitomo Nacco Forklift)</t>
  </si>
  <si>
    <t>Phụ trách: Nguyễn Thanh Tú</t>
  </si>
  <si>
    <t>Phí nâng cấp phần mềm GstarCAD Professional – Standalone v2015 to v2026</t>
  </si>
  <si>
    <t>Gstarsoft</t>
  </si>
  <si>
    <t>Phí nâng cấp phần mềm GstarCAD Professional – Standalone v2019 to v2026</t>
  </si>
  <si>
    <t xml:space="preserve">  + Gstarsoft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</si>
</sst>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8"/>
      <name val="&quot;Times New Roman&quot;"/>
    </font>
    <font>
      <b/>
      <u/>
      <sz val="36"/>
      <color rgb="FF1155CC"/>
      <name val="Times New Roman"/>
    </font>
    <font>
      <sz val="10"/>
      <name val="Arial"/>
    </font>
    <font>
      <b/>
      <sz val="11"/>
      <name val="Times New Roman"/>
    </font>
    <font>
      <sz val="11"/>
      <name val="Times New Roman"/>
    </font>
    <font>
      <b/>
      <u/>
      <sz val="11"/>
      <name val="Times New Roma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3" fontId="5" fillId="0" borderId="6" xfId="0" applyNumberFormat="1" applyFont="1" applyBorder="1" applyAlignment="1">
      <alignment horizontal="right" vertical="center" wrapText="1"/>
    </xf>
    <xf numFmtId="3" fontId="3" fillId="0" borderId="6" xfId="0" applyNumberFormat="1" applyFont="1" applyBorder="1" applyAlignment="1">
      <alignment vertical="center" wrapText="1"/>
    </xf>
    <xf numFmtId="0" fontId="5" fillId="0" borderId="0" xfId="0" applyFont="1" applyAlignment="1">
      <alignment wrapText="1"/>
    </xf>
    <xf numFmtId="10" fontId="4" fillId="0" borderId="0" xfId="0" applyNumberFormat="1" applyFont="1" applyAlignment="1">
      <alignment horizontal="right" vertical="center" wrapText="1"/>
    </xf>
    <xf numFmtId="10" fontId="5" fillId="0" borderId="0" xfId="0" applyNumberFormat="1" applyFont="1" applyAlignment="1">
      <alignment vertical="center" wrapText="1"/>
    </xf>
    <xf numFmtId="0" fontId="0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3" fontId="4" fillId="0" borderId="0" xfId="0" applyNumberFormat="1" applyFont="1" applyAlignment="1">
      <alignment horizontal="right" vertical="center" wrapText="1"/>
    </xf>
    <xf numFmtId="3" fontId="5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3" fontId="5" fillId="0" borderId="1" xfId="0" applyNumberFormat="1" applyFont="1" applyBorder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3" fontId="5" fillId="0" borderId="1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3" fontId="5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3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3" fontId="5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4"/>
  <sheetViews>
    <sheetView tabSelected="1" workbookViewId="0">
      <selection activeCell="C7" sqref="C7:C8"/>
    </sheetView>
  </sheetViews>
  <sheetFormatPr defaultColWidth="12.7109375" defaultRowHeight="15" customHeight="1"/>
  <cols>
    <col min="1" max="1" width="4.7109375" style="11" customWidth="1"/>
    <col min="2" max="2" width="33" style="11" customWidth="1"/>
    <col min="3" max="3" width="11.28515625" style="11" customWidth="1"/>
    <col min="4" max="5" width="5.7109375" style="11" customWidth="1"/>
    <col min="6" max="9" width="12.7109375" style="11" customWidth="1"/>
    <col min="10" max="11" width="9.28515625" style="11" customWidth="1"/>
    <col min="12" max="12" width="8.85546875" style="11" customWidth="1"/>
    <col min="13" max="13" width="11.140625" style="11" customWidth="1"/>
    <col min="14" max="16384" width="12.7109375" style="11"/>
  </cols>
  <sheetData>
    <row r="1" spans="1:26" ht="45.6" customHeight="1">
      <c r="A1" s="30" t="s">
        <v>37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31" t="s">
        <v>38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>
      <c r="A5" s="32" t="s">
        <v>1</v>
      </c>
      <c r="B5" s="32" t="s">
        <v>2</v>
      </c>
      <c r="C5" s="32" t="s">
        <v>3</v>
      </c>
      <c r="D5" s="32" t="s">
        <v>4</v>
      </c>
      <c r="E5" s="32" t="s">
        <v>5</v>
      </c>
      <c r="F5" s="33" t="s">
        <v>6</v>
      </c>
      <c r="G5" s="34"/>
      <c r="H5" s="33" t="s">
        <v>7</v>
      </c>
      <c r="I5" s="34"/>
      <c r="J5" s="33" t="s">
        <v>8</v>
      </c>
      <c r="K5" s="35"/>
      <c r="L5" s="34"/>
      <c r="M5" s="32" t="s">
        <v>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>
      <c r="A6" s="20"/>
      <c r="B6" s="20"/>
      <c r="C6" s="20"/>
      <c r="D6" s="20"/>
      <c r="E6" s="20"/>
      <c r="F6" s="3" t="s">
        <v>10</v>
      </c>
      <c r="G6" s="3" t="s">
        <v>11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20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>
      <c r="A7" s="4">
        <v>1</v>
      </c>
      <c r="B7" s="5" t="s">
        <v>39</v>
      </c>
      <c r="C7" s="19" t="s">
        <v>40</v>
      </c>
      <c r="D7" s="4">
        <v>10</v>
      </c>
      <c r="E7" s="4" t="s">
        <v>15</v>
      </c>
      <c r="F7" s="6">
        <f t="shared" ref="F7:F8" si="0">229*26500</f>
        <v>6068500</v>
      </c>
      <c r="G7" s="6">
        <f t="shared" ref="G7:G8" si="1">F7*D7</f>
        <v>60685000</v>
      </c>
      <c r="H7" s="6">
        <v>10890000</v>
      </c>
      <c r="I7" s="6">
        <f t="shared" ref="I7:I8" si="2">H7*D7</f>
        <v>108900000</v>
      </c>
      <c r="J7" s="7"/>
      <c r="K7" s="16">
        <f t="shared" ref="K7:K8" si="3">G7/0.9*0.1</f>
        <v>6742777.777777778</v>
      </c>
      <c r="L7" s="21">
        <f>((G7+G8)*0.5%)+(10*26500)</f>
        <v>629110</v>
      </c>
      <c r="M7" s="6">
        <f t="shared" ref="M7:M8" si="4">I7-G7-K7-($L$7/2)</f>
        <v>41157667.222222224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>
      <c r="A8" s="4">
        <v>2</v>
      </c>
      <c r="B8" s="5" t="s">
        <v>41</v>
      </c>
      <c r="C8" s="20"/>
      <c r="D8" s="4">
        <v>2</v>
      </c>
      <c r="E8" s="4" t="s">
        <v>15</v>
      </c>
      <c r="F8" s="6">
        <f t="shared" si="0"/>
        <v>6068500</v>
      </c>
      <c r="G8" s="6">
        <f t="shared" si="1"/>
        <v>12137000</v>
      </c>
      <c r="H8" s="6">
        <v>10890000</v>
      </c>
      <c r="I8" s="6">
        <f t="shared" si="2"/>
        <v>21780000</v>
      </c>
      <c r="J8" s="7"/>
      <c r="K8" s="6">
        <f t="shared" si="3"/>
        <v>1348555.5555555557</v>
      </c>
      <c r="L8" s="20"/>
      <c r="M8" s="6">
        <f t="shared" si="4"/>
        <v>7979889.444444444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.5" customHeight="1">
      <c r="A9" s="8"/>
      <c r="B9" s="12"/>
      <c r="C9" s="12"/>
      <c r="D9" s="12"/>
      <c r="E9" s="12"/>
      <c r="F9" s="14"/>
      <c r="G9" s="14"/>
      <c r="H9" s="14"/>
      <c r="I9" s="14"/>
      <c r="J9" s="14"/>
      <c r="K9" s="14"/>
      <c r="L9" s="14"/>
      <c r="M9" s="1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8"/>
      <c r="B10" s="15" t="s">
        <v>16</v>
      </c>
      <c r="C10" s="12"/>
      <c r="D10" s="12"/>
      <c r="E10" s="23" t="s">
        <v>17</v>
      </c>
      <c r="F10" s="18"/>
      <c r="G10" s="18"/>
      <c r="H10" s="22" t="s">
        <v>18</v>
      </c>
      <c r="I10" s="18"/>
      <c r="J10" s="12"/>
      <c r="K10" s="23" t="s">
        <v>19</v>
      </c>
      <c r="L10" s="18"/>
      <c r="M10" s="1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8"/>
      <c r="B11" s="12" t="s">
        <v>20</v>
      </c>
      <c r="C11" s="13">
        <f>SUM(G7:G8)</f>
        <v>72822000</v>
      </c>
      <c r="D11" s="12"/>
      <c r="E11" s="28" t="s">
        <v>21</v>
      </c>
      <c r="F11" s="18"/>
      <c r="G11" s="18"/>
      <c r="H11" s="14"/>
      <c r="I11" s="14"/>
      <c r="J11" s="12"/>
      <c r="K11" s="12"/>
      <c r="L11" s="12"/>
      <c r="M11" s="1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8"/>
      <c r="B12" s="12" t="s">
        <v>22</v>
      </c>
      <c r="C12" s="13">
        <f>SUM(I7:I8)</f>
        <v>130680000</v>
      </c>
      <c r="D12" s="12"/>
      <c r="E12" s="24" t="s">
        <v>23</v>
      </c>
      <c r="F12" s="18"/>
      <c r="G12" s="18"/>
      <c r="H12" s="27">
        <f>C12*0%</f>
        <v>0</v>
      </c>
      <c r="I12" s="18"/>
      <c r="J12" s="12"/>
      <c r="K12" s="23"/>
      <c r="L12" s="18"/>
      <c r="M12" s="1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8"/>
      <c r="B13" s="12" t="s">
        <v>8</v>
      </c>
      <c r="C13" s="13">
        <f>SUM(J7:L8)</f>
        <v>8720443.333333334</v>
      </c>
      <c r="D13" s="12"/>
      <c r="E13" s="24" t="s">
        <v>24</v>
      </c>
      <c r="F13" s="18"/>
      <c r="G13" s="18"/>
      <c r="H13" s="27">
        <f>SUM(I14:J16)</f>
        <v>0</v>
      </c>
      <c r="I13" s="18"/>
      <c r="J13" s="12"/>
      <c r="K13" s="24"/>
      <c r="L13" s="18"/>
      <c r="M13" s="1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8"/>
      <c r="B14" s="12" t="s">
        <v>25</v>
      </c>
      <c r="C14" s="13"/>
      <c r="D14" s="12"/>
      <c r="E14" s="24" t="s">
        <v>42</v>
      </c>
      <c r="F14" s="18"/>
      <c r="G14" s="18"/>
      <c r="H14" s="27"/>
      <c r="I14" s="18"/>
      <c r="J14" s="12"/>
      <c r="K14" s="24"/>
      <c r="L14" s="18"/>
      <c r="M14" s="18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8"/>
      <c r="B15" s="12" t="s">
        <v>26</v>
      </c>
      <c r="C15" s="13">
        <f>C14/0.8*20%</f>
        <v>0</v>
      </c>
      <c r="D15" s="12"/>
      <c r="H15" s="27"/>
      <c r="I15" s="18"/>
      <c r="J15" s="12"/>
      <c r="K15" s="24"/>
      <c r="L15" s="18"/>
      <c r="M15" s="1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8"/>
      <c r="B16" s="12" t="s">
        <v>27</v>
      </c>
      <c r="C16" s="13">
        <f>C11+C13+C14+C15</f>
        <v>81542443.333333328</v>
      </c>
      <c r="D16" s="12"/>
      <c r="E16" s="26"/>
      <c r="F16" s="18"/>
      <c r="G16" s="18"/>
      <c r="H16" s="29"/>
      <c r="I16" s="18"/>
      <c r="J16" s="12"/>
      <c r="K16" s="24"/>
      <c r="L16" s="18"/>
      <c r="M16" s="1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8"/>
      <c r="B17" s="12" t="s">
        <v>28</v>
      </c>
      <c r="C17" s="13">
        <f>C12-C16</f>
        <v>49137556.666666672</v>
      </c>
      <c r="D17" s="12"/>
      <c r="E17" s="24"/>
      <c r="F17" s="18"/>
      <c r="G17" s="18"/>
      <c r="H17" s="24"/>
      <c r="I17" s="18"/>
      <c r="J17" s="12"/>
      <c r="K17" s="24"/>
      <c r="L17" s="18"/>
      <c r="M17" s="1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8"/>
      <c r="B18" s="12" t="s">
        <v>29</v>
      </c>
      <c r="C18" s="9">
        <f>C17/C12</f>
        <v>0.37601436077951234</v>
      </c>
      <c r="D18" s="12"/>
      <c r="E18" s="28" t="s">
        <v>30</v>
      </c>
      <c r="F18" s="18"/>
      <c r="G18" s="18"/>
      <c r="H18" s="24"/>
      <c r="I18" s="18"/>
      <c r="J18" s="12"/>
      <c r="K18" s="24"/>
      <c r="L18" s="18"/>
      <c r="M18" s="1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8"/>
      <c r="B19" s="12"/>
      <c r="C19" s="14"/>
      <c r="D19" s="12"/>
      <c r="E19" s="24" t="s">
        <v>31</v>
      </c>
      <c r="F19" s="18"/>
      <c r="G19" s="18"/>
      <c r="H19" s="27">
        <f>C12-H12</f>
        <v>130680000</v>
      </c>
      <c r="I19" s="18"/>
      <c r="J19" s="12"/>
      <c r="K19" s="24"/>
      <c r="L19" s="18"/>
      <c r="M19" s="18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8"/>
      <c r="B20" s="24"/>
      <c r="C20" s="18"/>
      <c r="D20" s="12"/>
      <c r="E20" s="24" t="s">
        <v>32</v>
      </c>
      <c r="F20" s="18"/>
      <c r="G20" s="18"/>
      <c r="H20" s="27">
        <f>H21+H22</f>
        <v>72822000</v>
      </c>
      <c r="I20" s="18"/>
      <c r="J20" s="12"/>
      <c r="K20" s="24"/>
      <c r="L20" s="18"/>
      <c r="M20" s="1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8"/>
      <c r="B21" s="12"/>
      <c r="C21" s="12"/>
      <c r="D21" s="12"/>
      <c r="E21" s="24" t="s">
        <v>42</v>
      </c>
      <c r="F21" s="18"/>
      <c r="G21" s="18"/>
      <c r="H21" s="25">
        <f>C11</f>
        <v>72822000</v>
      </c>
      <c r="I21" s="18"/>
      <c r="J21" s="12"/>
      <c r="K21" s="24"/>
      <c r="L21" s="18"/>
      <c r="M21" s="1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8"/>
      <c r="B22" s="12"/>
      <c r="C22" s="10"/>
      <c r="D22" s="12"/>
      <c r="H22" s="25"/>
      <c r="I22" s="18"/>
      <c r="J22" s="12"/>
      <c r="K22" s="24"/>
      <c r="L22" s="18"/>
      <c r="M22" s="1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8"/>
      <c r="B23" s="12"/>
      <c r="C23" s="12"/>
      <c r="D23" s="12"/>
      <c r="E23" s="26"/>
      <c r="F23" s="18"/>
      <c r="G23" s="18"/>
      <c r="H23" s="25"/>
      <c r="I23" s="18"/>
      <c r="J23" s="12"/>
      <c r="K23" s="12"/>
      <c r="L23" s="12"/>
      <c r="M23" s="1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8"/>
      <c r="B24" s="12"/>
      <c r="C24" s="10"/>
      <c r="D24" s="12"/>
      <c r="E24" s="24"/>
      <c r="F24" s="18"/>
      <c r="G24" s="18"/>
      <c r="H24" s="24"/>
      <c r="I24" s="18"/>
      <c r="J24" s="12"/>
      <c r="K24" s="12"/>
      <c r="L24" s="12"/>
      <c r="M24" s="1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8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8"/>
      <c r="B26" s="12"/>
      <c r="C26" s="17" t="s">
        <v>33</v>
      </c>
      <c r="D26" s="18"/>
      <c r="E26" s="18"/>
      <c r="F26" s="12"/>
      <c r="G26" s="12"/>
      <c r="H26" s="12"/>
      <c r="I26" s="17" t="s">
        <v>34</v>
      </c>
      <c r="J26" s="18"/>
      <c r="K26" s="18"/>
      <c r="L26" s="12"/>
      <c r="M26" s="1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8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8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8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8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8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8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8"/>
      <c r="B33" s="12"/>
      <c r="C33" s="17" t="s">
        <v>35</v>
      </c>
      <c r="D33" s="18"/>
      <c r="E33" s="18"/>
      <c r="F33" s="12"/>
      <c r="G33" s="12"/>
      <c r="H33" s="12"/>
      <c r="I33" s="17" t="s">
        <v>36</v>
      </c>
      <c r="J33" s="18"/>
      <c r="K33" s="18"/>
      <c r="L33" s="12"/>
      <c r="M33" s="1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8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2.75" customHeight="1"/>
    <row r="1004" spans="1:26" ht="12.75" customHeight="1"/>
  </sheetData>
  <mergeCells count="57">
    <mergeCell ref="A1:M1"/>
    <mergeCell ref="A3:M3"/>
    <mergeCell ref="A5:A6"/>
    <mergeCell ref="B5:B6"/>
    <mergeCell ref="C5:C6"/>
    <mergeCell ref="D5:D6"/>
    <mergeCell ref="E5:E6"/>
    <mergeCell ref="F5:G5"/>
    <mergeCell ref="H5:I5"/>
    <mergeCell ref="J5:L5"/>
    <mergeCell ref="M5:M6"/>
    <mergeCell ref="E10:G10"/>
    <mergeCell ref="E12:G12"/>
    <mergeCell ref="H12:I12"/>
    <mergeCell ref="K12:M12"/>
    <mergeCell ref="E11:G11"/>
    <mergeCell ref="E13:G13"/>
    <mergeCell ref="H13:I13"/>
    <mergeCell ref="K13:M13"/>
    <mergeCell ref="E14:G14"/>
    <mergeCell ref="H14:I14"/>
    <mergeCell ref="K14:M14"/>
    <mergeCell ref="H15:I15"/>
    <mergeCell ref="K15:M15"/>
    <mergeCell ref="E16:G16"/>
    <mergeCell ref="H16:I16"/>
    <mergeCell ref="K16:M16"/>
    <mergeCell ref="E17:G17"/>
    <mergeCell ref="H17:I17"/>
    <mergeCell ref="K17:M17"/>
    <mergeCell ref="E18:G18"/>
    <mergeCell ref="H18:I18"/>
    <mergeCell ref="K18:M18"/>
    <mergeCell ref="C26:E26"/>
    <mergeCell ref="I26:K26"/>
    <mergeCell ref="E19:G19"/>
    <mergeCell ref="H19:I19"/>
    <mergeCell ref="K19:M19"/>
    <mergeCell ref="E20:G20"/>
    <mergeCell ref="H20:I20"/>
    <mergeCell ref="K20:M20"/>
    <mergeCell ref="C33:E33"/>
    <mergeCell ref="I33:K33"/>
    <mergeCell ref="C7:C8"/>
    <mergeCell ref="L7:L8"/>
    <mergeCell ref="H10:I10"/>
    <mergeCell ref="K10:M10"/>
    <mergeCell ref="B20:C20"/>
    <mergeCell ref="E21:G21"/>
    <mergeCell ref="H21:I21"/>
    <mergeCell ref="K21:M21"/>
    <mergeCell ref="H22:I22"/>
    <mergeCell ref="E23:G23"/>
    <mergeCell ref="H23:I23"/>
    <mergeCell ref="K22:M22"/>
    <mergeCell ref="E24:G24"/>
    <mergeCell ref="H24:I24"/>
  </mergeCells>
  <hyperlinks>
    <hyperlink ref="N1" location="'Theo dõi hợp đồng'!A1" display="←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2026-02-12T01:32:05Z</dcterms:created>
  <dcterms:modified xsi:type="dcterms:W3CDTF">2026-02-27T02:55:00Z</dcterms:modified>
</cp:coreProperties>
</file>