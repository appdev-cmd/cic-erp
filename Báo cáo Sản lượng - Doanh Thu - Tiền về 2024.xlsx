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ản lượng ký kết" sheetId="1" r:id="rId4"/>
    <sheet state="visible" name="Tổng hợp Doanh thu" sheetId="2" r:id="rId5"/>
    <sheet state="visible" name="Lợi nhuận gộp quản trị" sheetId="3" r:id="rId6"/>
    <sheet state="visible" name="Lợi nhuận gộp theo DT" sheetId="4" r:id="rId7"/>
    <sheet state="visible" name="Tổng hợp Tiền về" sheetId="5" r:id="rId8"/>
    <sheet state="visible" name="Thống kê danh sách các hợp đồng" sheetId="6" r:id="rId9"/>
  </sheets>
  <definedNames/>
  <calcPr/>
</workbook>
</file>

<file path=xl/sharedStrings.xml><?xml version="1.0" encoding="utf-8"?>
<sst xmlns="http://schemas.openxmlformats.org/spreadsheetml/2006/main" count="2646" uniqueCount="1889">
  <si>
    <t>BẢNG TỔNG HỢP SẢN LƯỢNG KÝ KẾT TỪ 01/01/2024 đến 03/03/2026</t>
  </si>
  <si>
    <t>STT</t>
  </si>
  <si>
    <t>Nội dung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</si>
  <si>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</si>
  <si>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</si>
  <si>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</si>
  <si>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</si>
  <si>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</si>
  <si>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</si>
  <si>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</si>
  <si>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</si>
  <si>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</si>
  <si>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</si>
  <si>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</si>
  <si>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</si>
  <si>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tháng</t>
  </si>
  <si>
    <t>Kế hoạch năm</t>
  </si>
  <si>
    <t>Tỷ lệ % hoàn thành KH</t>
  </si>
  <si>
    <t>I</t>
  </si>
  <si>
    <t>Phần mềm xây dựng</t>
  </si>
  <si>
    <t>II</t>
  </si>
  <si>
    <t>Phần mềm XD Nhập khẩu</t>
  </si>
  <si>
    <t>III</t>
  </si>
  <si>
    <t>VI</t>
  </si>
  <si>
    <t>V</t>
  </si>
  <si>
    <t>VII</t>
  </si>
  <si>
    <t>VIII</t>
  </si>
  <si>
    <t>IX</t>
  </si>
  <si>
    <t>Tổng chung toàn CT</t>
  </si>
  <si>
    <t>CIC Hà Nội</t>
  </si>
  <si>
    <t>CIC Hồ Chí Minh</t>
  </si>
  <si>
    <t>Toàn công ty 2023</t>
  </si>
  <si>
    <t>So sánh 2024/2023</t>
  </si>
  <si>
    <t>SS cùng kỳ năm ngoái</t>
  </si>
  <si>
    <t>Kế hoạch #</t>
  </si>
  <si>
    <t>BẢNG TỔNG HỢP DOANH THU TỪ 01/01/2024 đến 03/03/2026</t>
  </si>
  <si>
    <t>BẢNG TỔNG HỢP LỢI NHUẬN GỘP QUẢN TRỊ TỪ 01/01/2024 đến 03/03/2026</t>
  </si>
  <si>
    <t xml:space="preserve">Kế hoạch năm </t>
  </si>
  <si>
    <t>BẢNG TỔNG HỢP LỢI NHUẬN GỘP THEO DT TỪ 01/01/2024 đến 03/03/2026</t>
  </si>
  <si>
    <t>BẢNG TỔNG HỢP TIỀN VỀ TỪ 01/01/2024 đến 03/03/2026</t>
  </si>
  <si>
    <t>Số hợp đồng</t>
  </si>
  <si>
    <t>Nội dung hợp đồng</t>
  </si>
  <si>
    <t>Khách hàng</t>
  </si>
  <si>
    <t>Ngày ký</t>
  </si>
  <si>
    <t>Ngày ghi DT</t>
  </si>
  <si>
    <t>Ký kết</t>
  </si>
  <si>
    <t>Doanh thu</t>
  </si>
  <si>
    <t>Lợi nhuận gộp</t>
  </si>
  <si>
    <t>Tiền về</t>
  </si>
  <si>
    <t>Tỷ suất LN/DT</t>
  </si>
  <si>
    <t>Trung tâm Phần mềm Xây dựng</t>
  </si>
  <si>
    <t>VV01</t>
  </si>
  <si>
    <t>KIW</t>
  </si>
  <si>
    <t>Công ty Cổ phần xây dựng Đức Anh</t>
  </si>
  <si>
    <t>vv02/2024</t>
  </si>
  <si>
    <t>Escon 15</t>
  </si>
  <si>
    <t>Công Ty TNHH Phát Triển Xây Dựng Hoàng Thắng</t>
  </si>
  <si>
    <t>vv03/2024</t>
  </si>
  <si>
    <t>RDW</t>
  </si>
  <si>
    <t>Công ty TNHH tư vấn thiết kế xây dựng Ngân Phát – Gia Lai</t>
  </si>
  <si>
    <t>MBW</t>
  </si>
  <si>
    <t>vv54/2023</t>
  </si>
  <si>
    <t>SUMAC</t>
  </si>
  <si>
    <t>Trần Tuyến</t>
  </si>
  <si>
    <t>vv55/2024</t>
  </si>
  <si>
    <t>Nguyễn Danh Kiên</t>
  </si>
  <si>
    <t>vv04/2024</t>
  </si>
  <si>
    <t>Công ty Cổ phần Thương Mại và Xây dựng nhà ở Đô Thị Lào Cai</t>
  </si>
  <si>
    <t>vv05</t>
  </si>
  <si>
    <t>Stcad</t>
  </si>
  <si>
    <t>Vi Hồng Mạnh</t>
  </si>
  <si>
    <t>VV06</t>
  </si>
  <si>
    <t>Anh Viễn</t>
  </si>
  <si>
    <t>VV07</t>
  </si>
  <si>
    <t>Công ty TNHH MTV An thuận Phát</t>
  </si>
  <si>
    <t>vv08/2024</t>
  </si>
  <si>
    <t>CÔNG TY CP ĐẦU TƯ XD VÀ TM TRIVICO HÀ NỘI</t>
  </si>
  <si>
    <t>vv09/2024</t>
  </si>
  <si>
    <t>cty tnhh An hội Kon Tum</t>
  </si>
  <si>
    <t>vv10/2024</t>
  </si>
  <si>
    <t>Trần Thị Kim Thanh</t>
  </si>
  <si>
    <t>VV11</t>
  </si>
  <si>
    <t>Chi nhánh phát điện dầu khí - tập đoàn dầu khí Việt Nam</t>
  </si>
  <si>
    <t>vv12/2024</t>
  </si>
  <si>
    <t>CÔNG TY TNHH TAISEI ROTEC VIỆT NAM</t>
  </si>
  <si>
    <t>vv13/2024</t>
  </si>
  <si>
    <t>Nguyễn Thị Hoa</t>
  </si>
  <si>
    <t>vv14/2024</t>
  </si>
  <si>
    <t>Công ty cổ phần đầu tư và xây dựng VINACOM</t>
  </si>
  <si>
    <t>vv15</t>
  </si>
  <si>
    <t>Công ty TNHH Tư vấn Kiến trúc xây dựng ADD Phú Thọ</t>
  </si>
  <si>
    <t>vv16</t>
  </si>
  <si>
    <t>Trung tâm Giám định chất lượng xây dựng tỉnh Lào Cai</t>
  </si>
  <si>
    <t>vv17/2024</t>
  </si>
  <si>
    <t>CÔNG TY TNHH 1TV KỸ THUẬT TÀI NGUYÊN VÀ MÔI TRƯỜNG</t>
  </si>
  <si>
    <t>vv18/2024</t>
  </si>
  <si>
    <t>Công ty TNHH Xây dựng và Thương mại dịch vụ Thuận An</t>
  </si>
  <si>
    <t>vv19/2024</t>
  </si>
  <si>
    <t>Công ty TNHH Thương mại và phát triển Xây dựng Hà thành</t>
  </si>
  <si>
    <t>vv20/2024</t>
  </si>
  <si>
    <t>Công ty CP tư vấn Xây dựng và dịch vụ kỹ thuật 68</t>
  </si>
  <si>
    <t>vv21/2024</t>
  </si>
  <si>
    <t>CÔNG TY CỔ PHẦN TƯ VẤN VÀ DỊCH VỤ VIETTEL</t>
  </si>
  <si>
    <t>vv22</t>
  </si>
  <si>
    <t>CÔNG TY TNHH TƯ VẤN THIẾT KẾ ĐO ĐẠC ĐẠI THÀNH</t>
  </si>
  <si>
    <t>HĐ01/SXDNB-CIC</t>
  </si>
  <si>
    <t>Lập đơn giá</t>
  </si>
  <si>
    <t>Tư vấn lập Chỉ số giá xây dựng, Đơn giá nhân công xây dựng, Bảng giá ca máy và thiết bị trên địa bàn tỉnh Ninh Bình năm 2024</t>
  </si>
  <si>
    <t>VV23</t>
  </si>
  <si>
    <t>Trung tâm giám định CLXD tỉnh lào cai</t>
  </si>
  <si>
    <t>HĐ02/SXDTN-CIC</t>
  </si>
  <si>
    <t>Tính toán công bố Chỉ số giá xây dựng tỉnh Thái Nguyên năm 2024</t>
  </si>
  <si>
    <t>HĐ03/SXDBK-CIC</t>
  </si>
  <si>
    <t>Xác định chỉ số giá xây dựng năm 2024 trên địa bàn tỉnh Bắc Kạn</t>
  </si>
  <si>
    <t>vv24</t>
  </si>
  <si>
    <t>CÔNG TY TNHH ĐẦU TƯ XÂY DỰNG MEC VIỆT NAM</t>
  </si>
  <si>
    <t>vv25/2024</t>
  </si>
  <si>
    <t>Công Ty Cổ Phần Công Nghiệp XD 204</t>
  </si>
  <si>
    <t>HĐ04/SXDTN-CIC</t>
  </si>
  <si>
    <t>Xây dựng bộ đơn giá Dịch vụ công ích đô thị trên địa bàn tỉnh Thái Nguyên</t>
  </si>
  <si>
    <t>HĐ05/SXDNB-CIC_MCUS</t>
  </si>
  <si>
    <t>Lập Bộ đơn giá nhà cửa, vật kiến trúc trên địa bàn tỉnh Ninh Bình</t>
  </si>
  <si>
    <t>HĐ06/SXDSL-CIC</t>
  </si>
  <si>
    <t>Lập đơn giá  nhân công xây dựng;  đơn giá ca máy, thiết bị thi công  xây dựng  và đơn giá xây dựng công trình trên địa bàn tỉnh Sơn La</t>
  </si>
  <si>
    <t>vv26</t>
  </si>
  <si>
    <t>vv27</t>
  </si>
  <si>
    <t>Đỗ Quang Khanh</t>
  </si>
  <si>
    <t>vv28</t>
  </si>
  <si>
    <t>Trung tâm dịch vụ khu kinh tế Lào Cai</t>
  </si>
  <si>
    <t>vv29/2024</t>
  </si>
  <si>
    <t>Chi Nhánh Công Ty Cp Cấp Nước Tỉnh Lào Cai Huyện Bát Xát</t>
  </si>
  <si>
    <t>HD07/PMXD2024</t>
  </si>
  <si>
    <t>Công Ty Cổ Phần Cấp Nước Tỉnh Lào Cai</t>
  </si>
  <si>
    <t>vv30/2024</t>
  </si>
  <si>
    <t>Công ty cổ phần tư vấn đầu tư xây dựng công trình công nghiệp và đô thị</t>
  </si>
  <si>
    <t>vv31/2024</t>
  </si>
  <si>
    <t>Vinasas</t>
  </si>
  <si>
    <t>Công ty CP tư vấn đầu tư xây dựng công trình công nghiệp và đô thị</t>
  </si>
  <si>
    <t>vv32/2024 (HD08)</t>
  </si>
  <si>
    <t>Công ty cổ phần đầu tư và xây dựng Mộc Châu</t>
  </si>
  <si>
    <t>VV33/2024</t>
  </si>
  <si>
    <t>Công ty cổ phần tư vấn đầu tư Á Châu</t>
  </si>
  <si>
    <t>vv34/2024</t>
  </si>
  <si>
    <t>Công ty TNHH An đạt thịnh</t>
  </si>
  <si>
    <t>vv35</t>
  </si>
  <si>
    <t>vv36/2024</t>
  </si>
  <si>
    <t>Công ty TNHH MTV Đầu tư và Xây dựng 57</t>
  </si>
  <si>
    <t>vv37/2024</t>
  </si>
  <si>
    <t>Công ty TNHH Khoáng sản và Luyện kim Việt Trung</t>
  </si>
  <si>
    <t>HĐ 10/SXDNB-CIC</t>
  </si>
  <si>
    <t>Lập Bộ đơn giá xây dựng công trình trên địa bàn tỉnh Ninh Bình</t>
  </si>
  <si>
    <t>vv38/2024</t>
  </si>
  <si>
    <t>Công ty TNHH MTV Xây dựng Minh Phúc</t>
  </si>
  <si>
    <t>vv39/2024</t>
  </si>
  <si>
    <t>Công ty cổ phần xây dựng tỉnh Lào Cai</t>
  </si>
  <si>
    <t>vv40/2024</t>
  </si>
  <si>
    <t>Công ty TNHH MTV Apatit Việt Nam</t>
  </si>
  <si>
    <t>vv41/2024</t>
  </si>
  <si>
    <t>Công ty TNHH MTV tư vấn xây dựng Thảo Bình.</t>
  </si>
  <si>
    <t>vv42/2024 (HD09/PMXD)</t>
  </si>
  <si>
    <t>VIỆN KIẾN TRÚC QUY HOẠCH XÂY DỰNG TỈNH LÀO CAI</t>
  </si>
  <si>
    <t>vv43/2024</t>
  </si>
  <si>
    <t>Công ty TNHH MTV Sản xuất thương mại VLXD Đại Phúc</t>
  </si>
  <si>
    <t>vv44/2024</t>
  </si>
  <si>
    <t>CÔNG TY CỔ PHẦN PHÁT TRIỂN ACI VIỆT NAM</t>
  </si>
  <si>
    <t>VV45</t>
  </si>
  <si>
    <t>CÔNG TY TNHH MỘT THÀNH VIÊN TƯ VẤN XÂY DỰNG 538</t>
  </si>
  <si>
    <t>vv46/2024</t>
  </si>
  <si>
    <t>Công ty Cổ Phần Giám định Năng Lượng Việt Nam</t>
  </si>
  <si>
    <t>HD10</t>
  </si>
  <si>
    <t>VV47</t>
  </si>
  <si>
    <t>Đinh Văn Nam</t>
  </si>
  <si>
    <t>vv48/2024</t>
  </si>
  <si>
    <t>vv49/2024</t>
  </si>
  <si>
    <t>Công ty TNHH Kiến trúc và Xây dựng A.D.C</t>
  </si>
  <si>
    <t>vv50/2024</t>
  </si>
  <si>
    <t>Công ty Thành Đạt</t>
  </si>
  <si>
    <t>Chi nhánh - Phần mềm trong nước</t>
  </si>
  <si>
    <t>VV01/T01/CICHCM2024</t>
  </si>
  <si>
    <t>Bảo Trì PM SUMAC</t>
  </si>
  <si>
    <t>NGUYỄN ĐÌNH MINH</t>
  </si>
  <si>
    <t>VV02/T01/CICHCM2024</t>
  </si>
  <si>
    <t>ESCON - OLI - 12 Tháng</t>
  </si>
  <si>
    <t>CÔNG TY TNHH TƯ VẤN THIẾT KẾ VÀ XÂY DỰNG HUY HOÀNG</t>
  </si>
  <si>
    <t>VV01/T02/CICHCM2024</t>
  </si>
  <si>
    <t>VINASAS - Vĩnh Viễn</t>
  </si>
  <si>
    <t>BÙI THỊNH LUẬT</t>
  </si>
  <si>
    <t>VV02/T02/CICHCM2024</t>
  </si>
  <si>
    <t>NC ESCON - 12 Tháng</t>
  </si>
  <si>
    <t>HỒ XUÂN NAM</t>
  </si>
  <si>
    <t>VV01/T03/CICHCM2024</t>
  </si>
  <si>
    <t>MDW - Vĩnh Viễn</t>
  </si>
  <si>
    <t>VV02/T03/CICHCM2024</t>
  </si>
  <si>
    <t>KIW - 12 Tháng</t>
  </si>
  <si>
    <t>CÔNG TY CỔ PHẦN ĐẦU TƯ XÂY DỰNG BÀN THẠCH</t>
  </si>
  <si>
    <t>VV03/T03/CICHCM2024</t>
  </si>
  <si>
    <t>CÔNG TY TNHH TƯ VẤN XÂY DỰNG TRUNG NAM</t>
  </si>
  <si>
    <t>VV04/T03/CICHCM2024</t>
  </si>
  <si>
    <t>DƯƠNG CHÍ TÀI</t>
  </si>
  <si>
    <t>VV01/T04/CICHCM2024</t>
  </si>
  <si>
    <t>ESCON - 300 CÔNG TÁC</t>
  </si>
  <si>
    <t>PHÙNG GIA KHÁNH</t>
  </si>
  <si>
    <t>VV02/T04/CICHCM2024</t>
  </si>
  <si>
    <t>ESCON - VĨNH VIỄN</t>
  </si>
  <si>
    <t>CÔNG TY TNHH XÂY DỰNG VÀ DỊCH VỤ THƯƠNG MẠI PST</t>
  </si>
  <si>
    <t>VV03/T04/CICHCM2024</t>
  </si>
  <si>
    <t>CÔNG TY CỔ PHẦN TƯ VẤN VÀ XÂY DỰNG STC</t>
  </si>
  <si>
    <t>VV04/T04/CICHCM2024</t>
  </si>
  <si>
    <t>SUMAC - 12 Tháng</t>
  </si>
  <si>
    <t>LÊ VĂN HIỆP</t>
  </si>
  <si>
    <t>VV01/T05/CICHCM2024</t>
  </si>
  <si>
    <t>EESCON - PRO - 24 Tháng</t>
  </si>
  <si>
    <t>CÔNG TY TNHH MTV CƯỜNG PHÁT</t>
  </si>
  <si>
    <t>VV02/T05/CICHCM2024</t>
  </si>
  <si>
    <t>CÔNG TY TNHH XÂY DỰNG DIB</t>
  </si>
  <si>
    <t>VV03/T05/CICHCM2024</t>
  </si>
  <si>
    <t>ESCON - 300 CÔNG TÁC - Sử dụng vĩnh viễn</t>
  </si>
  <si>
    <t>CÔNG TY TNHH TƯ VẤN XÂY DỰNG VÀ MÔI TRƯỜNG ĐỒNG TIẾN</t>
  </si>
  <si>
    <t>VV04/T05/CICHCM2024</t>
  </si>
  <si>
    <t>Gia Hạn PM SUMAC - Vĩnh viễn</t>
  </si>
  <si>
    <t>TRỊNH XUÂN BẮC</t>
  </si>
  <si>
    <t>VV05/T05/CICHCM2024</t>
  </si>
  <si>
    <t>ESCON - 300 CÔNG TÁC - Sử dụng vĩnh viễn - Bảo hành nâng cấp cập nhật 24 tháng</t>
  </si>
  <si>
    <t>TRẦN QUỐC THỊNH</t>
  </si>
  <si>
    <t>VV01/T06/CICHCM2024</t>
  </si>
  <si>
    <t>HỒ MINH NHỰT</t>
  </si>
  <si>
    <t>VV02/T06/CICHCM2024</t>
  </si>
  <si>
    <t>SUMAC - Vĩnh viễn</t>
  </si>
  <si>
    <t>CÔNG TY TNHH ĐẠI MINH QUÂN</t>
  </si>
  <si>
    <t>93/CICHCM2024</t>
  </si>
  <si>
    <t>CÔNG TY CỔ PHẦN CẤP THOÁT NƯỚC LÂM ĐỒNG</t>
  </si>
  <si>
    <t>99/CICHCM2024</t>
  </si>
  <si>
    <t>ESCON - 24 Tháng</t>
  </si>
  <si>
    <t>CÔNG TY TNHH TƯ VẤN VÀ XÂY DỰNG V-HOME</t>
  </si>
  <si>
    <t>VV03/T06/CICHCM2024</t>
  </si>
  <si>
    <t>CICTKT</t>
  </si>
  <si>
    <t>NGUYỄN HUY PHƯƠNG</t>
  </si>
  <si>
    <t>VV04/T06/CICHCM2024</t>
  </si>
  <si>
    <t>CÔNG TY CỔ PHẦN ĐẦU TƯ XÂY DỰNG THIÊN LONG</t>
  </si>
  <si>
    <t>VV05/T06/CICHCM2024</t>
  </si>
  <si>
    <t>ESCON - 12 Tháng</t>
  </si>
  <si>
    <t>CÔNG TY TNHH K-HOME DESIGN</t>
  </si>
  <si>
    <t>123/CICHCM2024</t>
  </si>
  <si>
    <t>CÔNG TY CỔ PHẦN KIỂM ĐỊNH XÂY DỰNG - THIẾT KẾ ĐÔ THỊ XANH</t>
  </si>
  <si>
    <t>VV01/T07/CICHCM2024</t>
  </si>
  <si>
    <t>SUNMAC - Nâng Cấp</t>
  </si>
  <si>
    <t>CÔNG TY TNHH KBEC VINA</t>
  </si>
  <si>
    <t>VV02/T07/CICHCM2024</t>
  </si>
  <si>
    <t>CÔNG TY CỔ PHẦN GIÁM ĐỊNH NĂNG LƯỢNG VIỆT NAM – CHI NHÁNH TÂY NAM BỘ</t>
  </si>
  <si>
    <t>VV03/T07/CICHCM2024</t>
  </si>
  <si>
    <t>ESCON - Vĩnh viễn</t>
  </si>
  <si>
    <t>CÔNG TY CỔ PHẦN ĐẦU TƯ PHÁT TRIỂN HẠ TẦNG IDICO</t>
  </si>
  <si>
    <t>VV04/T07/CICHCM2024</t>
  </si>
  <si>
    <t>CÔNG TY TNHH MỘT THÀNH VIÊN THƯƠNG MẠI XÂY DỰNG THUẬN HƯNG</t>
  </si>
  <si>
    <t>VV01/T08/CICHCM2024</t>
  </si>
  <si>
    <t>CN CÔNG TY CP THIẾT KẾ CÔNG NGHIỆP HÓA CHẤT</t>
  </si>
  <si>
    <t>VV01/T09/CICHCM2024</t>
  </si>
  <si>
    <t>CÔNG TY CỔ PHẦN GIÁM ĐỊNH NĂNG LƯỢNG VIỆT NAM</t>
  </si>
  <si>
    <t>157/CICHCM2024</t>
  </si>
  <si>
    <t>ESCON - PRO</t>
  </si>
  <si>
    <t>CÔNG TY CỔ PHẦN ĐẦU TƯ DU LỊCH BIỂN NAM HÙNG - CAM RANH</t>
  </si>
  <si>
    <t>VV02/T09/CICHCM2024</t>
  </si>
  <si>
    <t>SUNMAC - 12 tháng</t>
  </si>
  <si>
    <t>CÔNG TY TNHH XÂY DỰNG - THƯƠNG MẠI HÂN HẢI DƯƠNG</t>
  </si>
  <si>
    <t>VV03/T09/CICHCM2024</t>
  </si>
  <si>
    <t>CÔNG TY TNHH TƯ VẤN THIẾT KẾ XÂY DỰNG SƠN THÁI</t>
  </si>
  <si>
    <t>VV04/T09/CICHCM2024</t>
  </si>
  <si>
    <t>Đổi khóa Cứng ESCON (Hardlock ID: 5E8EA89F)</t>
  </si>
  <si>
    <t>CÔNG TY CỔ PHẦN TƯ VẤN THIẾT KẾ &amp; XÂY DỰNG SỐ 1 CHI NHÁNH BẠC LIÊU</t>
  </si>
  <si>
    <t>VV01/T10/CICHCM2024</t>
  </si>
  <si>
    <t>CÔNG TY TNHH TƯ VẤN - DỊCH VỤ - XÂY DỰNG A+</t>
  </si>
  <si>
    <t>VV01/T12/CICHCM2024</t>
  </si>
  <si>
    <t>ESCON - Pro (24 tháng)</t>
  </si>
  <si>
    <t>CÔNG TY CỔ PHẦN ĐẦU TƯ XÂY DỰNG VÀ KỸ THUẬT MÔI TRƯỜNG THỦY SIÊU</t>
  </si>
  <si>
    <t>VV02/T12/CICHCM2024</t>
  </si>
  <si>
    <t>Escon-OLI</t>
  </si>
  <si>
    <t>BÙI TẤN PHÁT</t>
  </si>
  <si>
    <t>DCS - Phân phối PM Xây dựng</t>
  </si>
  <si>
    <t>03/PPXD-CICHĐ2024</t>
  </si>
  <si>
    <t>enjiCAD</t>
  </si>
  <si>
    <t>CÔNG TY CỔ PHẦN TƯ VẤN KIẾN TRÚC KỸ THUẬT VÀ XÂY DỰNG AAC</t>
  </si>
  <si>
    <t>01/PPXD-CICHĐ2024</t>
  </si>
  <si>
    <t>CSI</t>
  </si>
  <si>
    <t>CÔNG TY CỔ PHẦN XÂY DỰNG PHỤC HƯNG HOLDINGS</t>
  </si>
  <si>
    <t>02/PPXD-CICHĐ2024</t>
  </si>
  <si>
    <t>Allplan</t>
  </si>
  <si>
    <t>CÔNG TY CP TƯ VẤN ĐẦU TƯ XÂY DỰNG VÀ PHÁT TRIỂN CÔNG NGHỆ (TDIC)</t>
  </si>
  <si>
    <t>04/PPXD-CICHĐ2024</t>
  </si>
  <si>
    <t>CSI, enjiCAD, Adobe</t>
  </si>
  <si>
    <t>CÔNG TY TNHH DỊCH VỤ THƯƠNG MẠI VÀ CÔNG NGHỆ Q&amp;H (EU: Sungroup)</t>
  </si>
  <si>
    <t>07/PPXD-CICHĐ2024</t>
  </si>
  <si>
    <t>Autodesk</t>
  </si>
  <si>
    <t>TỔNG CÔNG TY TƯ VẤN XÂY DỰNG VIỆT NAM - CTCP</t>
  </si>
  <si>
    <t>08/PPXD-CICHĐ2024</t>
  </si>
  <si>
    <t>Cubicost</t>
  </si>
  <si>
    <t>CHI NHÁNH CÔNG TY OBAYASHI VIỆT NAM</t>
  </si>
  <si>
    <t>vv01/2024</t>
  </si>
  <si>
    <t>GstarCAD</t>
  </si>
  <si>
    <t>Công ty TNHH Giải pháp và Công nghệ ViHoth (EU: VSP)</t>
  </si>
  <si>
    <t>10/PPXD-CICHĐ2024</t>
  </si>
  <si>
    <t>CÔNG TY CỔ PHẦN KIẾN TRÚC VIỆT</t>
  </si>
  <si>
    <t>Microsoft</t>
  </si>
  <si>
    <t>CÔNG TY TNHH TƯ VẤN XÂY DỰNG CƠ ĐIỆN TRƯỜNG NAM HẢI</t>
  </si>
  <si>
    <t>05/PPXD-CICHĐ2024</t>
  </si>
  <si>
    <t>CÔNG TY CỔ PHẦN BẤT ĐỘNG SẢN SƠN KIM</t>
  </si>
  <si>
    <t>Chi nhánh Công ty TNHH Tư vấn kỹ thuật tin học và thương mại Việt C.A.D (EU: HANWHA)</t>
  </si>
  <si>
    <t>vv05/2024</t>
  </si>
  <si>
    <t>Công ty TNHH Giải pháp và Công nghệ ViHoth (EU: Messer)</t>
  </si>
  <si>
    <t>12/PPXD-CICHĐ2024</t>
  </si>
  <si>
    <t>CÔNG TY CỔ PHẦN LICOGI13 - NỀN MÓNG XÂY DỰNG</t>
  </si>
  <si>
    <t>09/PPXD-CICHĐ2024</t>
  </si>
  <si>
    <t>Công ty TNHH HaskoningDHV Vietnam</t>
  </si>
  <si>
    <t>14/PPXD-CICHĐ2024</t>
  </si>
  <si>
    <t>CÔNG TY TNHH GIẢI PHÁP VMT</t>
  </si>
  <si>
    <t>vv06/2024</t>
  </si>
  <si>
    <t>GstarCAD &amp; CADprofi</t>
  </si>
  <si>
    <t>Công ty TNHH Wonderful Sài Gòn Technology</t>
  </si>
  <si>
    <t>vv07/2024</t>
  </si>
  <si>
    <t>17/PPXD-CICHĐ2024</t>
  </si>
  <si>
    <t>CÔNG TY TNHH KẾT CẤU XÂY DỰNG VIỆT PHÁP</t>
  </si>
  <si>
    <t>Bentley</t>
  </si>
  <si>
    <t>Công ty TNHH Nhà thép tiền chế Zamil Việt Nam</t>
  </si>
  <si>
    <t>18/PPXD-CICHĐ2024</t>
  </si>
  <si>
    <t>CÔNG TY TNHH ĐỐI TÁC CÔNG NGHỆ THÔNG TIN SÀI GÒN</t>
  </si>
  <si>
    <t>15/PPXD-CICHĐ2024</t>
  </si>
  <si>
    <t>PyroSim, Pathfinder</t>
  </si>
  <si>
    <t>VIỆN KHOA HỌC CÔNG NGHỆ XÂY DỰNG</t>
  </si>
  <si>
    <t>19/PPXD-CICHĐ2024</t>
  </si>
  <si>
    <t>CÔNG TY TNHH YUWA ENGINEERING VIỆT NAM</t>
  </si>
  <si>
    <t>IJCAD</t>
  </si>
  <si>
    <t>Công ty TNHH Tư vấn kỹ thuật tin học và thương mại Việt C.A.D (EU: Wacom)</t>
  </si>
  <si>
    <t>23/PPXD-CICHĐ2024</t>
  </si>
  <si>
    <t>CÔNG TY CỔ PHẦN TƯ VẤN XÂY DỰNG TÍN AN</t>
  </si>
  <si>
    <t>22/PPXD-CICHĐ2024</t>
  </si>
  <si>
    <t>CHI NHÁNH CÔNG TY TNHH MỘT THÀNH VIÊN BẠCH ĐẰNG - TRUNG TÂM TƯ VẤN XÂY DỰNG SỐ 1</t>
  </si>
  <si>
    <t>24/PPXD-CICHĐ2024</t>
  </si>
  <si>
    <t>CÔNG TY CỔ PHẦN TƯ VẤN XÂY DỰNG CÔNG TRÌNH THỦY (Wacose)</t>
  </si>
  <si>
    <t>06/PPXD-CICHĐ2024</t>
  </si>
  <si>
    <t>CÔNG TY CỔ PHẦN TẬP ĐOÀN T&amp;T</t>
  </si>
  <si>
    <t>Công ty TNHH JGC Việt Nam</t>
  </si>
  <si>
    <t>21/PPXD-CICHĐ2024</t>
  </si>
  <si>
    <t>CÔNG TY TNHH ARTELIA VIỆT NAM</t>
  </si>
  <si>
    <t>25/PPXD-CICHĐ2024</t>
  </si>
  <si>
    <t>Nhiều phần mềm</t>
  </si>
  <si>
    <t>CÔNG TY TNHH HỆ THỐNG THÔNG TIN FPT</t>
  </si>
  <si>
    <t>gINT</t>
  </si>
  <si>
    <t>CÔNG TY TNHH KHAI THÁC CHẾ BIẾN KHOÁNG SẢN NÚI PHÁO</t>
  </si>
  <si>
    <t>Công ty TNHH Gang thép Hưng Nghiệp Formosa Hà Tĩnh</t>
  </si>
  <si>
    <t>16/PPXD-CICHĐ2024</t>
  </si>
  <si>
    <t>CÔNG TY CỔ PHẦN HASEKO - THẦU CHÍNH TH GÓI THẦU TƯ VẤN THIẾT KẾ VÀ QUẢN LÝ DỰ ÁN CHO DỰ ÁN CĂN HỘ CT2 TẠI KHU NHÀ Ở VÀ KHU THỂ THAO, VUI CHƠI GIẢI TRÍ TƯ ĐÌNH, PHƯỜNG LONG BIÊN, QUẬN LONG BIÊN, THÀNH PHỐ HÀ NỘI</t>
  </si>
  <si>
    <t>26/PPXD-CICHĐ2024</t>
  </si>
  <si>
    <t>CÔNG TY CỔ PHẦN TƯ VẤN XÂY DỰNG ĐIỆN 1  (PECC1)</t>
  </si>
  <si>
    <t>28/PPXD-CICHĐ2024</t>
  </si>
  <si>
    <t>TỔNG CÔNG TY TƯ VẤN THIẾT KẾ GIAO THÔNG VẬN TẢI - CTCP (Tedi)</t>
  </si>
  <si>
    <t>31/PPXD-CICHĐ2024</t>
  </si>
  <si>
    <t>CÔNG TY CỔ PHẦN TƯ VẤN THIẾT KẾ VÀ DỊCH VỤ ĐẦU TƯ XÂY DỰNG SAO VIỆT (SAVICO)</t>
  </si>
  <si>
    <t>32/PPXD-CICHĐ2024</t>
  </si>
  <si>
    <t>CÔNG TY CỔ PHẦN FECON</t>
  </si>
  <si>
    <t>CSI &amp; Idea Statica</t>
  </si>
  <si>
    <t>CÔNG TY TRÁCH NHIỆM HỮU HẠN NHÀ THÉP TIỀN CHẾ ZAMIL VIỆT NAM</t>
  </si>
  <si>
    <t>35/PPXD-CICHĐ2024</t>
  </si>
  <si>
    <t>34/PPXD-CICHĐ2024</t>
  </si>
  <si>
    <t>CÔNG TY CỔ PHẦN TỔNG THẦU MÔI TRƯỜNG KING POWER</t>
  </si>
  <si>
    <t>CÔNG TY TNHH CTCI VIỆT NAM</t>
  </si>
  <si>
    <t>vv24/2024</t>
  </si>
  <si>
    <t>Idea Statica</t>
  </si>
  <si>
    <t>CÔNG TY TNHH THYSSENKRUPP POLYSIUS (VIỆT NAM)</t>
  </si>
  <si>
    <t>36/PPXD-CICHĐ2024</t>
  </si>
  <si>
    <t>CÔNG TY CỔ PHẦN SANTOMAS VIỆT NAM</t>
  </si>
  <si>
    <t>vv22/2024</t>
  </si>
  <si>
    <t>vv26/2024</t>
  </si>
  <si>
    <t>CÔNG TY TNHH THƯƠNG MẠI VÀ DỊCH VỤ TSG (EU: Nguyen Huy Manh)</t>
  </si>
  <si>
    <t>vv27/2024</t>
  </si>
  <si>
    <t>38/PPXD-CICHĐ2024</t>
  </si>
  <si>
    <t>CÔNG TY TNHH KUMKANG KIND VIỆT NAM</t>
  </si>
  <si>
    <t>vv28/2024</t>
  </si>
  <si>
    <t>Công ty TNHH Giải pháp và Công nghệ ViHoth (EU: Panasonic)</t>
  </si>
  <si>
    <t>29/PPXD-CICHĐ2024</t>
  </si>
  <si>
    <t>Geo5</t>
  </si>
  <si>
    <t>CÔNG TY CỔ PHẦN TƯ VẤN THIẾT KẾ CẢNG – KỸ THUẬT BIỂN (PORTCOAST)</t>
  </si>
  <si>
    <t>42/PPXD-CICHĐ2024</t>
  </si>
  <si>
    <t>CSI, BSI</t>
  </si>
  <si>
    <t>CÔNG TY TNHH NIPPON STEEL VIỆT NAM</t>
  </si>
  <si>
    <t>37/PPXD-CICHĐ2024</t>
  </si>
  <si>
    <t>CÔNG TY TNHH XÂY DỰNG QUỐC TẾ CHUANG XING</t>
  </si>
  <si>
    <t>43/PPXD-CICHĐ2024</t>
  </si>
  <si>
    <t>CÔNG TY TNHH NOVA BUILDINGS VIỆT NAM</t>
  </si>
  <si>
    <t>46/PPXD-CICHĐ2024</t>
  </si>
  <si>
    <t>CÔNG TY TNHH VINA TAKEUCHI</t>
  </si>
  <si>
    <t>45/PPXD-CICHĐ2024</t>
  </si>
  <si>
    <t>CÔNG TY TNHH XÂY DỰNG TỔNG HỢP VIDUCAD</t>
  </si>
  <si>
    <t>27/PPXD-CICHĐ2024</t>
  </si>
  <si>
    <t>CÔNG TY CỔ PHẦN VINACONEX 25</t>
  </si>
  <si>
    <t>49/PPXD-CICHĐ2024</t>
  </si>
  <si>
    <t>Solidwork</t>
  </si>
  <si>
    <t>Công ty CP công nghệ công nghiệp Intec</t>
  </si>
  <si>
    <t>50/PPXD-CICHĐ2024</t>
  </si>
  <si>
    <t>CÔNG TY TNHH SHINKEN VIETNAM</t>
  </si>
  <si>
    <t>Công ty TNHH Giải pháp và Công nghệ ViHoth (EU: SEOJIN VINA )</t>
  </si>
  <si>
    <t>vv32/2024</t>
  </si>
  <si>
    <t>CÔNG TY TNHH GENTHERM VIỆT NAM</t>
  </si>
  <si>
    <t>54/PPXD-CICHĐ2024</t>
  </si>
  <si>
    <t>41/PPXD-CICHĐ2024</t>
  </si>
  <si>
    <t>CÔNG TY TNHH VSIP QUẢNG NGÃI</t>
  </si>
  <si>
    <t>40/PPXD-CICHĐ2024</t>
  </si>
  <si>
    <t>CÔNG TY TNHH IMG VIỆT NAM</t>
  </si>
  <si>
    <t>51/PPXD-CICHĐ2024</t>
  </si>
  <si>
    <t>CÔNG TY TNHH THƯƠNG MẠI VÀ DỊCH VỤ TSG (EU: Cao đẳng nghề Ninh Thuận)</t>
  </si>
  <si>
    <t>55/PPXD-CICHĐ2024</t>
  </si>
  <si>
    <t>CÔNG TY TNHH CHO THUÊ THIẾT BỊ XÂY DỰNG KIẾN NGHIỆP</t>
  </si>
  <si>
    <t>53/PPXD-CICHĐ2024</t>
  </si>
  <si>
    <t>52/PPXD-CICHĐ2024</t>
  </si>
  <si>
    <t>CÔNG TY CỔ PHẦN TƯ VẤN XÂY DỰNG ĐIỆN 1 (PECC1)</t>
  </si>
  <si>
    <t>57/PPXD-CICHĐ2024</t>
  </si>
  <si>
    <t>CÔNG TY CỔ PHẦN TƯ VẤN THIẾT KẾ PONTECH</t>
  </si>
  <si>
    <t>39/PPXD-CICHĐ2024</t>
  </si>
  <si>
    <t>Đào tạo Allplan</t>
  </si>
  <si>
    <t>Công ty TNHH Giải pháp và Công nghệ ViHoth (EU: SDA Semiconductor)</t>
  </si>
  <si>
    <t>59/PPXD-CICHĐ2024</t>
  </si>
  <si>
    <t>Graitec &amp; IDEA StatiCa</t>
  </si>
  <si>
    <t>56/PPXD-CICHĐ2024</t>
  </si>
  <si>
    <t>CÔNG TY CỔ PHẦN TƯ VẤN THIẾT KẾ VÀ XÂY DỰNG INDECONS VIỆT NAM</t>
  </si>
  <si>
    <t>61/PPXD-CICHĐ2024</t>
  </si>
  <si>
    <t>CSI, Autodesk, Kata</t>
  </si>
  <si>
    <t>CÔNG TY TNHH DỊCH VỤ THƯƠNG MẠI VÀ CÔNG NGHỆ Q&amp;H  (EU: Hợp Lực)</t>
  </si>
  <si>
    <t>Chi nhánh Công ty TNHH Tư vấn kỹ thuật tin học và thương mại Việt C.A.D (EU: P&amp;T)</t>
  </si>
  <si>
    <t>Meinhardt Consultants (Cambodia)</t>
  </si>
  <si>
    <t>62/PPXD-CICHĐ2024</t>
  </si>
  <si>
    <t>CÔNG TY CỔ PHẦN TƯ VẤN XÂY DỰNG CÔNG TRÌNH 625</t>
  </si>
  <si>
    <t>63/PPXD-CICHĐ2024</t>
  </si>
  <si>
    <t>CÔNG TY TNHH NIPPON CONVEYOR VIỆT NAM</t>
  </si>
  <si>
    <t>091/24/CĐ-CIC</t>
  </si>
  <si>
    <t>Cung cấp phần mềm CADWORK và AutoCAD</t>
  </si>
  <si>
    <t>Liên doanh Việt - Nga Vietsovpetro</t>
  </si>
  <si>
    <t>66/PPXD-CICHĐ2024</t>
  </si>
  <si>
    <t>64/PPXD-CICHĐ2024</t>
  </si>
  <si>
    <t>65/PPXD-CICHĐ2024</t>
  </si>
  <si>
    <t>CÔNG TY TNHH SHINRYO VIỆT NAM</t>
  </si>
  <si>
    <t>58/PPXD-CICHĐ2024</t>
  </si>
  <si>
    <t>CÔNG TY CỔ PHẦN XÂY DỰNG VÀ ĐẦU TƯ VISICONS</t>
  </si>
  <si>
    <t>67/PPXD-CICHĐ2024</t>
  </si>
  <si>
    <t>CÔNG TY TNHH GENDAI SOUGO VIỆT NAM</t>
  </si>
  <si>
    <t>Công ty TNHH Giải pháp và Công nghệ ViHoth (EU: Utracon Infrastructure )</t>
  </si>
  <si>
    <t>71/PPXD-CICHĐ2024</t>
  </si>
  <si>
    <t>CÔNG TY CỔ PHẦN KỸ THUẬT CƠ ĐIỆN MEE</t>
  </si>
  <si>
    <t>vv45/2024</t>
  </si>
  <si>
    <t>Mr. Theara</t>
  </si>
  <si>
    <t>CÔNG TY TNHH 3DEXPERIENCE VIỆT NAM (EU: Wistron Infocomm)</t>
  </si>
  <si>
    <t>vv47/2024</t>
  </si>
  <si>
    <t>Công ty TNHH Giải pháp và Công nghệ ViHoth (EU: HTVG)</t>
  </si>
  <si>
    <t>Công ty TNHH Giải pháp và Công nghệ ViHoth (EU: MESSER)</t>
  </si>
  <si>
    <t>Autodesk (Fusion)</t>
  </si>
  <si>
    <t>CÔNG TY CỔ PHẦN NGHIÊN CỨU VÀ ỨNG DỤNG TRÍ TUỆ NHÂN TẠO VINAI</t>
  </si>
  <si>
    <t>70/PPXD-CICHĐ2024</t>
  </si>
  <si>
    <t>CÔNG TY CP TƯ VẤN XÂY DỰNG CÔNG TRÌNH HÀNG HẢI (CMB)</t>
  </si>
  <si>
    <t>75/PPXD-CICHĐ2024</t>
  </si>
  <si>
    <t>73/PPXD-CICHĐ2024</t>
  </si>
  <si>
    <t>Autodesk &amp; gói ngôn ngữ Geo5</t>
  </si>
  <si>
    <t>69/PPXD-CICHĐ2024</t>
  </si>
  <si>
    <t>Công ty Điện lực Bắc Giang - Chi nhánh Tổng Công ty Điện lực miền Bắc</t>
  </si>
  <si>
    <t>74/PPXD-CICHĐ2024</t>
  </si>
  <si>
    <t>CÔNG TY TNHH INPOS</t>
  </si>
  <si>
    <t>HĐ 0566/24T/ STC</t>
  </si>
  <si>
    <t>MOSES</t>
  </si>
  <si>
    <t>HĐ 0641/24T/ STC</t>
  </si>
  <si>
    <t>SACS</t>
  </si>
  <si>
    <t>vv51/2024</t>
  </si>
  <si>
    <t>3ds Max &amp; Corona</t>
  </si>
  <si>
    <t>CÔNG TY TNHH KOBO ASIA</t>
  </si>
  <si>
    <t>vv52/2024</t>
  </si>
  <si>
    <t>Bentley &amp; CFS</t>
  </si>
  <si>
    <t>76/PPXD-CICHĐ2024</t>
  </si>
  <si>
    <t>77/PPXD-CICHĐ2024</t>
  </si>
  <si>
    <t>CÔNG TY CỔ PHẦN VIFATEC QUỐC TẾ</t>
  </si>
  <si>
    <t>vv53/2024</t>
  </si>
  <si>
    <t>CÔNG TY CỔ PHẦN A79 (EU: Alphanam)</t>
  </si>
  <si>
    <t>78/PPXD-CICHĐ2024</t>
  </si>
  <si>
    <t>CÔNG TY TNHH ORGANO (VIỆT NAM)</t>
  </si>
  <si>
    <t>vv54/2024</t>
  </si>
  <si>
    <t>CÔNG TY TNHH KỸ THUẬT ĐIỆN - TỰ ĐỘNG HÓA A&amp;E</t>
  </si>
  <si>
    <t>79/PPXD-CICHĐ2024</t>
  </si>
  <si>
    <t>CÔNG TY CỔ PHẦN TƯ VẤN THIẾT KẾ XÂY DỰNG GIAO THÔNG THỦY (WECCO)</t>
  </si>
  <si>
    <t>80/PPXD-CICHĐ2024</t>
  </si>
  <si>
    <t>CÔNG TY CỔ PHẦN TECHAZ (EU: P&amp;Q Vina)</t>
  </si>
  <si>
    <t>81/PPXD-CICHĐ2024</t>
  </si>
  <si>
    <t>vv56/2024</t>
  </si>
  <si>
    <t>Pitstop Pro</t>
  </si>
  <si>
    <t>CÔNG TY TNHH RR DONNELLEY (BẮC NINH)</t>
  </si>
  <si>
    <t>72/PPXD-CICHĐ2024</t>
  </si>
  <si>
    <t>CÔNG TY TNHH TW-ASIA CONSULTANTS</t>
  </si>
  <si>
    <t>84/PPXD-CICHĐ2024</t>
  </si>
  <si>
    <t>CÔNG TY TNHH ĐẦU TƯ XÂY DỰNG PHÁT TRIỂN THÁI DƯƠNG</t>
  </si>
  <si>
    <t>85/PPXD-CICHĐ2024</t>
  </si>
  <si>
    <t>Graitec</t>
  </si>
  <si>
    <t>vv59/2024</t>
  </si>
  <si>
    <t>87/PPXD-CICHĐ2024</t>
  </si>
  <si>
    <t>CÔNG TY TNHH THƯƠNG MẠI VÀ DỊCH VỤ KTD (EU: Rorze Robotech)</t>
  </si>
  <si>
    <t>89/PPXD-CICHĐ2024</t>
  </si>
  <si>
    <t>CÔNG TY TNHH SOCOTEC VIỆT NAM</t>
  </si>
  <si>
    <t>90/PPXD-CICHĐ2024</t>
  </si>
  <si>
    <t>Đào tạo BIM</t>
  </si>
  <si>
    <t>CÔNG TY TNHH CPG VIỆT NAM</t>
  </si>
  <si>
    <t>91/PPXD-CICHĐ2024</t>
  </si>
  <si>
    <t>Rhino 8</t>
  </si>
  <si>
    <t>vv64/2024</t>
  </si>
  <si>
    <t>Anh Vũ Duy Tùng</t>
  </si>
  <si>
    <t>92/PPXD-CICHĐ2024</t>
  </si>
  <si>
    <t>vv65/2024</t>
  </si>
  <si>
    <t>Công ty TNHH Giải pháp và Công nghệ ViHoth (EU: HAMADEN)</t>
  </si>
  <si>
    <t>vv62/2024</t>
  </si>
  <si>
    <t>CMED Construction Co., Ltd</t>
  </si>
  <si>
    <t>95/PPXD-CICHĐ2024</t>
  </si>
  <si>
    <t>CÔNG TY TNHH THƯƠNG MẠI HMC VIỆT NAM (EU: Molex)</t>
  </si>
  <si>
    <t>97/PPXD-CICHĐ2024</t>
  </si>
  <si>
    <t>CÔNG TY CỔ PHẦN A79 (Alphanam)</t>
  </si>
  <si>
    <t>98/PPXD-CICHĐ2024</t>
  </si>
  <si>
    <t>Pyrosim, Pathfinder</t>
  </si>
  <si>
    <t>CÔNG TY CỔ PHẦN THIẾT BỊ VÀ CHUYỂN GIAO CÔNG NGHỆ PHÒNG CHÁY INTERNATIONAL</t>
  </si>
  <si>
    <t>82/PPXD-CICHĐ2024</t>
  </si>
  <si>
    <t>CÔNG TY CỔ PHẦN CƠ KHÍ XÂY DỰNG THƯƠNG MẠI NGHĨA PHÁT STEEL</t>
  </si>
  <si>
    <t>99/PPXD-CICHĐ2024</t>
  </si>
  <si>
    <t>Đào tạo Idea-Statica</t>
  </si>
  <si>
    <t>vv66/2024</t>
  </si>
  <si>
    <t>Đào tạo chuyên gia BIM</t>
  </si>
  <si>
    <t>TRUNG TÂM TƯ VẤN VÀ ỨNG DỤNG BIM TRONG XÂY DỰNG (anh Chủ)</t>
  </si>
  <si>
    <t>96/PPXD-CICHĐ2024</t>
  </si>
  <si>
    <t>CHI NHÁNH CÔNG TY CỔ PHẦN BÁN LẺ KỸ THUẬT SỐ FPT TẠI HÀ NỘI (EU: UMC)</t>
  </si>
  <si>
    <t>vv67/2024</t>
  </si>
  <si>
    <t>Công ty TNHH Giải pháp và Công nghệ ViHoth (EU: Utracon Infrastructure)</t>
  </si>
  <si>
    <t>vv68/2024</t>
  </si>
  <si>
    <t>GeoStudio</t>
  </si>
  <si>
    <t>101/PPXD-CICHĐ2024</t>
  </si>
  <si>
    <t>CÔNG TY TNHH STRUCTURES VIỆT NAM</t>
  </si>
  <si>
    <t>100/PPXD-CICHĐ2024</t>
  </si>
  <si>
    <t>CÔNG TY TNHH NEY &amp; PARTNERS VIỆT NAM</t>
  </si>
  <si>
    <t>vv69/2024</t>
  </si>
  <si>
    <t>Công ty TNHH Thiết bị hóa chất Nakagawa Việt Nam</t>
  </si>
  <si>
    <t>vv70/2024</t>
  </si>
  <si>
    <t>Chi nhánh Công ty TNHH Tư vấn kỹ thuật tin học và thương mại Việt C.A.D (OBAYASHI)</t>
  </si>
  <si>
    <t>103/PPXD-CICHĐ2024</t>
  </si>
  <si>
    <t>vv71/2024</t>
  </si>
  <si>
    <t>Công ty TNHH Giải pháp và Công nghệ ViHoth (EU: YAZAKI)</t>
  </si>
  <si>
    <t>vv72/2024</t>
  </si>
  <si>
    <t>Công ty TNHH INTES</t>
  </si>
  <si>
    <t>104/PPXD-CICHĐ2024</t>
  </si>
  <si>
    <t>CÔNG TY CỔ PHẦN TƯ VẤN XÂY DỰNG THÀNH NAM</t>
  </si>
  <si>
    <t>105/PPXD-CICHĐ2024</t>
  </si>
  <si>
    <t>VIỆN NGHIÊN CỨU CƠ KHÍ (Narime)</t>
  </si>
  <si>
    <t>102/PPXD-CICHĐ2024</t>
  </si>
  <si>
    <t>vv73/2024</t>
  </si>
  <si>
    <t>SketchUp</t>
  </si>
  <si>
    <t>CÔNG TY CỔ PHẦN NHÀ KHUNG THÉP VÀ THIẾT BỊ CÔNG NGHIỆP (SEICO)</t>
  </si>
  <si>
    <t>vv75/2024</t>
  </si>
  <si>
    <t>Công ty TNHH Giải pháp và Công nghệ ViHoth (EU: SAMKWANG VINA )</t>
  </si>
  <si>
    <t>107/PPXD-CICHĐ2024</t>
  </si>
  <si>
    <t>CÔNG TY TNHH VIỆT KỸ THUẬT SÀI GÒN</t>
  </si>
  <si>
    <t>vv76/2024</t>
  </si>
  <si>
    <t>CÔNG TY TNHH THƯƠNG MẠI VÀ DỊCH VỤ TSG (EU: TODA)</t>
  </si>
  <si>
    <t>vv78/2024</t>
  </si>
  <si>
    <t>Công ty TNHH Sumiriko Hose Việt Nam</t>
  </si>
  <si>
    <t>vv79/2024</t>
  </si>
  <si>
    <t>106/PPXD-CICHĐ2024</t>
  </si>
  <si>
    <t>CÔNG TY TNHH STRADER VIỆT NAM</t>
  </si>
  <si>
    <t>109/PPXD-CICHĐ2024</t>
  </si>
  <si>
    <t>BSI</t>
  </si>
  <si>
    <t>110/PPXD-CICHĐ2024</t>
  </si>
  <si>
    <t>CÔNG TY TNHH THƯƠNG MẠI VÀ DỊCH VỤ CÔNG NGHỆ CADCAMTECH (EU: Boramtek)</t>
  </si>
  <si>
    <t>112/PPXD-CICHĐ2024</t>
  </si>
  <si>
    <t>AutoCAD &amp; PVSys</t>
  </si>
  <si>
    <t>CÔNG TY TNHH NĂNG LƯỢNG MỚI VICTORY</t>
  </si>
  <si>
    <t>113/PPXD-CICHĐ2024</t>
  </si>
  <si>
    <t>vv82/2024</t>
  </si>
  <si>
    <t>vv83/2024</t>
  </si>
  <si>
    <t>Adobe</t>
  </si>
  <si>
    <t>vv84/2024</t>
  </si>
  <si>
    <t>Prokon</t>
  </si>
  <si>
    <t>114/PPXD-CICHĐ2024</t>
  </si>
  <si>
    <t>FHCPro</t>
  </si>
  <si>
    <t>CÔNG TY CP CÔNG NGHỆ AN TOÀN VIỆT NAM (VIETSAFE)</t>
  </si>
  <si>
    <t>vv93/2024</t>
  </si>
  <si>
    <t>Project Plan 3</t>
  </si>
  <si>
    <t>vv85/2024</t>
  </si>
  <si>
    <t>Công ty TNHH Giải pháp và Công nghệ ViHoth (EU: WISOL)</t>
  </si>
  <si>
    <t>vv87/2024</t>
  </si>
  <si>
    <t>Công ty TNHH Giải pháp và Công nghệ ViHoth (EU: TOPTECH)</t>
  </si>
  <si>
    <t>vv88/2024</t>
  </si>
  <si>
    <t>Công ty TNHH Giải pháp và Công nghệ ViHoth (EU: MESSER QUẢNG NGÃI)</t>
  </si>
  <si>
    <t>116/PPXD-CICHĐ2024</t>
  </si>
  <si>
    <t>BIMCollab</t>
  </si>
  <si>
    <t>Ban Quản lý dự án đầu tư xây dựng công trình dân dụng thành phố Hà Nội</t>
  </si>
  <si>
    <t>117/PPXD-CICHĐ2024</t>
  </si>
  <si>
    <t>Công ty Cổ phần Cấp nước Chợ Lớn</t>
  </si>
  <si>
    <t>118/PPXD-CICHĐ2024</t>
  </si>
  <si>
    <t>AutoCAD</t>
  </si>
  <si>
    <t>vv89/2024</t>
  </si>
  <si>
    <t>AutoCAD, enjiCAD</t>
  </si>
  <si>
    <t>119/PPXD-CICHĐ2024</t>
  </si>
  <si>
    <t>CÔNG TY TNHH AURECON  VIỆT NAM</t>
  </si>
  <si>
    <t>121/PPXD-CICHĐ2024</t>
  </si>
  <si>
    <t>vv92/2024</t>
  </si>
  <si>
    <t>Công ty TNHH Giải pháp và Công nghệ ViHoth (EU: POLARIUM)</t>
  </si>
  <si>
    <t>122/PPXD-CICHĐ2024</t>
  </si>
  <si>
    <t>vv95/2024</t>
  </si>
  <si>
    <t>Công ty TNHH Giải pháp và Công nghệ ViHoth (EU: LONGTECH)</t>
  </si>
  <si>
    <t>124/PPXD-CICHĐ2024</t>
  </si>
  <si>
    <t>115/PPXD-CICHĐ2024</t>
  </si>
  <si>
    <t>125/PPXD-CICHĐ2024</t>
  </si>
  <si>
    <t>123/PPXD-CICHĐ2024</t>
  </si>
  <si>
    <t>VIỆN KHOA HỌC CÔNG NGHỆ XÂY DỰNG (IBST)</t>
  </si>
  <si>
    <t>vv98/2024</t>
  </si>
  <si>
    <t>GstarCAD, Microsoft, Solidwork</t>
  </si>
  <si>
    <t>CÔNG TY TNHH FORCECON TECHNOLOGY VIỆT NAM</t>
  </si>
  <si>
    <t>vv99/2024</t>
  </si>
  <si>
    <t>127/PPXD-CICHĐ2024</t>
  </si>
  <si>
    <t>111/PPXD-CICHĐ2024</t>
  </si>
  <si>
    <t>CÔNG TY CỔ PHẦN XÂY DỰNG AN PHONG</t>
  </si>
  <si>
    <t>126/PPXD-CICHĐ2024</t>
  </si>
  <si>
    <t>CÔNG TY TNHH SD VIỆT NAM</t>
  </si>
  <si>
    <t>128/PPXD-CICHĐ2024</t>
  </si>
  <si>
    <t>130/PPXD-CICHĐ2024</t>
  </si>
  <si>
    <t>Midas</t>
  </si>
  <si>
    <t>CÔNG TY CỔ PHẦN XÂY DỰNG VÀ ĐẦU TƯ NHẤT THỊNH PHÁT</t>
  </si>
  <si>
    <t>131/PPXD-CICHĐ2024</t>
  </si>
  <si>
    <t>KAV</t>
  </si>
  <si>
    <t>CÔNG TY CỔ PHẦN KIẾN TRÚC PHÁP VIỆT</t>
  </si>
  <si>
    <t>vv101/2024</t>
  </si>
  <si>
    <t>vv102/2024</t>
  </si>
  <si>
    <t>vv103/2024</t>
  </si>
  <si>
    <t>vv104/2024</t>
  </si>
  <si>
    <t>vv106/2024</t>
  </si>
  <si>
    <t>132/PPXD-CICHĐ2024</t>
  </si>
  <si>
    <t>CÔNG TY TNHH ĐẦU TƯ PHÁT TRIỂN VÀ XÂY DỰNG VIỆT HÀN</t>
  </si>
  <si>
    <t>134/PPXD-CICHĐ2024</t>
  </si>
  <si>
    <t>CÔNG TY TNHH CAXSOFT (EU: ISUZU TEC)</t>
  </si>
  <si>
    <t>vv110/2024</t>
  </si>
  <si>
    <t>CÔNG TY TNHH TƯ VẤN VÀ CÔNG NGHỆ ĐỨC ANH (EU: Cao Đẳng Quảng Nam)</t>
  </si>
  <si>
    <t>vv113/2024</t>
  </si>
  <si>
    <t>Công ty TNHH Giải pháp và Công nghệ ViHoth (EU: JEBSEN &amp; JESSEN )</t>
  </si>
  <si>
    <t>vv114/2024</t>
  </si>
  <si>
    <t>Micosoft</t>
  </si>
  <si>
    <t>CÔNG TY TNHH QUỐC TẾ SAMPURE VIỆT NAM</t>
  </si>
  <si>
    <t>133/PPXD-CICHĐ2024</t>
  </si>
  <si>
    <t>CÔNG TY CỔ PHẦN THIẾT KẾ VÀ XÂY DỰNG GIZA VIỆT NAM</t>
  </si>
  <si>
    <t>135/PPXD-CICHĐ2024</t>
  </si>
  <si>
    <t>136/PPXD-CICHĐ2024</t>
  </si>
  <si>
    <t>vv117/2024</t>
  </si>
  <si>
    <t>PT&amp;C ENGINEERING CO., LTD</t>
  </si>
  <si>
    <t>vv118/2024</t>
  </si>
  <si>
    <t>vv119/2024</t>
  </si>
  <si>
    <t>Chị Khương Thanh Vân (Công ty Gamuda Land)</t>
  </si>
  <si>
    <t>vv121/2024</t>
  </si>
  <si>
    <t>137/PPXD-CICHĐ2024</t>
  </si>
  <si>
    <t>138/PPXD-CICHĐ2024</t>
  </si>
  <si>
    <t>CÔNG TY ĐIỆN LỰC CAO BẰNG – CHI NHÁNH TỔNG CÔNG TY ĐIỆN LỰC MIỀN BẮC</t>
  </si>
  <si>
    <t>139/PPXD-CICHĐ2024</t>
  </si>
  <si>
    <t>CÔNG TY CP ĐẦU TƯ VÀ PHÁT TRIỂN HÒA PHONG E&amp;C</t>
  </si>
  <si>
    <t>vv120/2024</t>
  </si>
  <si>
    <t>vv122/2024</t>
  </si>
  <si>
    <t>CÔNG TY TNHH FRONTIER CONSULTING VIỆT NAM</t>
  </si>
  <si>
    <t>vv123/2024</t>
  </si>
  <si>
    <t>Công ty TNHH Giải pháp và Công nghệ ViHoth (EU: NOBLE)</t>
  </si>
  <si>
    <t>141/PPXD-CICHĐ2024</t>
  </si>
  <si>
    <t>Công ty TNHH CM Plus Việt Nam</t>
  </si>
  <si>
    <t>vv126/2024</t>
  </si>
  <si>
    <t>vv128/2024</t>
  </si>
  <si>
    <t>Công ty TNHH Giải pháp và Công nghệ ViHoth (EU: Kyoei)</t>
  </si>
  <si>
    <t>143/PPXD-CICHĐ2024</t>
  </si>
  <si>
    <t>Bluebeam</t>
  </si>
  <si>
    <t>vv129/2024</t>
  </si>
  <si>
    <t>144/PPXD-CICHĐ2024</t>
  </si>
  <si>
    <t>vv131/2024</t>
  </si>
  <si>
    <t>Công ty TNHH Giải pháp và Công nghệ ViHoth (EU: Wisol)</t>
  </si>
  <si>
    <t>145/PPXD-CICHĐ2024</t>
  </si>
  <si>
    <t>CSI, Bentley</t>
  </si>
  <si>
    <t>147/PPXD-CICHĐ2024</t>
  </si>
  <si>
    <t>142/PPXD-CICHĐ2024</t>
  </si>
  <si>
    <t>146/PPXD-CICHĐ2024</t>
  </si>
  <si>
    <t>BIMcollab</t>
  </si>
  <si>
    <t>TỔNG CÔNG TY ĐẦU TƯ PHÁT TRIỂN NHÀ VÀ ĐÔ THỊ - CÔNG TY TNHH (HUD)</t>
  </si>
  <si>
    <t>vv133/2024</t>
  </si>
  <si>
    <t>DWG FastView Plus</t>
  </si>
  <si>
    <t>Công ty TNHH Giải pháp và Công nghệ ViHoth (EU: Mr. Lê Mạnh)</t>
  </si>
  <si>
    <t>vv134/2024</t>
  </si>
  <si>
    <t>vv136/2024</t>
  </si>
  <si>
    <t>CÔNG TY TNHH SHIMIZU VIỆT NAM</t>
  </si>
  <si>
    <t>vv137/2023</t>
  </si>
  <si>
    <t>FUXIN STEEL BUILDINGS CO., LTD.</t>
  </si>
  <si>
    <t>148/PPXD-CICHĐ2024</t>
  </si>
  <si>
    <t>CÔNG TY TNHH DỊCH VỤ CÔNG NGHỆ THÔNG TIN ĐỔI MỚI (SUNGROUP)</t>
  </si>
  <si>
    <t>149/PPXD-CICHĐ2024</t>
  </si>
  <si>
    <t>Công ty Thủy điện Sơn La – CN Tập đoàn Điện lực Việt Nam</t>
  </si>
  <si>
    <t>150/PPXD-CICHĐ2024</t>
  </si>
  <si>
    <t>Công ty Điện lực Nghệ An – Chi nhánh Tổng Công ty Điện lực miền Bắc</t>
  </si>
  <si>
    <t>vv138/2023</t>
  </si>
  <si>
    <t>Công ty TNHH Tư vấn kỹ thuật tin học và thương mại Việt C.A.D (EU: Doosan)</t>
  </si>
  <si>
    <t>vv140/2024</t>
  </si>
  <si>
    <t>152/PPXD-CICHĐ2024</t>
  </si>
  <si>
    <t>140/PPXD-CICHĐ2024</t>
  </si>
  <si>
    <t>TỔNG CÔNG TY CP DỊCH VỤ KỸ THUẬT DẦU KHÍ VIỆT NAM</t>
  </si>
  <si>
    <t>vv141/2024</t>
  </si>
  <si>
    <t>PDF-XChange</t>
  </si>
  <si>
    <t>151/PPXD-CICHĐ2024</t>
  </si>
  <si>
    <t>CÔNG TY TNHH XÂY DỰNG KỸ THUẬT THƯƠNG MẠI VIET CEMA</t>
  </si>
  <si>
    <t>153/PPXD-CICHĐ2024</t>
  </si>
  <si>
    <t>CÔNG TY TNHH DỊCH VỤ THƯƠNG MẠI VÀ CÔNG NGHỆ Q&amp;H (EU: Sungroup, Sunec)</t>
  </si>
  <si>
    <t>156/PPXD-CICHĐ2024</t>
  </si>
  <si>
    <t>CÔNG TY CỔ PHẦN VINHOMES</t>
  </si>
  <si>
    <t>vv144/2024</t>
  </si>
  <si>
    <t>Ngôn ngữ Geo5</t>
  </si>
  <si>
    <t>vv145/2024</t>
  </si>
  <si>
    <t>158/PPXD-CICHĐ2024</t>
  </si>
  <si>
    <t>159/PPXD-CICHĐ2024</t>
  </si>
  <si>
    <t>CÔNG TY TNHH KAS E&amp;C (VIỆT NAM)</t>
  </si>
  <si>
    <t>160/PPXD-CICHĐ2024</t>
  </si>
  <si>
    <t>SỞ XÂY DỰNG HÀ NỘI</t>
  </si>
  <si>
    <t>161/PPXD-CICHĐ2024</t>
  </si>
  <si>
    <t>TỔNG CÔNG TY TƯ VẤN XÂY DỰNG VIỆT NAM - CTCP (VNCC)</t>
  </si>
  <si>
    <t>vv147/2024</t>
  </si>
  <si>
    <t>CÔNG TY TNHH CM PLUS VIỆT NAM</t>
  </si>
  <si>
    <t>154/PPXD-CICHĐ2024</t>
  </si>
  <si>
    <t>vv148/2024</t>
  </si>
  <si>
    <t>CÔNG TY TNHH THƯƠNG MẠI VÀ DỊCH VỤ TSG (EU: Fecon)</t>
  </si>
  <si>
    <t>155/PPXD-CICHĐ2024</t>
  </si>
  <si>
    <t>Allplan + đào tạo</t>
  </si>
  <si>
    <t>2612/STC-CICHĐ2024</t>
  </si>
  <si>
    <t>Cung cấp phần mềm Bentley Plaxis 3D và Geostudio</t>
  </si>
  <si>
    <t>CÔNG TY CP CÔNG NGHỆ TRUYỀN THÔNG ĐA CHIỀU HTC (EU: ĐHBK HCM)</t>
  </si>
  <si>
    <t>113-2024/PTSCMC-KH/MDV-V</t>
  </si>
  <si>
    <t>Cung cấp 1 năm thuê phần mềm EPS 365 của Bentley</t>
  </si>
  <si>
    <t>CÔNG TY TNHH MTV DỊCH VỤ CƠ KHÍ HÀNG HẢI PTSC</t>
  </si>
  <si>
    <t>vv149/2024</t>
  </si>
  <si>
    <t>Công ty TNHH Giải pháp và Công nghệ ViHoth (EU: STARPRINT)</t>
  </si>
  <si>
    <t>Chi nhánh - Phần mềm nước ngoài</t>
  </si>
  <si>
    <t>01/CICHCM2024</t>
  </si>
  <si>
    <t>Phần mềm enjiCAD Pro - Network License (10 Bộ)</t>
  </si>
  <si>
    <t>CÔNG TY CP CƠ KHÍ XÂY DỰNG THƯƠNG MẠI ĐẠI DŨNG</t>
  </si>
  <si>
    <t>02/CICHCM2024</t>
  </si>
  <si>
    <t>Phần mềm PLAXIS 2D Advanced 12 (01 Bộ)</t>
  </si>
  <si>
    <t>03/CICHCM2024</t>
  </si>
  <si>
    <t>Phần mềm AutoCAD LT (23 Bộ)</t>
  </si>
  <si>
    <t>CÔNG TY CỔ PHẦN PHỤ KIỆN VÀ NHÀ THÉP NHẤT</t>
  </si>
  <si>
    <t>04/CICHCM2024</t>
  </si>
  <si>
    <t>Phần mềm Microsoft 365 (01 Bộ)</t>
  </si>
  <si>
    <t>CÔNG TY TNHH DIGITAL POWER VIETNAM</t>
  </si>
  <si>
    <t>05/CICHCM2024</t>
  </si>
  <si>
    <t>Phần mềm JetBrains All Products Pack - Commercial annual subscription - (End date: May 07 2024) (02 Bộ)</t>
  </si>
  <si>
    <t>CÔNG TY TNHH WBV TECHNOLOGY</t>
  </si>
  <si>
    <t>PO01/CICHCM2024</t>
  </si>
  <si>
    <t>enjiCAD Standard - Standalone license (01 Bộ)</t>
  </si>
  <si>
    <t>CÔNG TY TNHH ACTION COMPOSITES HIGHTECH INDUSTRIES</t>
  </si>
  <si>
    <t>PO02/CICHCM2024</t>
  </si>
  <si>
    <t>Phần mềm GstarCAD Mechanical Stand-alone</t>
  </si>
  <si>
    <t>CÔNG TY TNHH PACISOFT INTERNATIONAL</t>
  </si>
  <si>
    <t>PO03/CICHCM2024</t>
  </si>
  <si>
    <t>Phần mềm Microsoft Teams Essentials - 12 Months (05 Bộ)</t>
  </si>
  <si>
    <t>CÔNG TY TNHH STOLZ-MIRAS (VIỆT NAM)</t>
  </si>
  <si>
    <t>O04/CICHCM2024</t>
  </si>
  <si>
    <t>Phần mềm SAFE Standard - Network license (01 Bộ), Bảo trì phần mềm SAFE Standard - Network Maintenance Agreement – 01 year (01 Bộ)</t>
  </si>
  <si>
    <t>CÔNG TY TNHH ONECAD VIET NAM</t>
  </si>
  <si>
    <t>PO05/CICHCM2024</t>
  </si>
  <si>
    <t>Phần mềm Foxit PDF Editor Pro for Teams (Win /English) - Perpetual Licenses - Sử dụng vĩnh viễn (01 Bộ)</t>
  </si>
  <si>
    <t>CHI NHÁNH CÔNG TY TNHH KINDEN VIỆT NAM</t>
  </si>
  <si>
    <t>PO06/CICHCM2024</t>
  </si>
  <si>
    <t>Phần mềm enjiCAD Standard - Standalone license
(sử dụng vĩnh viễn)</t>
  </si>
  <si>
    <t>PO07/CICHCM2024</t>
  </si>
  <si>
    <t>Phần mềm Architecture Engineering &amp; Construction Collection IC (01 Bộ), Phần mềm Bluebeam Basics (01 Bộ)</t>
  </si>
  <si>
    <t>CÔNG TY CỔ PHẦN TẬP ĐOÀN MASTERISE</t>
  </si>
  <si>
    <t>PO08/CICHCM2024</t>
  </si>
  <si>
    <t>Phần mềm V-Ray Premium Annual (01 Bộ)</t>
  </si>
  <si>
    <t>06/CICHCM2024</t>
  </si>
  <si>
    <t>Phần mềm Product Design &amp; Manufacturing Collection IC (28 Bộ), Phần mềm AutoCAD - including (11 Bộ)</t>
  </si>
  <si>
    <t>CÔNG TY TNHH SIMPSON STRONG - TIE VIỆT NAM</t>
  </si>
  <si>
    <t>07/CICHCM2024</t>
  </si>
  <si>
    <t>Phần mềm enjiCAD Professional Standalone License (04 Bộ)</t>
  </si>
  <si>
    <t>CÔNG TY TNHH ĐIỆN TỬ ASTI</t>
  </si>
  <si>
    <t>08/CICHCM2024</t>
  </si>
  <si>
    <t>Phần mềm Architecture Engineering Construction Collection IC (01 Bộ)</t>
  </si>
  <si>
    <t>CÔNG TY TNHH QCONS</t>
  </si>
  <si>
    <t>09/CICHCM2024</t>
  </si>
  <si>
    <t>Phần mềm Minitab Single Named User - 1 years (01 Bộ)</t>
  </si>
  <si>
    <t>10/CICHCM2024</t>
  </si>
  <si>
    <t>Bảo trì phần mềm PLAXIS 2D Advanced SELECT Subscription (10 March 2024 - 09 March 2025) (01 Bộ)</t>
  </si>
  <si>
    <t>CÔNG TY CỔ PHẦN ĐẦU TƯ XÂY DỰNG NEWTECONS</t>
  </si>
  <si>
    <t>11/CICHCM2024</t>
  </si>
  <si>
    <t>Bảo trì phần mềm PLAXIS 2D Ultimate (01 Bộ)</t>
  </si>
  <si>
    <t>CÔNG TY CỔ PHẦN XÂY DỰNG COTECCONS</t>
  </si>
  <si>
    <t>12/CICHCM2024</t>
  </si>
  <si>
    <t>Phần mềm VMware vSphere Standard - 3-Year (64 Bộ)</t>
  </si>
  <si>
    <t>CÔNG TY TNHH THƯƠNG MẠI DỊCH VỤ CÔNG NGHỆ MINH THẮNG</t>
  </si>
  <si>
    <t>13/CICHCM2024</t>
  </si>
  <si>
    <t>Phần mềm Autodesk BIM (03 Bộ), Phần mềm Architecture Engineering &amp; Construction (01 Bộ)</t>
  </si>
  <si>
    <t>CÔNG TY TNHH XÂY DỰNG VÀ THIẾT KẾ PHONG CÁCH MỚI - THE MODERN TOUCH</t>
  </si>
  <si>
    <t>PO09/CICHCM2024</t>
  </si>
  <si>
    <t>Phần mềm V-Ray Premium Annual License (01 Bộ)</t>
  </si>
  <si>
    <t>PO10/CICHCM2024</t>
  </si>
  <si>
    <t>Phần mềm Exchange Online Kiosk - 12 months</t>
  </si>
  <si>
    <t>CÔNG TY TNHH SX &amp; TM KD ÁNH DƯƠNG XANH</t>
  </si>
  <si>
    <t>PO11/CICHCM2024</t>
  </si>
  <si>
    <t>Phần mềm Microsoft Copilot for Microsoft 365 - 12 Months (01 Bộ)</t>
  </si>
  <si>
    <t>PO12/CICHCM2024</t>
  </si>
  <si>
    <t>Phần mềm AutoCAD LT 2024 (02 Bộ)</t>
  </si>
  <si>
    <t>CÔNG TY TNHH HÓA DẦU LONG SƠN</t>
  </si>
  <si>
    <t>PO13/CICHCM2024</t>
  </si>
  <si>
    <t>Nâng cấp phần mềm enjiCAD Pro - Standalone license từ V21 lên V24 (03 Bộ)</t>
  </si>
  <si>
    <t>CÔNG TY TNHH THIẾT KẾ DƯƠNG BẢN</t>
  </si>
  <si>
    <t>14/CICHCM2024</t>
  </si>
  <si>
    <t>Phần mềm Advance Steel 2024 Commercial New Single-user ELD Annual Subscription (01 Bộ)</t>
  </si>
  <si>
    <t>CÔNG TY TNHH SIMPSON STRONG-TIE VIỆT NAM</t>
  </si>
  <si>
    <t>15/CICHCM2024</t>
  </si>
  <si>
    <t>Phần mềm enjiCAD Pro - Network License (05 Bộ)</t>
  </si>
  <si>
    <t>16/CICHCM2024</t>
  </si>
  <si>
    <t>Phần mềm enjiCAD Pro (01 Bộ), Phần mềm Revit 2024 Commercial New Singleuser ELD (01 Bộ)</t>
  </si>
  <si>
    <t>17/CICHCM2024</t>
  </si>
  <si>
    <t>Bảo trì phần mềm SAP2000 - 01 year (03 Bộ), Bảo trì phần mềm SAFE Post (01 Bộ)</t>
  </si>
  <si>
    <t>CÔNG TY CỔ PHẦN TƯ VẤN XÂY DỰNG ĐIỆN 2</t>
  </si>
  <si>
    <t>19/CICHCM2024</t>
  </si>
  <si>
    <t>Phần mềm soạn thảo văn bản, bảng tính office (02 Bộ), Phần mềm vẽ xây dựng Phần mềm enjiCAD Professional Standalone Thuê bao 1 năm (02 Bộ)</t>
  </si>
  <si>
    <t>CÔNG TY CỔ PHẦN TƯ VẤN XÂY DỰNG GIAO THÔNG KTC</t>
  </si>
  <si>
    <t>PO14/CICHCM2024</t>
  </si>
  <si>
    <t>Phần mềm Microsoft Visio LTSC Standard 2021 (01 Bộ)</t>
  </si>
  <si>
    <t>PO15/CICHCM2024</t>
  </si>
  <si>
    <t>Phần mềm Exchange Online Kiosk - 12 months (06 Bộ)</t>
  </si>
  <si>
    <t>CÔNG TY CỔ PHẦN CƠ KHÍ KT</t>
  </si>
  <si>
    <t>PO16/CICHCM2024</t>
  </si>
  <si>
    <t>Phần mềm Creative Cloud (01 Bộ)</t>
  </si>
  <si>
    <t>CÔNG TY CỔ PHẦN NĂNG LƯỢNG TTC</t>
  </si>
  <si>
    <t>PO18/CICHCM2024</t>
  </si>
  <si>
    <t>Phần mềm enjiCAD Standard Standalone license - License sử dụng vĩnh viễn (01 Bộ)</t>
  </si>
  <si>
    <t>PO19/CICHCM2024</t>
  </si>
  <si>
    <t>Phần mềm Win Pro 11 64Bit Eng Intl 1pk DSP OEI DVD ( FQC-10528) (01 Bộ)</t>
  </si>
  <si>
    <t>CÔNG TY KHAI THÁC ĐÁ VÔI YABASHI VIỆT NAM</t>
  </si>
  <si>
    <t>PO20/CICHCM2024</t>
  </si>
  <si>
    <t>Phần mềm Cisco Umbrella Secure Internet Gateway Essentials (252 Bộ), Phần mềm Acrobat Pro (28 Bộ), Phần mềm AutoCAD LT (18 Bộ) ...</t>
  </si>
  <si>
    <t>CÔNG TY TNHH Ô TÔ ISUZU VIỆT NAM</t>
  </si>
  <si>
    <t>21/CICHCM2024</t>
  </si>
  <si>
    <t>Phần mềm Revit Commercial New Single user ELD 3-Year Subscription (01 Bộ)</t>
  </si>
  <si>
    <t>CÔNG TY TNHH KIẾN TRÚC N.Q.H</t>
  </si>
  <si>
    <t>22/CICHCM2024</t>
  </si>
  <si>
    <t>Phần mềm ADAPT-Builder PT Subscription - Legacy - Yearly - 1st License Renewal (from 03/02/2024 to 03/02/2025) (01 Bộ)</t>
  </si>
  <si>
    <t>CÔNG TY TNHH RANKINE &amp; HILL (VIỆT NAM)</t>
  </si>
  <si>
    <t>PO21/CICHCM2024</t>
  </si>
  <si>
    <t>Bảo trì phần mềm PLAXIS 2D Ultimate SELECT Subscription– (Bao gồm Plaxis 2D, Plaxflow, Dynamics, Thernmal) (10 February 2024 - 09 February 2025) (01 Bộ)</t>
  </si>
  <si>
    <t>CONG TY TNHH DAU TU XAY DUNG UNICONS</t>
  </si>
  <si>
    <t>PO22/CICHCM2024</t>
  </si>
  <si>
    <t>Phần mềm Microsoft 365 Business Standard - 12 Months (35 Bộ), Phần mềm Microsoft 365 Business Basic – 12 Months (02 Bộ)</t>
  </si>
  <si>
    <t>PO23/CICHCM2024</t>
  </si>
  <si>
    <t>Phần mềm Foxit PDF Editor Pro for Teams - Subcription - Sử dụng thuê bao 1 năm (01 Bộ)</t>
  </si>
  <si>
    <t>CÔNG TY CỔ PHẦN TÍCH HỢP GIẢI PHÁP KST</t>
  </si>
  <si>
    <t>PO24/CICHCM2024</t>
  </si>
  <si>
    <t>Phần mềm KATA (03 Bộ)</t>
  </si>
  <si>
    <t>CÔNG TY TNHH KSP VIỆT NAM</t>
  </si>
  <si>
    <t>23/CICHCM2024</t>
  </si>
  <si>
    <t>Phần mềm Architecture Engineering &amp; Construction Collection Commercial Single user Annual Subscription Renewal End date: 28/03/2025 (04 Bộ)</t>
  </si>
  <si>
    <t>CÔNG TY CỔ PHẦN KIẾN TRÚC TƯ VẤN QUẢN LÝ ĐÔNG DƯƠNG</t>
  </si>
  <si>
    <t>24/CICHCM2024</t>
  </si>
  <si>
    <t>Bảo trì phần mềm Etabs Nonlinear (01 Bộ), Bảo trì phần mềm SAP2000 (05 Bộ), Phần mềm SOLIDWORKS Standard  (01 Bộ)</t>
  </si>
  <si>
    <t>25/CICHCM2024</t>
  </si>
  <si>
    <t>Phần mềm enjiCAD Pro - Standalone license (12-11 Bộ)</t>
  </si>
  <si>
    <t>CÔNG TY CỔ PHẦN FECON SOUTH - hủy - thực hiện mua 01 bộ EnjiCad</t>
  </si>
  <si>
    <t>26/CICHCM2024</t>
  </si>
  <si>
    <t>Phần mềm Exchange Online Kiosk -12 months (31 Bộ)</t>
  </si>
  <si>
    <t>CÔNG TY TNHH TÂN VIỆT TIẾN</t>
  </si>
  <si>
    <t>27/CICHCM2024</t>
  </si>
  <si>
    <t>Bảo trì phần mềm SAP2000 (03 Bộ), Phần mềm CFS Network License (03 Bộ), Phần mềm SAP2000 Advanced (01 Bộ)</t>
  </si>
  <si>
    <t>28/CICHCM2024</t>
  </si>
  <si>
    <t>Phần mềm SketchUp Pro (01 Bộ)</t>
  </si>
  <si>
    <t>CÔNG TY CỔ PHẦN TƯ VẤN XÂY DỰNG TỔNG HỢP</t>
  </si>
  <si>
    <t>29/CICHCM2024</t>
  </si>
  <si>
    <t>Phần mềm Creative Cloud for teams All (01 Bộ)</t>
  </si>
  <si>
    <t>CÔNG TY CỔ PHẦN XÂY DỰNG VÀ THƯƠNG MẠI TTT</t>
  </si>
  <si>
    <t>30/CICHCM2024</t>
  </si>
  <si>
    <t>Phần mềm AutoCAD LT Commercial (01 Bộ)</t>
  </si>
  <si>
    <t>CÔNG TY TNHH TƯ VẤN THIẾT KẾ KIỂM ĐỊNH XÂY DỰNG N.A.D</t>
  </si>
  <si>
    <t>PO25/CICHCM2024</t>
  </si>
  <si>
    <t>Bảo trì phần mềm IDEA (01 Bộ), Phần mềm CFS Network (01 Bộ)</t>
  </si>
  <si>
    <t>CÔNG TY TNHH NHÀ THÉP PEB</t>
  </si>
  <si>
    <t>PO26/CICHCM2024</t>
  </si>
  <si>
    <t>Phần mềm Enscape Floating Annual License (01 Bộ)</t>
  </si>
  <si>
    <t>CÔNG TY TRÁCH NHIỆM HỮU HẠN ONECAD VIET NAM</t>
  </si>
  <si>
    <t>PO29/CICHCM2024</t>
  </si>
  <si>
    <t>Phần mềm enjiCAD Standard - Standalone Licens (01 Bộ)</t>
  </si>
  <si>
    <t>CHIN NHÁNH CÔNG TY TNHH KINDEN VIỆT NAM</t>
  </si>
  <si>
    <t>PO30/CICHCM2024</t>
  </si>
  <si>
    <t>PO31/CICHCM2024</t>
  </si>
  <si>
    <t>PO32/CICHCM2024</t>
  </si>
  <si>
    <t>Phần mềm Microsoft 365 (06 Bộ)</t>
  </si>
  <si>
    <t>CÔNG TY TNHH HÀNG HẢI VŨ KHANG</t>
  </si>
  <si>
    <t>PO33/CICHCM2024</t>
  </si>
  <si>
    <t>Phần mềm SketchUp Pro (05 Bộ)</t>
  </si>
  <si>
    <t>PO34/CICHCM2024</t>
  </si>
  <si>
    <t>Phần mềm Enscape Floating Annual License (02 Bộ)</t>
  </si>
  <si>
    <t>PO35/CICHCM2024</t>
  </si>
  <si>
    <t>Phần mềm Lumion Pro 3-Year Subscription (01 Bộ)</t>
  </si>
  <si>
    <t>PO36/CICHCM2024</t>
  </si>
  <si>
    <t>Phần mềm GstarCAD Pro (Included subsctiption (02 Bộ)
initial 1 year)</t>
  </si>
  <si>
    <t>CÔNG TY TNHH TƯ VẤN KỸ THUẬT TIN HỌC VÀ THƯƠNG MẠI VIỆT C.A.D</t>
  </si>
  <si>
    <t>PO37/CICHCM2024</t>
  </si>
  <si>
    <t>32/CICHCM2024</t>
  </si>
  <si>
    <t>Phần mềm enjiCAD Standard Standalone License (02 Bộ), Phần mềm enjiCAD Professional Standalone License (01 Bộ)</t>
  </si>
  <si>
    <t>CÔNG TY TNHH MỘT THÀNH VIÊN MÔI TRƯỜNG PHÚ DỤ</t>
  </si>
  <si>
    <t>33/CICHCM2024</t>
  </si>
  <si>
    <t>Bảo trì phần mềm ETABS Plus Standalone Maintenance Agreement (01 Bộ)</t>
  </si>
  <si>
    <t>CÔNG TY CỔ PHẦN KIỂM ĐỊNH XÂY DỰNG SÀI GÒN (SCQC)</t>
  </si>
  <si>
    <t>34/CICHCM2024</t>
  </si>
  <si>
    <t>Bảo trì phần mềm ETABS (01 Bộ), Bảo trì phần mềm Sap2000 (01 Bộ), Gia hạn phần mềm CFS Network (01 Bộ)</t>
  </si>
  <si>
    <t>CÔNG TY CP KẾT CẤU THÉP QH PLUS</t>
  </si>
  <si>
    <t>36/CICHCM2024</t>
  </si>
  <si>
    <t>Bảo trì phần mềm Etabs (02 Bộ)</t>
  </si>
  <si>
    <t>38/CICHCM2024</t>
  </si>
  <si>
    <t>Phần mềm enjiCAD Professional – Standalone License - sử dụng vĩnh viễn (01 Bộ)</t>
  </si>
  <si>
    <t>39/CICHCM2024</t>
  </si>
  <si>
    <t>40/CICHCM2024</t>
  </si>
  <si>
    <t>Phần mềm Endpoint Protection (10 Bộ)</t>
  </si>
  <si>
    <t>CÔNG TY TNHH KỸ THUẬT SHINSEI VIỆT NAM</t>
  </si>
  <si>
    <t>41/CICHCM2024</t>
  </si>
  <si>
    <t>Phần mềm ETABS (01 Bộ), Phần mềm Safe license (01 Bộ)</t>
  </si>
  <si>
    <t>42/CICHCM2024</t>
  </si>
  <si>
    <t>Bảo trì phần mềm ETABS Plus (03 Bộ)</t>
  </si>
  <si>
    <t>COÔNG TY TNHH KAJIMA VIỆT NAM</t>
  </si>
  <si>
    <t>44/CICHCM2024</t>
  </si>
  <si>
    <t>Phần mềm Cubicost TAS, 3-years Subscription (Thuê bao 3 năm) (02 Bộ)</t>
  </si>
  <si>
    <t>CÔNG TY TNHH MỘT THÀNH VIÊN HOÀNG PHÚC</t>
  </si>
  <si>
    <t>PO38/CICHCM2024</t>
  </si>
  <si>
    <t>Phần mềm Kata pro gói doanh nghiệp 12 tháng (05 Bộ)</t>
  </si>
  <si>
    <t>CÔNG TY TNHH XÂY DỰNG TUẤN LÊ</t>
  </si>
  <si>
    <t>PO39/CICHCM2024</t>
  </si>
  <si>
    <t>Phần mềm TechSmith Camtasia-23 Upgrade + Maintenance 1-4 Users Commercial (01 Bộ)</t>
  </si>
  <si>
    <t>CÔNG TY TNHH CONTROL UNION VIỆT NAM</t>
  </si>
  <si>
    <t>43/CICHCM2024</t>
  </si>
  <si>
    <t>Phần mềm ETABS Plus Cloud Sign-in license (01 Bộ), Bảo trì phần mềm ETABS Plus Cloud Sign-in Maintenance - 01 year (01 Bộ)</t>
  </si>
  <si>
    <t>CÔNG TY CỔ PHẦN TƯ VẤN KIỂM ĐỊNH XÂY DỰNG QUỐC TẾ - (ITCA bắt bản quyền)</t>
  </si>
  <si>
    <t>45/CICHCM2024</t>
  </si>
  <si>
    <t>Phần mềm enjiCAD Pro - Standalone license (Sử dụng vĩnh viễn) (14 Bộ)</t>
  </si>
  <si>
    <t>PO40/CICHCM2024</t>
  </si>
  <si>
    <t>CÔNG TY CỔ PHẦN THƯƠNG MẠI VÀ PHÁT TRIỂN KỸ THUẬT CAO VIHOTH</t>
  </si>
  <si>
    <t>PO41/CICHCM2024</t>
  </si>
  <si>
    <t>CÔNG TY TNHH TƯ VẤN THIẾT KẾ XÂY DỰNG RFR PHÁP VIỆT</t>
  </si>
  <si>
    <t>PO42/CICHCM2024</t>
  </si>
  <si>
    <t>Phần mềm NORTON SECURITY - 12 MONTHS (10 Bộ)</t>
  </si>
  <si>
    <t>PO43/CICHCM2024</t>
  </si>
  <si>
    <t>Phần mềm enjiCAD Pro - Standalone license (1 user) (01 Bộ)</t>
  </si>
  <si>
    <t>CÔNG TY TNHH THỰC PHẨM NISSIN VIỆT NAM</t>
  </si>
  <si>
    <t>PO44/CICHCM2024</t>
  </si>
  <si>
    <t>Phần mềm AutoCAD LT Commercial Single user Annual Subscription Renewal (01 Bộ)</t>
  </si>
  <si>
    <t>CÔNG TY TRÁCH NHIỆM HỮU HẠN T.T.T.I</t>
  </si>
  <si>
    <t>PO45/CICHCM2024</t>
  </si>
  <si>
    <t>Phần mềm GstarCAD Standard Network License (02 Bộ)</t>
  </si>
  <si>
    <t>CÔNG TY CỔ PHẦN PHÁT TRIỂN KỸ THUẬT VÀ THƯƠNG MẠI TÂN ĐỨC (TD&amp;T)</t>
  </si>
  <si>
    <t>PO46/CICHCM2024</t>
  </si>
  <si>
    <t>Bảo trì phần mềm Sap2000 Basic Standalone Maintenance Agreement - 01 year (21-Apr- 2024 to 20-Apr-2025) (01 Bộ)</t>
  </si>
  <si>
    <t>CÔNG TY CỔ PHẦN MOTILA</t>
  </si>
  <si>
    <t>PO47/CICHCM2024</t>
  </si>
  <si>
    <t>Phần mềm Kata pro gói doanh nghiệp 12 tháng (06 Bộ)</t>
  </si>
  <si>
    <t>PO48/CICHCM2024</t>
  </si>
  <si>
    <t>Phần mềm GstarCAD Standard Standalone License (03 Bộ)</t>
  </si>
  <si>
    <t>PO49/CICHCM2024</t>
  </si>
  <si>
    <t>Phần mềm enjiCAD Standard - Standalone license (05 Bộ)</t>
  </si>
  <si>
    <t>PO50/CICHCM2024</t>
  </si>
  <si>
    <t>Phần mềm Creative Cloud (01 Bộ), Phần mềm SketchUp Pro (01 Bộ), Phần mềm Bluebeam Basics (01 Bộ) ...</t>
  </si>
  <si>
    <t>PO51/CICHCM2024</t>
  </si>
  <si>
    <t>Phần mềm enjiCAD Standard - Standalone license - Sử dụng vĩnh viễn (01 Bộ)</t>
  </si>
  <si>
    <t>NGUYỄN ĐÌNH TRUNG</t>
  </si>
  <si>
    <t>46/CICHCM2024</t>
  </si>
  <si>
    <t>Bảo trì phần mềm SAFE PT Standalone Maintenance Agreement 01 year (01 Bộ), Bảo trì phần mềm Etabs Nonlinear Standalone Maintenance Agreement 01 year  (01 Bộ)</t>
  </si>
  <si>
    <t>CÔNG TY TNHH INDOCHINE ENGINEERING VIỆT NAM</t>
  </si>
  <si>
    <t>47/CICHCM2024</t>
  </si>
  <si>
    <t>Phần mềm AutoCAD - including specialized toolsets AD Commercial (12 Bộ), Phần mềm Revit 2024  (12 Bộ)</t>
  </si>
  <si>
    <t>48/CICHCM2024</t>
  </si>
  <si>
    <t>Phần mềm Acrobat Pro for teams ALL Multiple Platforms Multi Asian Languages Subscription new 12 months (01 Bộ)</t>
  </si>
  <si>
    <t>CÔNG TY CỔ PHẦN KỸ THUẬT VÀ XÂY LẮP MINH VIỆT</t>
  </si>
  <si>
    <t>49/CICHCM2024</t>
  </si>
  <si>
    <t>Phần mềm CFS Network License Annual</t>
  </si>
  <si>
    <t>CÔNG TY TNHH KIRBY ĐÔNG NAM Á</t>
  </si>
  <si>
    <t>50/CICHCM2024</t>
  </si>
  <si>
    <t>Phần mềm BIM Collaborate Pro - 10 Subscription Commercial Annual Subscription Renewal End date: 16/04/2025 (02 Bộ)</t>
  </si>
  <si>
    <t>CÔNG TY CỔ PHẦN TƯ VẤN XÂY DỰNG ĐIỆN 4</t>
  </si>
  <si>
    <t>51/CICHCM2024</t>
  </si>
  <si>
    <t>Phần mềm Build -550 Commercial Single-User Annual Subsription Renewal - End date 12/04/2025 (02 Bộ)</t>
  </si>
  <si>
    <t>CÔNG TY CỔ PHẦN TẬP ĐOÀN XÂY DỰNG HÒA BÌNH</t>
  </si>
  <si>
    <t>52/CICHCM2024</t>
  </si>
  <si>
    <t>Bảo trì phần mềm STAAD.Pro SELECT (22 Bộ), Bảo trì phần mềm RAM Connection SELECT Subscription (End date 30 May 2025) (01 Bộ)</t>
  </si>
  <si>
    <t>53/CICHCM2024</t>
  </si>
  <si>
    <t>Phần mềm ETABS Ultimate Cloud Sign-in license (01 Bộ), Bảo trì phần mềm ETABS Plus 01 year (01 Bộ), Phần mềm SAFE Standard  (01 Bộ), Bảo trì phần mềm SAFE  (01 Bộ)</t>
  </si>
  <si>
    <t>CÔNG TY TNHH MỘT THÀNH VIÊN ĐẦU TƯ DHA - (ITCA bắt bản quyền)</t>
  </si>
  <si>
    <t>54/CICHCM2024</t>
  </si>
  <si>
    <t>Bảo trì phần mềm Etabs Nonlinear - Cloud Maintenance Agreement - 01 year (01 Bộ)</t>
  </si>
  <si>
    <t>CÔNG TY TNHH TƯ VẤN KỸ THUẬT EDGE VIỆT NAM</t>
  </si>
  <si>
    <t>PO52/CICHCM2024</t>
  </si>
  <si>
    <t>Phần mềm V-Ray Premium 3 Year License (01 Bộ)</t>
  </si>
  <si>
    <t>PO53/CICHCM2024</t>
  </si>
  <si>
    <t>Phần mềm Microsoft 365 Business Standard - 12 Months (02 Bộ)</t>
  </si>
  <si>
    <t>PO54/CICHCM2024</t>
  </si>
  <si>
    <t>Phần mềm AutoCAD LT Commercial Single-user Annual Subscription Renewal (01 Bộ)</t>
  </si>
  <si>
    <t>CÔNG TY CỔ PHẦN THỨC ĂN CHĂN NUÔI VIỆT THẮNG</t>
  </si>
  <si>
    <t>PO55/CICHCM2024</t>
  </si>
  <si>
    <t>Phần mềm AutoCAD LT 2024 (01 Bộ), Phần mềm Microsoft 365 Business Basic (01 Bộ)</t>
  </si>
  <si>
    <t>PO56/CICHCM2024</t>
  </si>
  <si>
    <t>Phần mềm GstarCAD Pro (01 Bộ)</t>
  </si>
  <si>
    <t>PO57/CICHCM2024</t>
  </si>
  <si>
    <t>Phần mềm BIM Collaborate Pro (04 Bộ)</t>
  </si>
  <si>
    <t>CÔNG TY CỔ PHẦN KIẾN TRÚC MH</t>
  </si>
  <si>
    <t>55/CICHCM2024</t>
  </si>
  <si>
    <t>Phần mềm Vẽ kỹ thuật (CAD) (PM EnjiCAD Pro) (50 Bộ)</t>
  </si>
  <si>
    <t>CÔNG TY ĐIỆN LỰC BÌNH PHƯỚC</t>
  </si>
  <si>
    <t>56/CICHCM2024</t>
  </si>
  <si>
    <t>Phần mềm JetBrains All Products Pack - Commercial annual subscription (07 Bộ)</t>
  </si>
  <si>
    <t>57/CICHCM2024</t>
  </si>
  <si>
    <t>Phần mềm ETABS Nonlinear Cloud Sign-in license (01 Bộ), Bảo trì phần mềm ETABS Nonlinear Cloud Sign-in Maintenance - 01 year (01 Bộ)</t>
  </si>
  <si>
    <t>CÔNG TY TNHH ASPIRE STEEL INTERNATIONAL - (ITCA bắt bản quyền)</t>
  </si>
  <si>
    <t>59/CICHCM2024</t>
  </si>
  <si>
    <t>Bảo trì phần mềm ETABS Nonlinear Network Maintenance Agreement - 01 year (04 Bộ), Bảo trì phần mềm SAFE Standard Network Maintenance Agreement - 01 year (02 Bộ)</t>
  </si>
  <si>
    <t>CÔNG TY TNHH ARUP VIỆT NAM</t>
  </si>
  <si>
    <t>60/CICHCM2024</t>
  </si>
  <si>
    <t>Phần mềm SOLIDWORKS CAM Standard Included (01 Bộ)</t>
  </si>
  <si>
    <t>CÔNG TY CỔ PHẦN FIRST INDUSTRIES VIỆT NAM</t>
  </si>
  <si>
    <t>61/CICHCM2024</t>
  </si>
  <si>
    <t>Phần mềm enjiCAD Standard - Standalone license (02 Bộ)</t>
  </si>
  <si>
    <t>CÔNG TY TNHH XÂY DỰNG SOLUTIONS</t>
  </si>
  <si>
    <t>62/CICHCM2024</t>
  </si>
  <si>
    <t>Phần mềm Creative Cloud for teams All (01 Bộ), Phần mềm Microsoft 365 Apps for Business_12 months (24 Bộ)</t>
  </si>
  <si>
    <t>CÔNG TY CỔ PHẦN THIẾT KẾ TTT ARCHITECTS</t>
  </si>
  <si>
    <t>63/CICHCM2024</t>
  </si>
  <si>
    <t>Phần mềm Microsoft 365 Apps for Business_12 months (48 Bộ), Phần mềm TeamViewer Corporate Subscription (01 Bộ)</t>
  </si>
  <si>
    <t>PO58/CICHCM2024</t>
  </si>
  <si>
    <t>Phần mềm Foxit PDF Editor Pro for Teams (01 Bộ)</t>
  </si>
  <si>
    <t>CÔNG TY TNHH NEXTERN VIỆT NAM</t>
  </si>
  <si>
    <t>PO59/CICHCM2024</t>
  </si>
  <si>
    <t>Nâng cấp phần mềm GstarCAD Standard - Standalone license V2019 lên V2024 (01 Bộ)</t>
  </si>
  <si>
    <t>CÔNG TY TNHH GIẢI PHÁP VÀ CÔNG NGHỆ VIHOTH</t>
  </si>
  <si>
    <t>PO60/CICHCM2024</t>
  </si>
  <si>
    <t>Phần mềm V-Ray Solo Annual License (01 bỘ)</t>
  </si>
  <si>
    <t>CÔNG TY TNHH ONECAD VIET NAM (PO ký với CÔNG TY TNHH VT SERVICES)</t>
  </si>
  <si>
    <t>PO61/CICHCM2024</t>
  </si>
  <si>
    <t>Nâng cấp phần mềm enjiCAD Standard lên Professional Standalone license (01 Bộ)</t>
  </si>
  <si>
    <t>PO62/CICHCM2024</t>
  </si>
  <si>
    <t>Phần mềm Microsoft 365 Apps for Business_12 months (01 Bộ)</t>
  </si>
  <si>
    <t>CÔNG TY CỔ PHẦN XÂY DỰNG VÀ TRANG TRÍ NỘI THẤT SÀI GÒN XANH</t>
  </si>
  <si>
    <t>64/CICHCM2024</t>
  </si>
  <si>
    <t>Phần mềm Sap2000 Advanced (01 Bộ), Bảo trì phần mềm Sap2000 Advanced (01 Bộ)</t>
  </si>
  <si>
    <t>65/CICHCM2024</t>
  </si>
  <si>
    <t>Bảo trì phần mềm Etabs Ultimate Network (03 Bộ), Bảo trì phần mềm SAFE Post (01 Bộ), Bảo trì phần mềm Continuous Beam (02 Bộ) ...</t>
  </si>
  <si>
    <t>66/CICHCM2024</t>
  </si>
  <si>
    <t>Phần mềm Microsoft 365 Business Basic - 12 months (11/05/2024 – 11/05/2025) (10 Bộ)</t>
  </si>
  <si>
    <t>CÔNG TY TNHH TM THẾ KỶ VÀNG</t>
  </si>
  <si>
    <t>67/CICHCM2024</t>
  </si>
  <si>
    <t>Phần mềm enjiCAD Professional - Standalone license - sử dụng vĩnh viễn (01 Bộ)</t>
  </si>
  <si>
    <t>ĐỖ TRỌNG PHƯƠNG</t>
  </si>
  <si>
    <t>PO63/CICHCM2024</t>
  </si>
  <si>
    <t>Phần mềm Microsoft 365 Business Basic - 12 months ( 03 Bộ)</t>
  </si>
  <si>
    <t>CÔNG TY TNHH SAVILLS (VIỆT NAM) - Masterise Group</t>
  </si>
  <si>
    <t>68/CICHCM2024</t>
  </si>
  <si>
    <t>Phần mềm SAFE v21 Standard Cloud Sign-in Pepertual License (01 Bộ), Bảo trì phần mềm SAFE Standard Cloud (01 Bộ)</t>
  </si>
  <si>
    <t>69/CICHCM2024</t>
  </si>
  <si>
    <t>Bảo trì phần mềm SAP2000 Plus Network Maintenance Agreement – 01 year (từ 21/05/2024 đến 20/05/2025) (04 Bộ)</t>
  </si>
  <si>
    <t>CÔNG TY TNHH INDUSTRIELLE BETEILIGUNG</t>
  </si>
  <si>
    <t>70/CICHCM2024</t>
  </si>
  <si>
    <t>Phần mềm ETABS v21 Nonlinear Cloud Sign-in - Perpetual license (01 Bộ), Bảo trì phần mềm ETABS  (01 Bộ), Nâng cấp phần mềm SAFE v2014 Standard (01 Bộ), Bảo trì phần mềm SAFE Standard  (01 Bộ)</t>
  </si>
  <si>
    <t>CÔNG TY TNHH ARCHETYPE VIỆT NAM</t>
  </si>
  <si>
    <t>71/CICHCM2024</t>
  </si>
  <si>
    <t>Phần mềm V-Ray (01 Bộ), Phần mềm Photoshop (01 Bộ)</t>
  </si>
  <si>
    <t>CÔNG TY CỔ PHẦN TOÀN HẢI VÂN</t>
  </si>
  <si>
    <t>72/CICHCM2024</t>
  </si>
  <si>
    <t>Bảo trì phần mềm PLAXIS 2D Advanced SELECT Subscription (01 June 2024 - 31 May 2025) (01 Bộ)</t>
  </si>
  <si>
    <t>CÔNG TY CỔ PHẦN ĐẦU TƯ XÂY DỰNG RICONS</t>
  </si>
  <si>
    <t>73/CICHCM2024</t>
  </si>
  <si>
    <t>Phần mềm ETABS Nonlinear Cloud Sign-in Pepertual License (01 Bộ), Bảo trì phần mềm ETABS Nonlinear Cloud Sign-in Maintenance - 01 year (01 Bộ)</t>
  </si>
  <si>
    <t>CÔNG TY CỔ PHẦN XÂY DỰNG ALC - (ITCA bắt bản quyền)</t>
  </si>
  <si>
    <t>74/CICHCM2024</t>
  </si>
  <si>
    <t>CHI NHÁNH CÔNG TY TNHH QUỐC TẾ T.Y.LIN VIỆT NAM TẠI TP.HCM - (ITCA bắt bản quyền)</t>
  </si>
  <si>
    <t>75/CICHCM2024</t>
  </si>
  <si>
    <t>Nâng cấp phần mềm ETABS (01 Bộ), Bảo trì phần mềm ETABS Nonlinear  (01 Bộ)</t>
  </si>
  <si>
    <t>Bảo trì phần mềm SAFE P/T (01 Bộ), Bảo trì phần mềm PLAXIS 2D  (02 Bộ)</t>
  </si>
  <si>
    <t>CÔNG TY CỔ PHẦN TẬP ĐOÀN XÂY DỰNG HÒA BÌNH - Đã ký HĐ nhưng chưa thực hiện năm 2024 - Yến báo 11/12/2024 - Đã CK tiền nhưng 2025 mới xuất hóa đơn</t>
  </si>
  <si>
    <t>76/CICHCM2024</t>
  </si>
  <si>
    <t>Phần mềm Architecture Engineering &amp; Construction Collection IC (08 Bộ), Phần mềm Docs - 25 Subscription Commercial Annual Subscription Renewal (01 Bộ)</t>
  </si>
  <si>
    <t>CÔNG TY CỔ PHẦN TẬP ĐOÀN XÂY DỰNG HÒA BÌNH - Yến báo sẽ CK tiền trong tuần này - Yến báo HỦY 15/01/2025</t>
  </si>
  <si>
    <t>77/CICHCM2024</t>
  </si>
  <si>
    <t>Phần mềm Sap2000 Ultimate (01 Bộ), Bảo trì phần mềm Sap2000 Ultimate (01 Bộ), Phần mềm ETABS Ultimate (01 Bộ), Bảo trì phần mềm Etabs Ultimate (01 Bộ) ...</t>
  </si>
  <si>
    <t>CÔNG TY CP CÔNG NGHỆ THÔNG TIN VIỄN THÔNG THẠCH ANH</t>
  </si>
  <si>
    <t>78/CICHCM2024</t>
  </si>
  <si>
    <t>Phần mềm Revit Commercial Single (20 Bộ), Phần mềm AutoCAD (15 Bộ), Phần mềm Architecture Engineering &amp;
Construction Collection (04 Bộ), Phần mềm 3ds Max 2025 (02 Bộ)</t>
  </si>
  <si>
    <t>79/CICHCM2024</t>
  </si>
  <si>
    <t>Phần mềm BIM Collaborate Pro (09 Bộ), Phần mềm BIM Collaborate Pro (01 Bộ)</t>
  </si>
  <si>
    <t>80/CICHCM2024</t>
  </si>
  <si>
    <t>Phần mềm SketchUp Pro (02 Bộ)</t>
  </si>
  <si>
    <t>81/CICHCM2024</t>
  </si>
  <si>
    <t>Phần mềm Mastercam (01 Bộ)</t>
  </si>
  <si>
    <t>CÔNG TY TNHH CORSAIR MARINE INTERNATIONAL</t>
  </si>
  <si>
    <t>PO64/CICHCM2024</t>
  </si>
  <si>
    <t>Phần mềm Phần mềm SQL Server 2022 Standard Edition (01 Bộ)</t>
  </si>
  <si>
    <t>CÔNG TY CP DỊCH VỤ KỸ THUẬT BẢO AN</t>
  </si>
  <si>
    <t>PO65/CICHCM2024</t>
  </si>
  <si>
    <t>Phần mềm Trellix Standard 1:1TE (13 Bộ)</t>
  </si>
  <si>
    <t>PO67/CICHCM2024</t>
  </si>
  <si>
    <t>Bảo trì phần mềm ETABS Nonlinear - Standalone Maintenance Agreement - 01 year ( 06-June-2024 to 5-June-2025) (01 Bộ)</t>
  </si>
  <si>
    <t>CÔNG TY TNHH HBP PROJECT MANAGEMENT</t>
  </si>
  <si>
    <t>PO68/CICHCM2024</t>
  </si>
  <si>
    <t>Phần mềm enjiCAD Standard - Standalone license (01 Bộ)</t>
  </si>
  <si>
    <t>PO69/CICHCM2024</t>
  </si>
  <si>
    <t>Phần mềm Creative Cloud for teams All Apps ALL Multiple Platforms Multi Asian (01 Bộ)</t>
  </si>
  <si>
    <t>CÔNG TY TNHH DỊCH VỤ MASTERISE THEME PARK</t>
  </si>
  <si>
    <t>PO71/CICHCM2024</t>
  </si>
  <si>
    <t>Phần mềm AutoCAD LT 2025 Commercial New Single-user ELD Annual Subscription (01 Bộ)</t>
  </si>
  <si>
    <t>CÔNG TY TNHH NOVENTIQ VIỆT NAM</t>
  </si>
  <si>
    <t>PO72/CICHCM2024</t>
  </si>
  <si>
    <t>Phần mềm Endpoint Protection, Subscription License (01 Bộ)</t>
  </si>
  <si>
    <t>PO73/CICHCM2024</t>
  </si>
  <si>
    <t>Phần mềm AutoCAD LT Commercial Single-user Annual Subscription Renewal (02 Bộ)</t>
  </si>
  <si>
    <t>CÔNG TY TNHH KIẾN TRÚC VIỆT</t>
  </si>
  <si>
    <t>82/CICHCM2024</t>
  </si>
  <si>
    <t>Phần mềm BIM Collaborate Pro (02 Bộ)</t>
  </si>
  <si>
    <t>KHA SÁCH PHÚC</t>
  </si>
  <si>
    <t>83/CICHCM2024</t>
  </si>
  <si>
    <t>Phần mềm enjiCAD ProStd (13 Bộ), Phần mềm Winrar (39 Bộ), Phần mềm đọc file PDF (39 Bộ) ...</t>
  </si>
  <si>
    <t>CÔNG TY THỦY ĐIỆN HUỘI QUẢNG - BẢN CHÁT - CHI NHÁNH TẬP ĐOÀN ĐIỆN LỰC VIỆT NAM</t>
  </si>
  <si>
    <t>84/CICHCM2024</t>
  </si>
  <si>
    <t>Phần mềm Windows GGWA (15 Bộ), Phần mềm Office LTSC Standard 2021 (10 Bộ) ...</t>
  </si>
  <si>
    <t>CÔNG TY CỔ PHẦN KẾT CẤU THÉP MINH TRỊ</t>
  </si>
  <si>
    <t>85/CICHCM2024</t>
  </si>
  <si>
    <t>Phần mềm Architecture Engineering &amp; Construction Collection (05 Bộ), Phần mềm BIM Collaborate (01 Bộ)</t>
  </si>
  <si>
    <t>CÔNG TY CỔ PHẦN TƯ VẤN XÂY DỰNG ĐIỆN 3</t>
  </si>
  <si>
    <t>PL HĐ 85/CICHCM2024</t>
  </si>
  <si>
    <t>Phần mềm Architecture Engineering &amp; Construction Collection (13 Bộ)</t>
  </si>
  <si>
    <t>86/CICHCM2024</t>
  </si>
  <si>
    <t>Phần mềm Foxit PDF Editor for Teams (WIN) (20 Bộ)</t>
  </si>
  <si>
    <t>87/CICHCM2024</t>
  </si>
  <si>
    <t>Phần mềm enjiCAD Standard - Standalone license (03 Bộ)</t>
  </si>
  <si>
    <t>88/CICHCM2024</t>
  </si>
  <si>
    <t>Phần mềm enjiCAD Standard - Standalone license (06 Bộ)</t>
  </si>
  <si>
    <t>89/CICHCM2024</t>
  </si>
  <si>
    <t>Phần mềm Autodesk Architecture (11 Bộ), Bảo trì phần mềm ETABS (03 Bộ), Bảo trì phần mềm PLAXIS (03 Bộ)</t>
  </si>
  <si>
    <t>CÔNG TY CỔ PHẦN XÂY DỰNG CENTRAL</t>
  </si>
  <si>
    <t>90/CICHCM2024</t>
  </si>
  <si>
    <t>Phần mềm ETABS Ultimate - Perpetual license (01 Bộ), Phần mềm SAFE Post -Tensioning - Perpetual license (01 Bộ)</t>
  </si>
  <si>
    <t>CÔNG TY TNHH ARCHESCO CONSULTANTS VIỆT NAM</t>
  </si>
  <si>
    <t>91/CICHCM2024</t>
  </si>
  <si>
    <t>Nâng cấp phần mềm ETABS v20 Plus (01 Bộ), Bảo trì phần mềm ETABS Plus (01 Bộ)</t>
  </si>
  <si>
    <t>CÔNG TY TNHH TƯ VẤN THIẾT KẾ PHÁT TRIỂN XÂY DỰNG HTC</t>
  </si>
  <si>
    <t>92/CICHCM2024</t>
  </si>
  <si>
    <t>Phần Mềm Workspace Gói Business Standard (2 TB bộ nhớ gộp/người dùng) (08 Bộ)</t>
  </si>
  <si>
    <t>CÔNG TY TNHH CÔNG NGHIỆP TOHO VIỆT NAM</t>
  </si>
  <si>
    <t>PO75/CICHCM2024</t>
  </si>
  <si>
    <t>Phần mềm Photoshop (01 Bộ),Phần mềm Acrobat Standard DC (01 Bộ)</t>
  </si>
  <si>
    <t>PO76/CICHCM2024</t>
  </si>
  <si>
    <t>Phần mềm Enscape Fixed Annual License (01 Bộ)</t>
  </si>
  <si>
    <t>PO77/CICHCM2024</t>
  </si>
  <si>
    <t>Phần mềm Microsoft 365 Business Standard (03 Bộ)</t>
  </si>
  <si>
    <t>CÔNG TY TNHH KIẾN TRÚC CAD VIỆT</t>
  </si>
  <si>
    <t>PO78/CICHCM2024</t>
  </si>
  <si>
    <t>Phần mềm RAM Connection TL (01 Bộ)</t>
  </si>
  <si>
    <t>PO79/CICHCM2024</t>
  </si>
  <si>
    <t>Phần mềm Microsoft 365 Business Basic - 12
Months</t>
  </si>
  <si>
    <t>PO80/CICHCM2024</t>
  </si>
  <si>
    <t>Phần mềm Microsoft 365 Business Standard (05 Bộ), Phần mềm AutoCAD LT (05 Bộ)</t>
  </si>
  <si>
    <t>CÔNG TY TNHH METAL STUDIO VIỆT NAM</t>
  </si>
  <si>
    <t>PO81/CICHCM2024</t>
  </si>
  <si>
    <t>Phần mềm OneDrive for business (Plan 1) - 12 Months (01 Bộ)</t>
  </si>
  <si>
    <t>CÔNG TY TNHH KIẾN TRÚC NQH (NQH ARCHITECTS CO., LTD)</t>
  </si>
  <si>
    <t>PO82/CICHCM2024</t>
  </si>
  <si>
    <t>CÔNG TY TRÁCH NHIỆM HỮU HẠN ONECAD VIET NAM ( FOR EU: CÔNG TY TNHH BECAMEX TOKYU)</t>
  </si>
  <si>
    <t>PO83/CICHCM2024</t>
  </si>
  <si>
    <t>Phần mềm Foxit PDF Editor Pro (01 Bộ)</t>
  </si>
  <si>
    <t>CÔNG TY TNHH PECI VIỆT NAM</t>
  </si>
  <si>
    <t>PO84/CICHCM2024</t>
  </si>
  <si>
    <t>Phần mềm GstarCAD Pro - Network license (01 Bộ)</t>
  </si>
  <si>
    <t>CÔNG TY TNHH TM &amp; DV CÔNG NGHỆ CADCAMTECH</t>
  </si>
  <si>
    <t>PO86/CICHCM2024</t>
  </si>
  <si>
    <t>Phần mềm Enscape Fixed Annual License</t>
  </si>
  <si>
    <t>CÔNG TY TRÁCH NHIỆM HỮU HẠN ONECAD VIET NAM ( FOR EU: CÔNG TY TNHH SEMBA VIỆT NAM)</t>
  </si>
  <si>
    <t>94/CICHCM2024</t>
  </si>
  <si>
    <t>Phần mềm AutoCAD LT Commercial Single (01 Bộ)</t>
  </si>
  <si>
    <t>CÔNG TY TNHH QUẢNG HƯNG</t>
  </si>
  <si>
    <t>95/CICHCM2024</t>
  </si>
  <si>
    <t>Bảo trì phần mềm ETABS (03 Bộ), Bảo trì phần mềm SAFE (03 Bộ), Phần mềm Architecture Engineering &amp; Construction (23 Bộ), Phần mềm Adobe Creative (17 Bộ) ...</t>
  </si>
  <si>
    <t>PL HĐ 95/CICHCM2024</t>
  </si>
  <si>
    <t>Phần mềm SketchUp Pro (01 Bô),  Phần mềm Architecture (01 Bộ), Phần mềm Creative (01 Bộ)</t>
  </si>
  <si>
    <t>96/CICHCM2024</t>
  </si>
  <si>
    <t>Phần mềm enjiCAD Pro - Standalone license (05 Bộ)</t>
  </si>
  <si>
    <t>CÔNG TY TNHH ROHTO-MENTHOLATUM (VIỆT NAM)</t>
  </si>
  <si>
    <t>97/CICHCM2024</t>
  </si>
  <si>
    <t>Phần mềm ETABS (01 Bộ), Bảo trí PM ETABS (01 Bộ), Phần mềm SAP (01 Bộ), Bảo trì PM Sap (01 Bộ)</t>
  </si>
  <si>
    <t>CÔNG TY TNHH THƯƠNG MẠI XÂY DỰNG ĐOÀN LỰC - (ITCA bắt bản quyền)</t>
  </si>
  <si>
    <t>98/CICHCM2024</t>
  </si>
  <si>
    <t>Bảo trì phần mềm ETABS Nonlinear (01 Bộ), Bảo trì phần mềm Sap2000 (01 Bộ), Bảo trì phần mềm SAFE Network (01 Bộ)</t>
  </si>
  <si>
    <t>CÔNG TY CỔ PHẦN A Z B</t>
  </si>
  <si>
    <t>PO87/CICHCM2024</t>
  </si>
  <si>
    <t>Phần mềm Kaspersky (04 Bộ), Phần mềm enjiCAD (01 Bộ)</t>
  </si>
  <si>
    <t>CÔNG TY CỔ PHẦN PHÁT TRIỂN ĐÔ THỊ SÀI GÒN TÂY BẮC</t>
  </si>
  <si>
    <t>PO88/CICHCM2024</t>
  </si>
  <si>
    <t>Phần mềm NORTON (10 Bộ), Phần mềm Microsoft 365 (03 Bộ)</t>
  </si>
  <si>
    <t>PO89/CICHCM2024</t>
  </si>
  <si>
    <t>Phần mềm enjiCAD Standard (02 Bộ)</t>
  </si>
  <si>
    <t>PO90/CICHCM2024</t>
  </si>
  <si>
    <t>Phần mềm Microsoft 365 (01 Bộ), Phần mềm AutoCAD LT (01 Bộ)</t>
  </si>
  <si>
    <t>PO91/CICHCM2024</t>
  </si>
  <si>
    <t>PO92/CICHCM2024</t>
  </si>
  <si>
    <t>Phần mềm Microsoft 365 (02 Bộ)</t>
  </si>
  <si>
    <t>PO93/CICHCM2024</t>
  </si>
  <si>
    <t>Phần mềm Kaspersky (05 Bộ)</t>
  </si>
  <si>
    <t>100/CICHCM2024</t>
  </si>
  <si>
    <t>Phần mềm Architecture (01 Bộ)</t>
  </si>
  <si>
    <t>CHI NHÁNH CÔNG TY TNHH QUỐC TẾ T.Y.LIN VIỆT NAM TẠI TP.HCM</t>
  </si>
  <si>
    <t>101/CICHCM2024</t>
  </si>
  <si>
    <t>Bảo trì phần mềm ETABS Plus (01 Bộ)</t>
  </si>
  <si>
    <t>TRUNG TÂM GIÁM ĐỊNH CHẤT LƯỢNG XÂY DỰNG</t>
  </si>
  <si>
    <t>102/CICHCM2024</t>
  </si>
  <si>
    <t>Phần mềm ETABS Plus (01 Bộ), Bảo trì Phần mềm ETABS Plus (01 Bộ)</t>
  </si>
  <si>
    <t>CÔNG TY CỔ PHẦN BÊ TÔNG LY TÂM THỦ ĐỨC - LONG AN - (ITCA bắt bản quyền)</t>
  </si>
  <si>
    <t>103/CICHCM2024</t>
  </si>
  <si>
    <t>Phần mềm Revit 2025 (01 Bộ), Phần mềm AutoCAD LT 2025  (03 Bộ) ...</t>
  </si>
  <si>
    <t>CÔNG TY TNHH KỸ THUẬT VÀ XÂY DỰNG SANYO VIỆT NAM</t>
  </si>
  <si>
    <t>104/CICHCM2024</t>
  </si>
  <si>
    <t>Bảo trì phần mềm Etabs Plus (01 Bộ)</t>
  </si>
  <si>
    <t>CÔNG TY TNHH ĐẦU TƯ VÀ TƯ VẤN KIẾN TẠO</t>
  </si>
  <si>
    <t>105/CICHCM2024</t>
  </si>
  <si>
    <t>Gia hạn bảo trì phần mềm PLAXIS 2D (01 Bộ)</t>
  </si>
  <si>
    <t>CÔNG TY BACHY SOLETANCHE VIỆT NAM</t>
  </si>
  <si>
    <t>106/CICHCM2024</t>
  </si>
  <si>
    <t>Phần mềm Sap2000 và bảo trì  (01 Bộ), Phần mềm IDEA và bảo trì (01 Bộ), Phần mềm Autodesk AutoCAD (01 Bộ)</t>
  </si>
  <si>
    <t>107/CICHCM2024</t>
  </si>
  <si>
    <t>Bảo trì phần mềm PLAXIS 3D (01 Bộ), Bảo trì phần mềm RAM (01 Bộ)</t>
  </si>
  <si>
    <t>108/CICHCM2024</t>
  </si>
  <si>
    <t>Phần mềm EnjiCAD Professional (01 Bộ)</t>
  </si>
  <si>
    <t>CÔNG TY ĐIỆN LỰC VĨNH LONG</t>
  </si>
  <si>
    <t>110/CICHCM2024</t>
  </si>
  <si>
    <t>Phần mềm ETABS Plus (02 Bộ), Bảo trì phần mềm ETABS Plus (02 Bộ)</t>
  </si>
  <si>
    <t>CÔNG TY CỔ PHẦN XÂY DỰNG VÀ THIẾT KẾ SỐ 1 ( DECOFI)- (ITCA bắt bản quyền)</t>
  </si>
  <si>
    <t>111/CICHCM2024</t>
  </si>
  <si>
    <t>Phần mềm enjiCAD Professional (42 Bộ)</t>
  </si>
  <si>
    <t>CÔNG TY TNHH MTV THƯƠNG MẠI VÀ DỊCH VỤ PHONG DŨNG - ĐIỆN LỰC BẾN TRE</t>
  </si>
  <si>
    <t>112/CICHCM2024</t>
  </si>
  <si>
    <t>Phần mềm JetBrains All Products Pack (01 Bộ)</t>
  </si>
  <si>
    <t>113/CICHCM2024</t>
  </si>
  <si>
    <t>Phần mềm BIM (08 Bộ), Phần mềm Architecture (01 Bộ)</t>
  </si>
  <si>
    <t>CÔNG TY TNHH XÂY DỰNG VÀ THIẾT KẾ PHONG CÁCH MỚI</t>
  </si>
  <si>
    <t>114/CICHCM2024</t>
  </si>
  <si>
    <t>Phần mềm AutoCAD LT (05 Bộ)</t>
  </si>
  <si>
    <t>CÔNG TY CỔ PHẦN XÂY DỰNG VÀ THIẾT KẾ SỐ 1</t>
  </si>
  <si>
    <t>115/CICHCM2024</t>
  </si>
  <si>
    <t>Phần mềm Creative (01 Bộ)</t>
  </si>
  <si>
    <t>116/CICHCM2024</t>
  </si>
  <si>
    <t>Phần mềm enjiCAD Pro (01 Bộ)</t>
  </si>
  <si>
    <t>CÔNG TY CỔ PHẦN FECON SOUTH</t>
  </si>
  <si>
    <t>118/CICHCM2024</t>
  </si>
  <si>
    <t>Phần mềm BIM  (02 Bộ), Phần mềm Revit 2024 (02 Bộ)</t>
  </si>
  <si>
    <t>119/CICHCM2024</t>
  </si>
  <si>
    <t>Phần mềm SAP2000 Plus (01 Bộ), Bảo trì phần mềm SAP2000 Plus (01 Bộ)</t>
  </si>
  <si>
    <t>CÔNG TY TRÁCH NHIỆM HỮU HẠN MINH DANH - (ITCA bắt bản quyền)</t>
  </si>
  <si>
    <t>120/CICHCM2024</t>
  </si>
  <si>
    <t>Phần mềm AutoCAD (10 Bộ), Phần mềm Revit 2025 (07 Bộ)</t>
  </si>
  <si>
    <t>121/CICHCM2024</t>
  </si>
  <si>
    <t>Bản quyền phần mềm Kaspersky (50 Bộ)</t>
  </si>
  <si>
    <t>122/CICHCM2024</t>
  </si>
  <si>
    <t>Bảo trì phần mềm ETABS (01 Bộ), Bảo trì phần mềm SAFE (01 Bộ)</t>
  </si>
  <si>
    <t>124/CICHCM2024</t>
  </si>
  <si>
    <t>Phần mềm BIM (01 Bộ)</t>
  </si>
  <si>
    <t>CÔNG TY CỔ PHẦN GIẢI PHÁP VIỆT AN</t>
  </si>
  <si>
    <t>125/CICHCM2024</t>
  </si>
  <si>
    <t>Khóa đào tạo Chuyên viên BIM (06 ngày)</t>
  </si>
  <si>
    <t>CÔNG TY TNHH JUNGLIM ARCHITECTURE VIỆT NAM</t>
  </si>
  <si>
    <t>126/CICHCM2024</t>
  </si>
  <si>
    <t>Phần mềm ETABS (01 Bộ), Bảo trì phần mềm ETABS (01 Bộ)</t>
  </si>
  <si>
    <t>CÔNG TY CỔ PHẦN TẬP ĐOÀN XÂY DỰNG TRACODI (CÔNG TY CỔ PHẦN ĐẦU TƯ PHÁT TRIỂN CÔNG NGHIỆP VÀ VẬN TẢI) - (ITCA bắt bản quyền) - Chưa thực hiện - Yến báo ngày 12/08/2024 - Mỹ Diệu thực hiện. Yến báo ngày 31/10/2024</t>
  </si>
  <si>
    <t>PO94/CICHCM2024</t>
  </si>
  <si>
    <t>Phần mềm AutoCAD (02 Bộ)</t>
  </si>
  <si>
    <t>PO95/CICHCM2024</t>
  </si>
  <si>
    <t>Bảo trì phần mềm SAP2000 (01 Bộ)</t>
  </si>
  <si>
    <t>PO96/CICHCM2024</t>
  </si>
  <si>
    <t>CÔNG TY TNHH DAEWON CHEMICAL VINA</t>
  </si>
  <si>
    <t>PO97/CICHCM2024</t>
  </si>
  <si>
    <t>Phần mềm Vray (01 Bộ)</t>
  </si>
  <si>
    <t>PO98/CICHCM2024</t>
  </si>
  <si>
    <t>Phần mềm Microsoft 365 (13 Bộ)</t>
  </si>
  <si>
    <t>CÔNG TY TNHH TƯ VẤN XÂY DỰNG FANSIPAN</t>
  </si>
  <si>
    <t>PO99/CICHCM2024</t>
  </si>
  <si>
    <t>Bảo trì phần mềm ETABS (01 Bộ)</t>
  </si>
  <si>
    <t>CÔNG TY TNHH THIẾT KẾ XÂY DỰNG LIÊN VIỆT</t>
  </si>
  <si>
    <t>PO100/CICHCM2024</t>
  </si>
  <si>
    <t>Phần mềm Microsoft 365 (05 Bộ)</t>
  </si>
  <si>
    <t>CÔNG TY CỔ PHẦN DỊCH VỤ NGHỈ DƯỠNG VQG</t>
  </si>
  <si>
    <t>PO101/CICHCM2024</t>
  </si>
  <si>
    <t>Phần mềm GstarCAD (01 Bộ)</t>
  </si>
  <si>
    <t>CÔNG TY TNHH PACISOFT VIỆT NAM</t>
  </si>
  <si>
    <t>PO102/CICHCM2024</t>
  </si>
  <si>
    <t>Phần mềm Bentley AutoPIPE (01 Bộ)</t>
  </si>
  <si>
    <t>CÔNG TY TNHH VietCAD</t>
  </si>
  <si>
    <t>127/CICHCM2024</t>
  </si>
  <si>
    <t>Phần mềm Etabs (01 Bộ), Bảo trì phần mềm ETABS (01 Bộ)</t>
  </si>
  <si>
    <t>PO103/CICHCM2024</t>
  </si>
  <si>
    <t>PO104/CICHCM2024</t>
  </si>
  <si>
    <t>Phần mềm Kata pro (01 Bộ)</t>
  </si>
  <si>
    <t>128/CICHCM2024</t>
  </si>
  <si>
    <t>Phần mềm enjiCAD Pro (05 Bộ), Phần mềm AutoCAD LT 2025 (01 Bộ)</t>
  </si>
  <si>
    <t>CÔNG TY CỔ PHẦN HUDECO</t>
  </si>
  <si>
    <t>129/CICHCM2024</t>
  </si>
  <si>
    <t>Bảo trì phần mềm IDEA (06 Bộ)</t>
  </si>
  <si>
    <t>130/CICHCM2024</t>
  </si>
  <si>
    <t>Bản quyền phần mềm UTP (01 Bộ)</t>
  </si>
  <si>
    <t>131/CICHCM2024</t>
  </si>
  <si>
    <t>Phần mềm Architecture Engineering &amp; Construction Collection IC (05 Bộ)</t>
  </si>
  <si>
    <t>PO105/CICHCM2024</t>
  </si>
  <si>
    <t>Phần mềm Microsoft (01 Bộ)</t>
  </si>
  <si>
    <t>CÔNG TY TNHH KỸ THUẬT TIN HỌC NLT</t>
  </si>
  <si>
    <t>PO106/CICHCM2024</t>
  </si>
  <si>
    <t>Bảo trì phần mềm - SAP2000 Plus (01 Bộ), Bảo trì phần mềm - SLOPE/W (01 Bộ)</t>
  </si>
  <si>
    <t>CÔNG TY CP ĐẦU TƯ VÀ TƯ VẤN THIẾT KẾ SỐ MỘT</t>
  </si>
  <si>
    <t>PO107/CICHCM2024</t>
  </si>
  <si>
    <t>Phần mềm V-Ray (01 Bộ)</t>
  </si>
  <si>
    <t>PO108/CICHCM2024 -Chuyển HĐ 136</t>
  </si>
  <si>
    <t>Phần mềm Microsoft 365 (20 Bộ)</t>
  </si>
  <si>
    <t>CÔNG TY TNHH MTV GIỐNG GIA SÚC VIETSWAN</t>
  </si>
  <si>
    <t>PO109/CICHCM2024 -Chuyển HĐ 137</t>
  </si>
  <si>
    <t>Phần mềm Microsoft 365 (11 Bộ)</t>
  </si>
  <si>
    <t>CÔNG TY CỔ PHẦN CHĂN NUÔI GIA CẦM VIETSWAN</t>
  </si>
  <si>
    <t>PO110/CICHCM2024 - Chuyển HĐ 138</t>
  </si>
  <si>
    <t>Phần mềm Microsoft 365 (19 Bộ)</t>
  </si>
  <si>
    <t>CÔNG TY CỔ PHẦN DINH DƯỠNG ĐỘNG VẬT VIETSWAN</t>
  </si>
  <si>
    <t>PO111/CICHCM2024</t>
  </si>
  <si>
    <t>Bản quyền phần mềm Endpoint Protection (03 Bộ)</t>
  </si>
  <si>
    <t>PO112/CICHCM2024</t>
  </si>
  <si>
    <t>Phần mềm Sketchup (03 Bộ)</t>
  </si>
  <si>
    <t>132/CICHCM2024</t>
  </si>
  <si>
    <t>Phần mềm Product Design &amp; Manufacturing Collection IC (02 Bộ), Phần mềm AutoCAD - including (10 Bộ)...</t>
  </si>
  <si>
    <t>133/CICHCM2024</t>
  </si>
  <si>
    <t>Phần mềm Symantec (66 Bộ)</t>
  </si>
  <si>
    <t>CÔNG TY TNHH VIỄN THÔNG IPO</t>
  </si>
  <si>
    <t>134/CICHCM2024</t>
  </si>
  <si>
    <t>Phần mềm AutoCAD LT (01 Bộ), Phần mềm Microsoft 365 (01 Bộ)</t>
  </si>
  <si>
    <t>CÔNG TY TNHH TƯ VẤN - THIẾT KẾ - XÂY DỰNG ĐƯƠNG ĐẠI</t>
  </si>
  <si>
    <t>135/CICHCM2024</t>
  </si>
  <si>
    <t>Phần mềm SketchUp Pro (02 Bộ), Phần mềm AutoCAD LT (03 Bộ)</t>
  </si>
  <si>
    <t>CÔNG TY TNHH PANORAMA ARCHITECT</t>
  </si>
  <si>
    <t>139/CICHCM2024</t>
  </si>
  <si>
    <t>Phần mềm SketchUp (04 Bộ)</t>
  </si>
  <si>
    <t>CÔNG TY CỔ PHẦN TẬP ĐOÀN XÂY DỰNG HÒA BÌNH - Chưa thực hiện -12/08/2024 Yến báo</t>
  </si>
  <si>
    <t>PO113/CICHCM2024</t>
  </si>
  <si>
    <t>Phần mềm enjiCAD Professional (01 Bộ)</t>
  </si>
  <si>
    <t>CÔNG TY TNHH MỘT THÀNH VIÊN ĐIỆN LỰC ĐÀ NẴNG</t>
  </si>
  <si>
    <t>PO114/CICHCM2024</t>
  </si>
  <si>
    <t>Phần mềm Foxit PDF (01 Bộ), Gói bảo trì phần mềm Foxit PDF (01 Bộ)</t>
  </si>
  <si>
    <t>CÔNG TY CỔ PHẦN GIẢI PHÁP TECH VIETNAM</t>
  </si>
  <si>
    <t>PO115/CICHCM2024</t>
  </si>
  <si>
    <t>PO116/CICHCM2024</t>
  </si>
  <si>
    <t>Bản quyền phần mềm hợp trực tuyến Zoom Pro - 12 Months (01 Bộ)</t>
  </si>
  <si>
    <t>140/CICHCM2024</t>
  </si>
  <si>
    <t>Phần mềm AutoCAD (01 Bộ)</t>
  </si>
  <si>
    <t>PO117/CICHCM2024</t>
  </si>
  <si>
    <t>Phần mềm Nitro PDF Pro (01 Bộ)</t>
  </si>
  <si>
    <t>146/CICHCM2024 (PO001-08082024)</t>
  </si>
  <si>
    <t>Phần mềm enjiCAD Professional Standalone license - 1 Year subscription (01 Bộ)</t>
  </si>
  <si>
    <t>CÔNG TY ĐIỆN LỰC LONG AN - ĐIỆN LỰC ĐỨC HÒA</t>
  </si>
  <si>
    <t>146/CICHCM2024 (HD002-12082024)</t>
  </si>
  <si>
    <t>Phần mềm enjiCAD Professional Standalone - thuê bao 12 tháng</t>
  </si>
  <si>
    <t>CÔNG TY ĐIỆN LỰC LONG AN - ĐIỆN LỰC BẾN LỨC</t>
  </si>
  <si>
    <t>146/CICHCM2024 (HD003-12082024)</t>
  </si>
  <si>
    <t>CÔNG TY ĐIỆN LỰC LONG AN - ĐIỆN LỰC TÂN TRỤ</t>
  </si>
  <si>
    <t>146/CICHCM2024 (PO004-18/09/2024)</t>
  </si>
  <si>
    <t>CÔNG TY ĐIỆN LỰC LONG AN - ĐIỆN LỰC THỦ THỪA</t>
  </si>
  <si>
    <t>141/CICHCM2024</t>
  </si>
  <si>
    <t>Phần mềm IDEA StatiCa Steel  (01 Bộ), Phần mềm IDEA StatiCa Enterprise (021 Bộ)</t>
  </si>
  <si>
    <t>PO118/CICHCM2024</t>
  </si>
  <si>
    <t>142/CICHCM2024</t>
  </si>
  <si>
    <t>Phần mềm  CXONE-AL01D-V4-UP ( License vĩnh viễn) (01 Bộ)</t>
  </si>
  <si>
    <t>CÔNG TY TNHH DAIWA VIỆT NAM</t>
  </si>
  <si>
    <t>143/CICHCM2024</t>
  </si>
  <si>
    <t>Phần mềm Windows Server 2022 (04 Bộ), Phần mềm SQL Server 2022 (45 Bộ), Phần mềm Symantec (06 Bộ), Phần mềm Windows Server 2022 (15 Bộ)</t>
  </si>
  <si>
    <t>144/CICHCM2024</t>
  </si>
  <si>
    <t>Bảo trì phần mềm SLOPE/W – Maintenance 01 year - Named license (từ 15/8/2024 đến 15/8/2025) (01 bỘ)</t>
  </si>
  <si>
    <t>145/CICHCM2024</t>
  </si>
  <si>
    <t>Phần mềm GstarCAD Standard Network version (02 Bộ)</t>
  </si>
  <si>
    <t>PO119/CICHCM2024</t>
  </si>
  <si>
    <t>Phần mềm V-Ray (03 Bộ)</t>
  </si>
  <si>
    <t>PO121/CICHCM2024</t>
  </si>
  <si>
    <t>147/CICHCM2024</t>
  </si>
  <si>
    <t>FredoScale + JointPushPull - Perpetual license (01 Bộ)</t>
  </si>
  <si>
    <t>148/CICHCM2024</t>
  </si>
  <si>
    <t>Cài đặt và triển khai phần mềm SAP2000 21 Advanced International - Standalone (01 Bộ)</t>
  </si>
  <si>
    <t>CÔNG TY CỔ PHẦN LILAMA 18</t>
  </si>
  <si>
    <t>149/CICHCM2024</t>
  </si>
  <si>
    <t>Phần mềm Archicad Collaborate subscription (đã bao gồm Bimcloud SaaS)- Sử dụng 1 năm (01 Bộ)</t>
  </si>
  <si>
    <t>CÔNG TY TNHH AXA ENGINEERS</t>
  </si>
  <si>
    <t>150/CICHCM2024 (PO 120/2024 Chuyển lên)</t>
  </si>
  <si>
    <t>Phần mềm FHC (01 Bộ)</t>
  </si>
  <si>
    <t>CÔNG TY CỔ PHẦN THƯƠNG MẠI-DỊCH VỤ CƠ ĐIỆN LẠNH P&amp;M</t>
  </si>
  <si>
    <t>151/CICHCM2024</t>
  </si>
  <si>
    <t>Phần mềm Revit Commercial Single (09 Bộ), Phần mềm AutoCAD (10 Bộ)</t>
  </si>
  <si>
    <t>153/CICHCM2024</t>
  </si>
  <si>
    <t>Phần mềm Architecture Engineering (01 Bộ)</t>
  </si>
  <si>
    <t>PO122/CICHCM2024</t>
  </si>
  <si>
    <t>CÔNG TY CP ĐẦU TƯ PHÁT TRIỂN MINH GLOBAL</t>
  </si>
  <si>
    <t>PO123/CICHCM2024</t>
  </si>
  <si>
    <t>Phí nâng cấp từ enjiCAD Standalone version 2024 lên enjiCAD Network version 2024 (01 Bộ)</t>
  </si>
  <si>
    <t>PO124/CICHCM2024</t>
  </si>
  <si>
    <t>154/CICHCM2024</t>
  </si>
  <si>
    <t>SketchUp Pro (21 Bộ), Phần mềm Creative (02 Bộ)</t>
  </si>
  <si>
    <t>155/CICHCM2024</t>
  </si>
  <si>
    <t>Phần mềm enjiCAD Professional Standalone (20 Bộ)</t>
  </si>
  <si>
    <t>CHI NHÁNH TỔNG CÔNG TY ĐIỆN LỰC MIỀN NAM TNHH - CÔNG TY ĐIỆN LỰC NINH THUẬN</t>
  </si>
  <si>
    <t>156/CICHCM2024</t>
  </si>
  <si>
    <t>Phần mềm Ứng dụng Microsoft 365 (130 Bộ), Phần mềm SharePoint (Plan 2) (03 Bộ), Phần mềm Power BI Pro (02 Bộ)</t>
  </si>
  <si>
    <t>CÔNG TY CỔ PHẦN TẬP ĐOÀN XÂY DỰNG HÒA BÌNH - Chưa thực hiện - Yến báo 18/11/2024 - Tiền về 29/11/2024</t>
  </si>
  <si>
    <t>PO125/CICHCM2024</t>
  </si>
  <si>
    <t>Phần mềm Power Automate Premium - 12 Months (03 Bộ)</t>
  </si>
  <si>
    <t>PO126CICHCM2024</t>
  </si>
  <si>
    <t>Phần mềm AutoCAD LT 2025 (02 Bộ)</t>
  </si>
  <si>
    <t>PO127/CICHCM2024</t>
  </si>
  <si>
    <t>Phần mềm GstarCAD Standard (02 Bộ)</t>
  </si>
  <si>
    <t>CÔNG TY TNHH CÔNG NGHỆ 4CTECH VIỆT NAM</t>
  </si>
  <si>
    <t>158/CICHCM2024</t>
  </si>
  <si>
    <t>Phần mềm enjiCAD Pro (12 Bộ)</t>
  </si>
  <si>
    <t>CÔNG TY CỔ PHẦN ỐNG ĐỒNG TOÀN PHÁT</t>
  </si>
  <si>
    <t>159/CICHCM2024</t>
  </si>
  <si>
    <t>Phần mềm enjiCAD Standard (05 Bộ)</t>
  </si>
  <si>
    <t>CÔNG TY TNHH THIẾT KẾ KIẾN TRÚC T CỘNG</t>
  </si>
  <si>
    <t>160/CICHCM2024</t>
  </si>
  <si>
    <t>Phần mềm enjiCAD Pro (02 Bộ)</t>
  </si>
  <si>
    <t>CÔNG TY TNHH THIẾT KẾ XÂY DỰNG XUẤT NHẬP KHẨU PHÚ SƠN</t>
  </si>
  <si>
    <t>161/CICHCM2024</t>
  </si>
  <si>
    <t>Phần mềm Revit 2025 (01 Bộ), Phần mềm SketchUp Pro (01 Bộ)</t>
  </si>
  <si>
    <t>162/CICHCM2024</t>
  </si>
  <si>
    <t>Phần mềm Microsoft 365 Business Basic – 12 Months (26 Bộ)</t>
  </si>
  <si>
    <t>163/CICHCM2024</t>
  </si>
  <si>
    <t>Bảo trì phần mềm ETABS Ultimate Standalone Maintenance Agreement - 01 year (24-Oct-2024 to 24-Oct-2025) (01 Bộ)</t>
  </si>
  <si>
    <t>CÔNG TY TNHH KAJIMA VIỆT NAM</t>
  </si>
  <si>
    <t>164CICHCM2024</t>
  </si>
  <si>
    <t>Sửa chữa thiết bị Robot kiểm tra đường ống P550c, cụ thể như sau: thay bảng mạch điều khiển của hệ thống thu hồi cáp tự động (01 Bộ)</t>
  </si>
  <si>
    <t>TỔNG CÔNG TY ĐẦU TƯ VÀ PHÁT TRIỂN CÔNG NGHIỆP - CTCP</t>
  </si>
  <si>
    <t>165CICHCM2024</t>
  </si>
  <si>
    <t>Phần mềm enjiCAD 2025 Standard (29 Bộ)</t>
  </si>
  <si>
    <t>CÔNG TY TNHH KINDEN VIỆT NAM</t>
  </si>
  <si>
    <t>166CICHCM2024</t>
  </si>
  <si>
    <t>Phần mềm AutoCAD (12 Bộ), Phần mềm Revit 2025 (07 Bộ)</t>
  </si>
  <si>
    <t>167CICHCM2024</t>
  </si>
  <si>
    <t>Phần mềm Architecture Engineering &amp; Construction Collection IC (03 Bộ)</t>
  </si>
  <si>
    <t>168CICHCM2024</t>
  </si>
  <si>
    <t>Phần mềm Photoshop CC (02 Bộ)</t>
  </si>
  <si>
    <t>169CICHCM2024</t>
  </si>
  <si>
    <t>Bảo trì phần mềm Etabs (02 Bộ), Bảo trì phần mềm SAFE (01 Bộ)</t>
  </si>
  <si>
    <t>CÔNG TY TNHH ĐẦU TƯ XÂY DỰNG UNICONS</t>
  </si>
  <si>
    <t>170CICHCM2024</t>
  </si>
  <si>
    <t>Phần mềm ESET PROTECT (11 Bộ)</t>
  </si>
  <si>
    <t>CÔNG TY TNHH THƯƠNG MẠI DỊCH VỤ KỸ THUẬT G.P.L</t>
  </si>
  <si>
    <t>PO128/CICHCM2024</t>
  </si>
  <si>
    <t>PO129/CICHCM2024</t>
  </si>
  <si>
    <t>Phần mềm Foxit PDF (01 Bộ)</t>
  </si>
  <si>
    <t>CÔNG TY TNHH DỊCH VỤ Y TẾ SCOTTS</t>
  </si>
  <si>
    <t>PO130/CICHCM2024</t>
  </si>
  <si>
    <t>PHẦN MỀM  MICROSOFT OFFICE 365  (01 Bộ)</t>
  </si>
  <si>
    <t>Mr. LÊ TRỌNG NHÂN</t>
  </si>
  <si>
    <t>PO131/CICHCM2024</t>
  </si>
  <si>
    <t>Phần mềm điện tử Microsoft 365 Family (01 Bộ)</t>
  </si>
  <si>
    <t>CÔNG TY TNHH HUY TÂN</t>
  </si>
  <si>
    <t>PO132/CICHCM2024</t>
  </si>
  <si>
    <t>Bản quyền phần mềm Endpoint (03 Bộ)</t>
  </si>
  <si>
    <t>CÔNG TY TNHH SEOUL SEMICONDUCTOR VINA</t>
  </si>
  <si>
    <t>171CICHCM2024</t>
  </si>
  <si>
    <t>CHI NHÁNH CÔNG TY CỔ PHẦN DU LỊCH THÀNH THÀNH CÔNG TẠI CẦN THƠ - KHÁCH SẠN TTC</t>
  </si>
  <si>
    <t>172CICHCM2024</t>
  </si>
  <si>
    <t>Phần mềm AutoCAD LT 2025 (02 Bộ), Phần mềm enjiCAD Pro (04 Bộ)</t>
  </si>
  <si>
    <t>173CICHCM2024</t>
  </si>
  <si>
    <t>Phần mềm Subscription upgrade (10 Bộ)</t>
  </si>
  <si>
    <t>174CICHCM2024 (HĐ 94/HĐMB/PCLĐ-CIC/PM-VKT/09/2024)</t>
  </si>
  <si>
    <t>Phần mềm enjiCAD Pro (80 Bộ)</t>
  </si>
  <si>
    <t>CÔNG TY ĐIỆN LỰC LÂM ĐỒNG</t>
  </si>
  <si>
    <t>175CICHCM2024</t>
  </si>
  <si>
    <t>CÔNG TY ĐIỆN LỰC ĐỒNG THÁP</t>
  </si>
  <si>
    <t>176CICHCM2024</t>
  </si>
  <si>
    <t>Phần mềm Microsoft 365 (44 Bộ)</t>
  </si>
  <si>
    <t>177CICHCM2024</t>
  </si>
  <si>
    <t>Phần mềm Architecture Engineering &amp; Construction Collection IC (01 Bộ)</t>
  </si>
  <si>
    <t>178CICHCM2024</t>
  </si>
  <si>
    <t>Bảo trì phần mềm SAP2000 (01 Bộ), Bảo trì PM ETABS (01 Bộ), PM AutoCAD LT (01 Bộ), PM SketchUp Pro (01 Bộ)</t>
  </si>
  <si>
    <t>CÔNG TY CỔ PHẦN TƯ VẤN THIẾT KẾ XÂY DỰNG VÀ KIỂM ĐỊNH BÁCH KHOA VIỆT (POLYCONS)</t>
  </si>
  <si>
    <t>179CICHCM2024</t>
  </si>
  <si>
    <t>Phần mềm Revit Commercial Single-user (07 Bộ), Phần mềm AutoCAD (03 Bộ)</t>
  </si>
  <si>
    <t>180CICHCM2024</t>
  </si>
  <si>
    <t>Phần mềm Lumion Pro 1-Year Subscription (LUMPROSUB1Y) (01 Bộ)</t>
  </si>
  <si>
    <t>CÔNG TY TNHH FORG ARCHITECTS</t>
  </si>
  <si>
    <t>181CICHCM2024</t>
  </si>
  <si>
    <t>Phần mềm CUBICOST TAS Pro - 12 tháng (01 Bộ)</t>
  </si>
  <si>
    <t>CÔNG TY CỔ PHẦN ĐẦU TƯ XÂY DỰNG RICONS - Chưa Thực hiện - Yến báo ngày 02/12/2024</t>
  </si>
  <si>
    <t>182CICHCM2024</t>
  </si>
  <si>
    <t>Phần mềm Docs - Single User CLOUD Commercial New Annual Subscription (Thuê bao 1 năm) (05 Bộ)</t>
  </si>
  <si>
    <t>CÔNG TY CỔ PHẦN ĐẦU TƯ PHÁT TRIỂN MINH GLOBAL</t>
  </si>
  <si>
    <t>183CICHCM2024</t>
  </si>
  <si>
    <t>Phần mềm Kaspersky Small Office Security (1 Server + 10 PCs) (12 tháng) (01 Bộ)</t>
  </si>
  <si>
    <t>CÔNG TY CỔ PHẦN TẬP ĐOÀN TƯ VẤN ĐẦU TƯ XÂY DỰNG KIÊN GIANG</t>
  </si>
  <si>
    <t>184CICHCM2024</t>
  </si>
  <si>
    <t>Bản quyền phần mềm Kaspersky (03)</t>
  </si>
  <si>
    <t>CÔNG TY TNHH CÔNG NGHIỆP TOWA (VIỆT NAM)</t>
  </si>
  <si>
    <t>185CICHCM2024</t>
  </si>
  <si>
    <t>Phần mềm Idea StatiCA Steel - Subscriptions 12 months (Sử dụng 12 tháng) (02 Bộ)</t>
  </si>
  <si>
    <t>PO133/CICHCM2024</t>
  </si>
  <si>
    <t>Phần mềm V-Ray Premium 3 year Add contract - Period: 01/10/2024 - 17/04/2027 (01 Bộ)</t>
  </si>
  <si>
    <t>PO134/CICHCM2024</t>
  </si>
  <si>
    <t>Phần mềm Microsoft 365 Business Basic (01 bỘ)</t>
  </si>
  <si>
    <t>PO135/CICHCM2024</t>
  </si>
  <si>
    <t>Phần mềm GstarCAD Pro 2025 (02 Bộ)</t>
  </si>
  <si>
    <t>CÔNG TY CP XI MĂNG SÔNG GIANH</t>
  </si>
  <si>
    <t>PO136/CICHCM2024</t>
  </si>
  <si>
    <t>Phần mềm Endpoint Protection, 1Y (01 Bộ), Phần mềm NORTON SECURITY - 12
MONTHS (10 Bộ)</t>
  </si>
  <si>
    <t>PO137/CICHCM2024</t>
  </si>
  <si>
    <t>Phần mềm PLAXIS 2D (01 Bộ)</t>
  </si>
  <si>
    <t>CÔNG TY CP ĐẦU TƯ XÂY DỰNG NEWTECONS</t>
  </si>
  <si>
    <t>PO138/CICHCM2024</t>
  </si>
  <si>
    <t>Phần mềm Windows GGWA - Windows 11 Pro - Legalization Get Genuine (01 Bộ)</t>
  </si>
  <si>
    <t>CÔNG TY TNHH MTV THƯƠNG MẠI DỊCH VỤ XÂY DỰNG ĐẠI HÀ PHÁT</t>
  </si>
  <si>
    <t>PO139/CICHCM2024</t>
  </si>
  <si>
    <t>Phần mềm Foxit PDF Editor (WIN) - Subscription license (Sử dụng thuê bao 1 năm) (03 Bộ)</t>
  </si>
  <si>
    <t>CÔNG TY TNHH RAB CONSULTING</t>
  </si>
  <si>
    <t>PO140/CICHCM2024</t>
  </si>
  <si>
    <t>Phần mềm Office LTSC Standard 2024 (Bản quyền vĩnh viễn) (01 Bộ)</t>
  </si>
  <si>
    <t>PO141/CICHCM2024</t>
  </si>
  <si>
    <t>Phần mềm ESSENTIAL 12 MONTHS (02 Bộ)</t>
  </si>
  <si>
    <t>PO142/CICHCM2024</t>
  </si>
  <si>
    <t>Phần mềm Microsoft 365 Business Standard (02 Bộ)</t>
  </si>
  <si>
    <t>CÔNG TY TNHH ASEAN LINES INTERNATIONAL</t>
  </si>
  <si>
    <t>PO143/CICHCM2024</t>
  </si>
  <si>
    <t>Phần mềm Product Design &amp; Manufacturing Collection IC Commercial Single-user Annual Subscription Renewal (03 Bộ)</t>
  </si>
  <si>
    <t>CÔNG TY TNHH PERSTIMA VIỆT NAM</t>
  </si>
  <si>
    <t>186CICHCM2024</t>
  </si>
  <si>
    <t>Phần mềm SQL Server 2022 Standard Edition (01 Bộ), Phần mềm SQL Server 2022 - 1 User CAL (02 Bộ)</t>
  </si>
  <si>
    <t>187CICHCM2024</t>
  </si>
  <si>
    <t>Phần mềm IDEA StatiCa Complete Perpetual license (bao gồm 01 năm bảo trì Maintenance) (01 Bộ)</t>
  </si>
  <si>
    <t>CÔNG TY TNHH RANKINE &amp; HILL (VIỆT NAM)  - (ITCA bắt bản quyền)</t>
  </si>
  <si>
    <t>188CICHCM2024</t>
  </si>
  <si>
    <t>Phần mềm ETABS Ultimate Cloud Sign-in Perpetual License (01 Bộ), Phần mềm SAFE Post-Tensioning Cloud Sign-in Perpetual License (01 Bộ)</t>
  </si>
  <si>
    <t>CÔNG TY TNHH XÂY DỰNG - THƯƠNG MẠI - DỊCH VỤ HỒNG TÍN  - (ITCA bắt bản quyền)</t>
  </si>
  <si>
    <t>189CICHCM2024</t>
  </si>
  <si>
    <t>Bảo trì phần mềm ETABS Ultimate (03 Bộ), Bảo trì phần mềm SAP2000 Advanced (02 Bộ)</t>
  </si>
  <si>
    <t>CÔNG TY TNHH MAEDA VIỆT NAM</t>
  </si>
  <si>
    <t>190CICHCM2024</t>
  </si>
  <si>
    <t>Phần mềm Sap2000 Advanced – Cloud Sign-in license  (Sử dụng vĩnh viễn) (01 Bộ), Bảo trì phần mềm Sap2000 Advanced (01 Bộ)</t>
  </si>
  <si>
    <t>CÔNG TY TNHH KẾT CẤU THÉP VIS</t>
  </si>
  <si>
    <t>191CICHCM2024</t>
  </si>
  <si>
    <t>Bảo trì phần mềm ETABS Nonlinear (02 Bộ), Bảo trì phần mềm SAFE Standard (01 Bộ), Bảo trì phần mềm PLAXIS 2D Advanced (01 Bộ)</t>
  </si>
  <si>
    <t>193CICHCM2024</t>
  </si>
  <si>
    <t>194CICHCM2024</t>
  </si>
  <si>
    <t>Phần mềm Etabs (01 Bộ), Bảo trì phần mềm ETABS (01 Bộ), Phần mềm Sap2000 Ultimate - Cloud Sign-in license (01 Bộ), Bảo trì phần mềm Sap2000 Ultimate  (01 Bộ)</t>
  </si>
  <si>
    <t>195CICHCM2024</t>
  </si>
  <si>
    <t>Phần mềm AutoCAD - including specialized toolsets AD Commercial New Single-user ELD 3-Year Subscription (01 Bộ)</t>
  </si>
  <si>
    <t>196CICHCM2024</t>
  </si>
  <si>
    <t>197CICHCM2024</t>
  </si>
  <si>
    <t>Bảo trì phần mềm ETABS Ultimate (01 Bộ), Phần mềm SketchUp Pro bundle Commercial Single User Annual (02 Bộ)</t>
  </si>
  <si>
    <t>PO144/CICHCM2024</t>
  </si>
  <si>
    <t>PO145/CICHCM2024</t>
  </si>
  <si>
    <t>PO146/CICHCM2024</t>
  </si>
  <si>
    <t>Phần mềm GstarCAD Standard Standalone (01 Bộ)</t>
  </si>
  <si>
    <t>CÔNG TY TNHH THƯƠNG MẠI VÀ DỊCH VỤ TSG</t>
  </si>
  <si>
    <t>203CICHCM2024 (PO147/CICHCM2024)</t>
  </si>
  <si>
    <t>Phần mềm enjiCAD Standard Standalone License (02 Bộ)</t>
  </si>
  <si>
    <t>198CICHCM2024</t>
  </si>
  <si>
    <t>Phần mềm Microsoft Teams Rooms Pro - Annual (01 Bộ)</t>
  </si>
  <si>
    <t>CÔNG TY TNHH CAO THẮNG MEDTECH</t>
  </si>
  <si>
    <t>199CICHCM2024</t>
  </si>
  <si>
    <t>Phần mềm GstarCAD Standard Standalone license (02 Bộ)</t>
  </si>
  <si>
    <t>CÔNG TY TNHH DAISAN VIỆT NAM</t>
  </si>
  <si>
    <t>200CICHCM2024</t>
  </si>
  <si>
    <t>Phần mềm AutoCAD (05 Bộ), Phần mềm BIM (04 Bộ)</t>
  </si>
  <si>
    <t>201CICHCM2024</t>
  </si>
  <si>
    <t>Phần mềm enjiCAD Pro - Network License (01 Bộ)</t>
  </si>
  <si>
    <t>202CICHCM2024</t>
  </si>
  <si>
    <t>Phần mềm Etabs Nonlinear - Cloud Sign-in license (01 Bộ), Bảo trì phần mềm Etabs Nonlinear - Cloud Sign-in Maintenance Agreement - 1 year (01 Bộ)</t>
  </si>
  <si>
    <t>CÔNG TY TNHH THƯƠNG MẠI - PHẦN MỀM TRI THỨC</t>
  </si>
  <si>
    <t>204CICHCM2024</t>
  </si>
  <si>
    <t>Phần mềm enjiCAD Standard Standalone License (bản quyền vĩnh viễn) (03 Bộ), Phần mềm AutoCAD LT 2025 (01 Bộ), Phần mềm SketchUp Pro (01 Bộ)</t>
  </si>
  <si>
    <t>CÔNG TY TNHH KIẾN TRÚC XÂY DỰNG DVNP</t>
  </si>
  <si>
    <t>205CICHCM2024</t>
  </si>
  <si>
    <t>Phần mềm Windows GGWA (01 Bộ)</t>
  </si>
  <si>
    <t>CÔNG TY TNHH TƯ VẤN DU HỌC ELIGHT VIETNAM</t>
  </si>
  <si>
    <t>206CICHCM2024</t>
  </si>
  <si>
    <t>Phần mềm enjiCAD Pro - Standalone license (01 Bộ)</t>
  </si>
  <si>
    <t>PO148/CICHCM2024</t>
  </si>
  <si>
    <t>Phần mềm V-Ray Enterpise Annual License (05 Bộ)</t>
  </si>
  <si>
    <t>PO149/CICHCM2024</t>
  </si>
  <si>
    <t>Phần mềm RAM Concept Subscription 12- month practitioner license (01 Bộ)</t>
  </si>
  <si>
    <t>CÔNG TY TNHH THƯƠNG MẠI DỊCH VỤ QUANG HUY AC</t>
  </si>
  <si>
    <t>PO150/CICHCM2024</t>
  </si>
  <si>
    <t>207CICHCM2024</t>
  </si>
  <si>
    <t>Phần mềm Microsoft 365 Business Basic - 12 months (198 Bộ)</t>
  </si>
  <si>
    <t>208CICHCM2024</t>
  </si>
  <si>
    <t>Phần mềm Microsoft 365 Business Basic - 12 months (28 Bộ)</t>
  </si>
  <si>
    <t>210CICHCM2024</t>
  </si>
  <si>
    <t>CÔNG TY CỔ PHẦN THƯƠNG MẠI VÀ DỊCH VỤ KỸ THUẬT KHOAN DẦU KHÍ PVD TECH</t>
  </si>
  <si>
    <t>PO151/CICHCM2024</t>
  </si>
  <si>
    <t>Phần mềm Microsoft 365 Business Basic - 12 months (02 Bộ)</t>
  </si>
  <si>
    <t>PO152/CICHCM2024</t>
  </si>
  <si>
    <t>Phần mềm GstarCAD Standard Standalone (03 Bộ)</t>
  </si>
  <si>
    <t>PO153/CICHCM2024</t>
  </si>
  <si>
    <t>Phần mềm Katapro (03 Bộ)</t>
  </si>
  <si>
    <t>CÔNG TY TNHH TƯ VẤN THIẾT KẾ XÂY DỰNG MAI-ARCHI (Maiarchi)</t>
  </si>
  <si>
    <t>PO154/CICHCM2024</t>
  </si>
  <si>
    <t>Phần mềm AutoCAD (02 Bộ), Phần mềm Architecture Engineering &amp;
Construction Collection IC (02 Bộ)</t>
  </si>
  <si>
    <t>PO156/CICHCM2024</t>
  </si>
  <si>
    <t>Phần mềm  Fusion - Legacy 2024 (01 Bộ)</t>
  </si>
  <si>
    <t>CÔNG TY TNHH SJF VINA</t>
  </si>
  <si>
    <t>211CICHCM2024</t>
  </si>
  <si>
    <t>Phần mềm Windows Server 2022 Standard (18 Bộ), Phần mềm enjiCAD Professional - Standalone (30 Bộ)</t>
  </si>
  <si>
    <t>212CICHCM2024</t>
  </si>
  <si>
    <t>Phần mềm enjiCAD Professional - Standalone (50 Bộ)</t>
  </si>
  <si>
    <t>CÔNG TY ĐIỆN LỰC BÌNH DƯƠNG</t>
  </si>
  <si>
    <t>213CICHCM2024</t>
  </si>
  <si>
    <t>Phần mềm enjiCAD Professional - Standalone (70 Bộ)</t>
  </si>
  <si>
    <t>CÔNG TY ĐIỆN LỰC KIÊN GIANG (CÔNG TY CỔ PHẦN TÍCH HỢP GIẢI PHÁP KST)</t>
  </si>
  <si>
    <t>214CICHCM2024</t>
  </si>
  <si>
    <t>Phần mềm enjiCAD Professional - Standalone (15 Bộ)</t>
  </si>
  <si>
    <t>CÔNG TY ĐIỆN LỰC TÂY NINH</t>
  </si>
  <si>
    <t>215CICHCM2024</t>
  </si>
  <si>
    <t>Phần mềm enjiCAD Professional - Standalone (01 Bộ)</t>
  </si>
  <si>
    <t>216CICHCM2024</t>
  </si>
  <si>
    <t>Phần mềm Project Standard 2024 (Bản quyền vĩnh viễn) (02 Bộ)</t>
  </si>
  <si>
    <t>217CICHCM2024</t>
  </si>
  <si>
    <t>218CICHCM2024 (Chuyển PO 155/2024 lên)</t>
  </si>
  <si>
    <t>Bảo trì phần mềm ETABS Nonlinear Standalone Maintenance Agreement (01 Bộ)</t>
  </si>
  <si>
    <t>219CICHCM2024</t>
  </si>
  <si>
    <t>Phần mềm Enscape Fixed Annual License (Thuê bao 1 năm) (01 Bộ)</t>
  </si>
  <si>
    <t>220CICHCM2024</t>
  </si>
  <si>
    <t>Phần mềm Revit 2025 Commercial (01 Bộ)</t>
  </si>
  <si>
    <t>PO157/CICHCM2024</t>
  </si>
  <si>
    <t>PM Enscape (01 Bộ)</t>
  </si>
  <si>
    <t>PO158/CICHCM2024</t>
  </si>
  <si>
    <t>Phần mềm Foxit PDF Editor (WIN) (04 Bộ)</t>
  </si>
  <si>
    <t>PO159/CICHCM2024</t>
  </si>
  <si>
    <t>Phần mềm Foxit PDF Editor (WIN) (01 Bộ)</t>
  </si>
  <si>
    <t>PO160/CICHCM2024</t>
  </si>
  <si>
    <t>Phần mềm GstarCAD Professional Network (02 Bộ)</t>
  </si>
  <si>
    <t>222CICHCM2024</t>
  </si>
  <si>
    <t>Phần mềm Prod Sub (04 Bộ)</t>
  </si>
  <si>
    <t>223CICHCM2024</t>
  </si>
  <si>
    <t>225CICHCM2024</t>
  </si>
  <si>
    <t>226CICHCM2024</t>
  </si>
  <si>
    <t>Phần mềm CUBICOST TAS Pro - 12 tháng (03 Bộ)</t>
  </si>
  <si>
    <t>CÔNG TY CỔ PHẦN XÂY DỰNG KHANG HY</t>
  </si>
  <si>
    <t>230CICHCM2024</t>
  </si>
  <si>
    <t>PO161/CICHCM2024</t>
  </si>
  <si>
    <t>Phần mềm Windows Server 2025 (01 Bộ)</t>
  </si>
  <si>
    <t>PO162/CICHCM2024</t>
  </si>
  <si>
    <t>Phần mềm GstarCAD Standard (03 Bộ)</t>
  </si>
  <si>
    <t>PO164/CICHCM2024</t>
  </si>
  <si>
    <t>Phần mềm Microsoft Teams Essentials - 12 Months (01 bỘ)</t>
  </si>
  <si>
    <t>CÔNG TY CỔ PHẦN XÂY DỰNG ỨC PHÁT GLOBAL</t>
  </si>
  <si>
    <t>PO165/CICHCM2024</t>
  </si>
  <si>
    <t>Phần mềm Kata pro (02 Bộ)</t>
  </si>
  <si>
    <t>PO167/CICHCM2024</t>
  </si>
  <si>
    <t>Phần mềm Office Home and Business 2024 All (01 Bộ)</t>
  </si>
  <si>
    <t>PO168/CICHCM2024</t>
  </si>
  <si>
    <t>STC - Phân phối phần mềm và thiết bị KHCN</t>
  </si>
  <si>
    <t>2401/STC-CICHĐ2024-SIEUVIET</t>
  </si>
  <si>
    <t>Mua cuộn cáp máy CHUM</t>
  </si>
  <si>
    <t>CÔNG TY CỔ PHẦN VẬT LIỆU VÀ KIỂM ĐỊNH SIÊU VIỆT</t>
  </si>
  <si>
    <t>24/01/2024</t>
  </si>
  <si>
    <t>07/ TKT – CIC/2023</t>
  </si>
  <si>
    <t>Cung cấp 2 bộ thiết bị GeoSig</t>
  </si>
  <si>
    <t>Công ty CP Thủy điện Vĩnh Sơn - Sông Hinh (Cty thủy điện Thượng Kon Tum - CN Công ty CP Thủy điện Vĩnh Sơn - Sông Hinh)</t>
  </si>
  <si>
    <t>15/01/2024</t>
  </si>
  <si>
    <t>40-2024/PTSCMC-KH/MDV-V</t>
  </si>
  <si>
    <t>Cung cấp 6 tháng phần mềm PHAST DNV</t>
  </si>
  <si>
    <t>26/03/2024</t>
  </si>
  <si>
    <t>Liên doanh Việt – Nga Vietsovpetro</t>
  </si>
  <si>
    <t>194/STC-CICHĐ2024-ONECOM</t>
  </si>
  <si>
    <t>Cung cấp 6 bộ RD7200 để dò tìm cáp viễn thông ngầm</t>
  </si>
  <si>
    <t>Công ty TNHH Phát triển Công nghệ và Thiết bị Viễn thông ONECOM</t>
  </si>
  <si>
    <t>234/STC-CICHĐ2024-VTN</t>
  </si>
  <si>
    <t>Cung cấp thiết bị GeoSig cho thủy điện Sông Tranh</t>
  </si>
  <si>
    <t>CÔNG TY TNHH GIẢI PHÁP THIẾT BỊ CÔNG NGHIỆP VTN</t>
  </si>
  <si>
    <t>Vv36</t>
  </si>
  <si>
    <t>Cung cấp 02 đầu dò máy CHUM của Piletest</t>
  </si>
  <si>
    <t>CÔNG TY CP TƯ VẤN KHẢO SÁT VÀ KIỂM ĐỊNH XÂY DỰNG HTM</t>
  </si>
  <si>
    <t>Vv40</t>
  </si>
  <si>
    <t>Dịch vụ sửa thiết bị ghi gia tốc của hãng GeoSIG - thủy điện sông Bung</t>
  </si>
  <si>
    <t>CÔNG TY CỔ PHẦN TƯ VẤN VÀ XÂY DỰNG THUẬN PHONG</t>
  </si>
  <si>
    <t>0566/24/T-N5-TTL/CNTT1-CIC</t>
  </si>
  <si>
    <t>Cung cấp phần mềm MOSES 12 tháng</t>
  </si>
  <si>
    <t>LIÊN DOANH VIỆT – NGA VIETSOVPETRO</t>
  </si>
  <si>
    <t>0641/24/T-N5-TTL/CNTT1-CIC</t>
  </si>
  <si>
    <t>Cung cấp phần mềm SACS 12 tháng</t>
  </si>
  <si>
    <t>Vv58</t>
  </si>
  <si>
    <t>Sửa cáp máy CHUM</t>
  </si>
  <si>
    <t>0507/STC-CICHĐ2024-CICO</t>
  </si>
  <si>
    <t>Cung cấp cuộn cáp kèm đầu dò Piletest</t>
  </si>
  <si>
    <t>CÔNG TY CỔ PHẦN TƯ VẤN XÂY DỰNG VÀ ĐẦU TƯ TỔNG HỢP</t>
  </si>
  <si>
    <t>078-2024/PTSCMC-KH/MDV-V</t>
  </si>
  <si>
    <t>Cung cấp 6 tháng phần mềm USFOS</t>
  </si>
  <si>
    <t>080-2024/PTSCMC-KH/MDV-V</t>
  </si>
  <si>
    <t>Cung cấp 6 tháng phần mềm DNV FATFREE</t>
  </si>
  <si>
    <t>079-2024/PTSCMC-KH/MDV-V</t>
  </si>
  <si>
    <t>Cung cấp 6 tháng phần mềm ANSYS</t>
  </si>
  <si>
    <t>358-2024/PTSCMC-KH/MHH-V)</t>
  </si>
  <si>
    <t>Cung cấp phần mềm MagiCAD</t>
  </si>
  <si>
    <t>HP.2907/2024/HĐ-Đ6-CIC</t>
  </si>
  <si>
    <t>Cung cấp phần mềm MATLAB</t>
  </si>
  <si>
    <t>Đoàn Đo đạc biên vẽ hải đồ và Nghiên cứu biển</t>
  </si>
  <si>
    <t>98/PPXD2024</t>
  </si>
  <si>
    <t>Cung cấp phần mềm Pathfinder và PyroSim</t>
  </si>
  <si>
    <t>2708/2024/HĐKT-BTC-CIC</t>
  </si>
  <si>
    <t>Cung cấp ắc quy cho hệ thống LIDAR ZX300</t>
  </si>
  <si>
    <t>CÔNG TY CỔ PHẦN NĂNG LƯỢNG BITEXCO</t>
  </si>
  <si>
    <t>0409/STC-CICHĐ2024</t>
  </si>
  <si>
    <t>Cung cấp phần mềm HFC</t>
  </si>
  <si>
    <t>106-2024/PTSCMC-KH/MDV-V</t>
  </si>
  <si>
    <t>Cung cấp 6 tháng phần mềm PIPENET</t>
  </si>
  <si>
    <t>VV94</t>
  </si>
  <si>
    <t>Hỗ trợ lắp đặt thiết bị Geosig tại Thủy điện Sông Tranh</t>
  </si>
  <si>
    <t>VTN</t>
  </si>
  <si>
    <t>112-2024/PTSCMC-KH/MDV-V</t>
  </si>
  <si>
    <t>Cung cấp 2 năm phần mềm CASPIO</t>
  </si>
  <si>
    <t>PHỤ LỤC SỬA ĐỔI SỐ 01 HỢP ĐỒNG DỊCH VỤ SỐ 40-2024/PTSCMC-KH/MDV-V</t>
  </si>
  <si>
    <t>Cung cấp thêm 6 tháng phần mềm PHAST</t>
  </si>
  <si>
    <t>1609/STC-CICHĐ2024</t>
  </si>
  <si>
    <t>cung cấp máy ghi địa chấn báo tin nhanh chuyên dụng cho IGP qua Technimex</t>
  </si>
  <si>
    <t>CÔNG TY CP XUẤT NHẬP KHẨU KỸ THUẬT - TECHNIMEX</t>
  </si>
  <si>
    <t>BỔ SUNG SỐ 02 Hợp đồng số 1330/22/T-N5/CNTT1-CIC</t>
  </si>
  <si>
    <t>Cung cấp phần mềm BOCAD và bảo trì 1 năm cho 2 license</t>
  </si>
  <si>
    <t>LIÊN DOANH VIỆT - NGA VIETSOVPETRO</t>
  </si>
  <si>
    <t>3038/2024/HĐ-KH&amp;CN-TBCN.01</t>
  </si>
  <si>
    <t>cung cấp Camera ghi hình ảnh kỹ
thuật số tốc độ cao</t>
  </si>
  <si>
    <t>CÔNG TY CÔNG NGHIỆP HÓA CHẤT MỎ CẨM PHẢ</t>
  </si>
  <si>
    <t>120-2024/PTSCMC-KH/MDV-V</t>
  </si>
  <si>
    <t>Cung cấp phần mềm BESTFIT</t>
  </si>
  <si>
    <t>3010.2024/HĐMB/MĐC-CIC</t>
  </si>
  <si>
    <t>TRƯỜNG ĐẠI HỌC MỎ - ĐỊA CHẤT</t>
  </si>
  <si>
    <t>487/HĐMB-CTCSCC</t>
  </si>
  <si>
    <t>Cung cấp RD7200</t>
  </si>
  <si>
    <t>Công ty Cổ phần Chiếu sáng công cộng thành phố Hồ Chí Minh</t>
  </si>
  <si>
    <t>28.11/STC-CICHĐ2024-Sodema</t>
  </si>
  <si>
    <t>Cung cấp thiết bị Geosig cho Thủy điện Nậm Chiến</t>
  </si>
  <si>
    <t>CÔNG TY CỔ PHẦN SODEMA</t>
  </si>
  <si>
    <t>Vv135</t>
  </si>
  <si>
    <t>Cung cấp 2 năm phần mềm NovoCPT</t>
  </si>
  <si>
    <t>Công ty TNHH MTV Dịch vụ Cơ khí Hàng hải PTSC</t>
  </si>
  <si>
    <t>/HĐ-VLĐC</t>
  </si>
  <si>
    <t>cung cấp máy ghi tín hiệu quan trắc địa chấn hãng Hakusan</t>
  </si>
  <si>
    <t>VIỆN VẬT LÝ ĐỊA CẦU</t>
  </si>
  <si>
    <t>VTX CIC</t>
  </si>
  <si>
    <t>Cung cấp các phần mềm Axstream</t>
  </si>
  <si>
    <t>VIỆN HÀNG KHÔNG VŨ TRỤ VIETTEL</t>
  </si>
  <si>
    <t>VTX CIC ANSYS</t>
  </si>
  <si>
    <t>Cung cấp các phần mềm ANSYS</t>
  </si>
  <si>
    <t>:......./24/T-N5-TTL/CNTT-CIC</t>
  </si>
  <si>
    <t>Cung cấp phần mềm DNV Fatfree</t>
  </si>
  <si>
    <t>TU CHỈNH 12 PVDO</t>
  </si>
  <si>
    <t>Cung cấp gia hạn 1 năm EDS</t>
  </si>
  <si>
    <t>CÔNG TY TNHH KỸ THUẬT DẦU KHÍ BIỂN PVD 
(PVD OFFSHORE)</t>
  </si>
  <si>
    <t>VV142.2024</t>
  </si>
  <si>
    <t>Chi phí tạm nhập tái xuất cuộn cáp CHUM</t>
  </si>
  <si>
    <t>2012/STC-CICHĐ2024-HTM</t>
  </si>
  <si>
    <t>Cuộn cáp máy CHUM</t>
  </si>
  <si>
    <t>CÔNG TY CỔ PHẦN TƯ VẤN KHẢO SÁT VÀ KIỂM ĐỊNH XÂY DỰNG HTM</t>
  </si>
  <si>
    <t>CÔNG TY CP CÔNG NGHỆ TRUYỀN THÔNG ĐA CHIỀU HTC</t>
  </si>
  <si>
    <t>Tư vấn dự án</t>
  </si>
  <si>
    <t>15/2024/HĐTV/VINATABA-CIC</t>
  </si>
  <si>
    <t>Tư vấn Quản lý dự án</t>
  </si>
  <si>
    <t>Tổng Công ty Thuốc lá Việt Nam</t>
  </si>
  <si>
    <t>16/2024/HĐTV/ĐAQĐ-CIC</t>
  </si>
  <si>
    <t>Tư vấn đấu thầu</t>
  </si>
  <si>
    <t>Điện ảnh Quân đội</t>
  </si>
  <si>
    <t>01/2024/GÂGH/ĐTHS-LDCICVM</t>
  </si>
  <si>
    <t>Tư vấn giám sát</t>
  </si>
  <si>
    <t>Cục điều tra hình sự/BQP</t>
  </si>
  <si>
    <t>5/HĐTV2024/CATV-CIC</t>
  </si>
  <si>
    <t>Tư vấn lập BC NCKT</t>
  </si>
  <si>
    <t>Công an tỉnh Trà Vinh</t>
  </si>
  <si>
    <t>19/HĐTV2024/TTTT-CIC</t>
  </si>
  <si>
    <t>Trung tâm thông tin - BXD</t>
  </si>
  <si>
    <t>22/HĐTV2024/LĐBĐ-CIC</t>
  </si>
  <si>
    <t>Liên đoàn Bóng đá Việt Nam</t>
  </si>
  <si>
    <t>35/2024/CAPT-CIC</t>
  </si>
  <si>
    <t>Công an tỉnh Phú Thọ</t>
  </si>
  <si>
    <t>39/2024/CATV-CIC</t>
  </si>
  <si>
    <t>Tư vấn thiết kế</t>
  </si>
  <si>
    <t>42/2024/CAPT-CIC</t>
  </si>
  <si>
    <t>Tư vấn lập hồ sơ mời thầu</t>
  </si>
  <si>
    <t>43/HĐTV2024/ĐAQĐ-CIC</t>
  </si>
  <si>
    <t>Điện Ảnh Quân đội</t>
  </si>
  <si>
    <t>45/HĐ2024/PL-CIC</t>
  </si>
  <si>
    <t>Trung tâm y tế huyện Phú Lương</t>
  </si>
  <si>
    <t>46/HĐ2024/PL-CIC</t>
  </si>
  <si>
    <t>Trung tâm y tế huyện Đồng hỷ</t>
  </si>
  <si>
    <t>47/HĐ2024/PL-CIC</t>
  </si>
  <si>
    <t>Thư viện Quốc gia VN</t>
  </si>
  <si>
    <t>48/HĐTV2024/KHKT-CIC</t>
  </si>
  <si>
    <t>Nhà xuất bản KHKT</t>
  </si>
  <si>
    <t>TIB - Giải pháp công nghệ ngành nội thất và VLXD</t>
  </si>
  <si>
    <t>01/TMB-CICHĐ2024</t>
  </si>
  <si>
    <t>Dịch vụ KK KNK 2024</t>
  </si>
  <si>
    <t>Công ty TNHH Thép Kyoei Việt Nam</t>
  </si>
  <si>
    <t>03/TMB-CICHĐ2024</t>
  </si>
  <si>
    <t>Phần mềm Opera Job Management
(EU: Dragon Aluminium)</t>
  </si>
  <si>
    <t>CÔNG TY TNHH DỊCH VỤ THƯƠNG MẠI VÀ XÂY DỰNG QUỐC DŨNG</t>
  </si>
  <si>
    <t>04/TMB-CICHĐ2024</t>
  </si>
  <si>
    <t>CÔNG TY CỔ PHẦN XÂY DỰNG HC WINDOW</t>
  </si>
  <si>
    <t>05/TMB-CICHĐ2024</t>
  </si>
  <si>
    <t>CÔNG TY CỔ PHẦN XÂY DỰNG LHD</t>
  </si>
  <si>
    <t>VV60</t>
  </si>
  <si>
    <t>Phần mềm Opera Job Management
(Additional license - EU: Dragon Alu)</t>
  </si>
  <si>
    <t>Công ty TNHH SX TM XD CK Việt Minh Long</t>
  </si>
  <si>
    <t>08/TMB-CICHĐ2024</t>
  </si>
  <si>
    <t>Phần mềm Opera Job Management - Main License + Kết nối CNC (EU: Khách hàng tại Lào)</t>
  </si>
  <si>
    <t>Công ty Cổ phần Gopco Việt Nam</t>
  </si>
  <si>
    <t>VV61</t>
  </si>
  <si>
    <t>Opera Update and support Package
(EU: Tuấn Hoàng + Felite + Asialu)</t>
  </si>
  <si>
    <t>Công ty Cổ phần Xây dựng và Thương mại Tuấn Hoàng</t>
  </si>
  <si>
    <t>126/2024/PTSC-CIC</t>
  </si>
  <si>
    <t>Dịch vụ web 360</t>
  </si>
  <si>
    <t>Tổng Công ty Cổ phần Kỹ thuật dầu khí Việt Nam (PTSC)</t>
  </si>
  <si>
    <t>HĐ Sơn La</t>
  </si>
  <si>
    <t>Dịch vụ KK KNK cho Thủy điện Sơn La và Lai Châu
(Pháp nhân: CEC)</t>
  </si>
  <si>
    <t>Công ty Thủy điện Sơn La</t>
  </si>
  <si>
    <t>VV63</t>
  </si>
  <si>
    <t>Opera Additional License</t>
  </si>
  <si>
    <t>Công ty CP Đầu tư và Phát triển UNIFIED</t>
  </si>
  <si>
    <t>09/TMB-CICHĐ2024</t>
  </si>
  <si>
    <t>Opera Additional License + Curtain Walls</t>
  </si>
  <si>
    <t>Công ty Cổ phần ACG Pacific</t>
  </si>
  <si>
    <t>VV90</t>
  </si>
  <si>
    <t>Opera - Cutting CNC machine connection
(EU: HC Window)</t>
  </si>
  <si>
    <t>10-11/TMB-CICHĐ2024</t>
  </si>
  <si>
    <t>Dịch vụ KK KNK + CBAM  (2 mã CN Code)</t>
  </si>
  <si>
    <t>Công ty Cổ phần Xi măng Tân Thắng</t>
  </si>
  <si>
    <t>012/TMB-CICHĐ2024</t>
  </si>
  <si>
    <t>Opera Additional License - Cutting CNC machine connection
(Hega Machine)</t>
  </si>
  <si>
    <t>Công ty TNHH Đầu tư và Thương mại ĐQT</t>
  </si>
  <si>
    <t>013/TMB-CICHĐ2024</t>
  </si>
  <si>
    <t>Công ty Cổ phần Thép Việt Ý</t>
  </si>
  <si>
    <t>014/TMB-CICHĐ2024</t>
  </si>
  <si>
    <t>Dịch vụ tư vấn cấp chứng chỉ EPD</t>
  </si>
  <si>
    <t>Công ty Xi măng Chinfon</t>
  </si>
  <si>
    <t>PL01/014/TMB-CICHĐ2025</t>
  </si>
  <si>
    <t>015/TMB-CICHĐ2024</t>
  </si>
  <si>
    <t>Công ty TNHH Aldila Composite Products</t>
  </si>
  <si>
    <t>HĐ Secoin</t>
  </si>
  <si>
    <t>Công Ty CP Đầu Tư Công Nghiệp Sài Gòn SECOIN</t>
  </si>
  <si>
    <t>Tư vấn BIM</t>
  </si>
  <si>
    <t>01/BIM-CICHĐ2024</t>
  </si>
  <si>
    <t>CÔNG TY TNHH LOTTE PROPERTIES HỒ CHÍ MINH (Lô 2-2)</t>
  </si>
  <si>
    <t>CÔNG TY TNHH LOTTE PROPERTIES HỒ CHÍ MINH (Lô 2-4)</t>
  </si>
  <si>
    <t>CÔNG TY TNHH LOTTE PROPERTIES HỒ CHÍ MINH (Lô 2-6)</t>
  </si>
  <si>
    <t>02/BIM-CICHĐ2024</t>
  </si>
  <si>
    <t>03/BIM-CICHĐ2024</t>
  </si>
  <si>
    <t>Tổng công ty Đầu tư phát triển nhà và đô thị (HUD)</t>
  </si>
  <si>
    <t>04/BIM-CICHĐ2024</t>
  </si>
  <si>
    <t>Tư vấn BIM (HỦY HỢP ĐỒNG)</t>
  </si>
  <si>
    <t>CÔNG TY CỔ PHẦN HÀ ĐÔ 1</t>
  </si>
  <si>
    <t>05/BIM-CICHĐ2024</t>
  </si>
  <si>
    <t>Công ty cổ phần 319.5</t>
  </si>
  <si>
    <t>06/BIM-CICHĐ2024</t>
  </si>
  <si>
    <t>Ban quản lý dự án đầu tư xây dựng công trình dân dụng và công nghiệp Hà Tĩnh</t>
  </si>
  <si>
    <t>07/BIM-CICHĐ2024</t>
  </si>
  <si>
    <t>SỞ XÂY DỰNG TỈNH VĨNH PHÚC</t>
  </si>
  <si>
    <t>08/BIM-CICHĐ2024</t>
  </si>
  <si>
    <t>09/BIM-CICHĐ2024</t>
  </si>
  <si>
    <t>Tổng Công Ty Viglacera</t>
  </si>
  <si>
    <t>11/BIM-CICHĐ2024</t>
  </si>
  <si>
    <t>Thẩm tra BIM</t>
  </si>
  <si>
    <t>BAN QLDA ĐẦU TƯ XÂY DỰNG CÔNG TRÌNH GIAO THÔNG TỈNH HÀ TĨNH (Liên danh TV6)</t>
  </si>
  <si>
    <t>12/BIM-CICHĐ2024</t>
  </si>
  <si>
    <t>dịch vụ hội thảo</t>
  </si>
  <si>
    <t>SỞ XÂY DỰNG QUẢNG NGÃI</t>
  </si>
  <si>
    <t>16/BIM-CICHĐ2024</t>
  </si>
  <si>
    <t>Công Ty CP Đầu Tư Và Phát Triển Công Nghệ Đại Học Xây Dựng (Nucetech)</t>
  </si>
  <si>
    <t>14/BIM-CICHĐ2024</t>
  </si>
  <si>
    <t>Ban quản lý dự án đầu tư xây dựng công trình dân dụng thành phố Hà Nội (Bệnh viện Tim HN - CS2)</t>
  </si>
  <si>
    <t>13/BIM-CICHĐ2024</t>
  </si>
  <si>
    <t>Ban quản lý dự án đầu tư xây dựng công trình dân dụng thành phố Hà Nội (TT Pháp Y)</t>
  </si>
  <si>
    <t>17/BIM-CICHĐ2024</t>
  </si>
  <si>
    <t>Tư vấn, đào tạo BIM</t>
  </si>
  <si>
    <t>TỔNG CÔNG TY CỔ PHẦN ĐẦU TƯ PHÁT TRIỂN XÂY DỰNG (DIC)</t>
  </si>
  <si>
    <t>19/BIM-CICHĐ2024</t>
  </si>
  <si>
    <t>BAN QUẢN LÝ DỰ ÁN ĐẦU TƯ XÂY DỰNG CÁC CÔNG TRÌNH DÂN DỤNG VÀ CÔNG NGHIỆP (Cung thiếu nhi)</t>
  </si>
  <si>
    <t>20/BIM-CICHĐ2024</t>
  </si>
  <si>
    <t>ELLIOT JAMES PTE LTD</t>
  </si>
  <si>
    <t>22/BIM-CICHĐ2024</t>
  </si>
  <si>
    <t>Công ty TNHH Daewoo Engineering &amp; Construction Việt Nam (Dự án B1CC4)</t>
  </si>
  <si>
    <t>23/BIM-CICHĐ2024</t>
  </si>
  <si>
    <t>Công ty TNHH Daewoo Engineering &amp; Construction Việt Nam (Dự án H1HH1)</t>
  </si>
  <si>
    <t>21/BIM-CICHĐ2024</t>
  </si>
  <si>
    <t>CỤC DOANH TRẠI/TCHC</t>
  </si>
  <si>
    <t>24/BIM-CICHĐ2024</t>
  </si>
  <si>
    <t>CHI NHÁNH TỔNG CÔNG TY KHÍ VIỆT NAM – CTCP – CÔNG TY QUẢN LÝ DỰ ÁN KHÍ (PVGAS)</t>
  </si>
  <si>
    <t>25/BIM-CICHĐ2024</t>
  </si>
  <si>
    <t>Trung tâm tư vấn đầu tư và xây dựng số 2 - Chi nhánh Tổng công ty đầu tư phát triển hạ tầng đô thị UDIC- Công ty TNHH MTV</t>
  </si>
  <si>
    <t>26/BIM-CICHĐ2024</t>
  </si>
  <si>
    <t>BAN QUẢN LÝ DỰ ÁN ĐẦU TƯ XÂY DỰNG CÁC CÔNG TRÌNH DÂN DỤNG VÀ CÔNG NGHIỆP ĐÀ NẴNG (Dự án Khu lưu trữ)</t>
  </si>
  <si>
    <t>27/BIM-CICHĐ2024</t>
  </si>
  <si>
    <t>Hội thảo BIM</t>
  </si>
  <si>
    <t>Sở xây dựng Hà Tĩnh</t>
  </si>
  <si>
    <t>28/BIM-CICHĐ2024</t>
  </si>
  <si>
    <t>SỞ XÂY DỰNG TỈNH THÁI NGUYÊN</t>
  </si>
  <si>
    <t>Các hợp đồng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</si>
</sst>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[$₫]#,##0"/>
  </numFmts>
  <fonts count="27">
    <font>
      <sz val="10.0"/>
      <color rgb="FF000000"/>
      <name val="Arial"/>
    </font>
    <font>
      <b/>
    </font>
    <font>
      <b/>
      <sz val="16.0"/>
      <color rgb="FFFF0000"/>
    </font>
    <font>
      <b/>
      <sz val="16.0"/>
    </font>
    <font>
      <sz val="16.0"/>
    </font>
    <font>
      <b/>
      <sz val="12.0"/>
      <name val="Times New Roman"/>
    </font>
    <font>
      <b/>
      <sz val="11.0"/>
    </font>
    <font>
      <sz val="12.0"/>
      <name val="Times New Roman"/>
    </font>
    <font>
      <u/>
      <sz val="12.0"/>
      <color rgb="FF0000FF"/>
      <name val="Times New Roman"/>
    </font>
    <font>
      <sz val="11.0"/>
    </font>
    <font>
      <sz val="11.0"/>
      <color rgb="FF000000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u/>
      <sz val="12.0"/>
      <color rgb="FF0000FF"/>
      <name val="Times New Roman"/>
    </font>
    <font>
      <b/>
      <sz val="11.0"/>
      <name val="Arial"/>
    </font>
    <font>
      <b/>
      <sz val="11.0"/>
      <color rgb="FFFF0000"/>
    </font>
    <font>
      <b/>
      <sz val="11.0"/>
      <color rgb="FF000000"/>
      <name val="Arial"/>
    </font>
    <font>
      <b/>
      <strike/>
      <sz val="11.0"/>
    </font>
    <font/>
    <font>
      <b/>
      <sz val="16.0"/>
      <color rgb="FF000000"/>
    </font>
    <font>
      <b/>
      <sz val="12.0"/>
      <color rgb="FF000000"/>
      <name val="Times New Roman"/>
    </font>
    <font>
      <b/>
      <sz val="11.0"/>
      <color rgb="FF000000"/>
    </font>
    <font>
      <b/>
      <color rgb="FF000000"/>
      <name val="Arial"/>
    </font>
    <font>
      <b/>
      <name val="Arial"/>
    </font>
    <font>
      <u/>
      <color rgb="FF1155CC"/>
      <name val="Arial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4" xfId="0" applyAlignment="1" applyBorder="1" applyFont="1" applyNumberFormat="1">
      <alignment horizontal="center" shrinkToFit="0" vertical="center" wrapText="1"/>
    </xf>
    <xf borderId="1" fillId="2" fontId="5" numFmtId="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4" xfId="0" applyAlignment="1" applyBorder="1" applyFont="1" applyNumberFormat="1">
      <alignment horizontal="right" shrinkToFit="0" vertical="center" wrapText="1"/>
    </xf>
    <xf borderId="1" fillId="0" fontId="6" numFmtId="10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9" numFmtId="4" xfId="0" applyAlignment="1" applyBorder="1" applyFont="1" applyNumberFormat="1">
      <alignment horizontal="right" readingOrder="0" shrinkToFit="0" vertical="center" wrapText="1"/>
    </xf>
    <xf borderId="1" fillId="0" fontId="9" numFmtId="4" xfId="0" applyAlignment="1" applyBorder="1" applyFont="1" applyNumberFormat="1">
      <alignment horizontal="right" shrinkToFit="0" vertical="center" wrapText="1"/>
    </xf>
    <xf borderId="1" fillId="0" fontId="9" numFmtId="10" xfId="0" applyAlignment="1" applyBorder="1" applyFont="1" applyNumberFormat="1">
      <alignment shrinkToFit="0" vertical="center" wrapText="0"/>
    </xf>
    <xf borderId="1" fillId="0" fontId="9" numFmtId="4" xfId="0" applyAlignment="1" applyBorder="1" applyFont="1" applyNumberFormat="1">
      <alignment readingOrder="0" shrinkToFit="0" vertical="center" wrapText="0"/>
    </xf>
    <xf borderId="1" fillId="0" fontId="10" numFmtId="4" xfId="0" applyAlignment="1" applyBorder="1" applyFont="1" applyNumberFormat="1">
      <alignment horizontal="right" readingOrder="0" shrinkToFit="0" vertical="center" wrapText="1"/>
    </xf>
    <xf borderId="1" fillId="3" fontId="9" numFmtId="4" xfId="0" applyAlignment="1" applyBorder="1" applyFill="1" applyFont="1" applyNumberFormat="1">
      <alignment horizontal="right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6" numFmtId="4" xfId="0" applyAlignment="1" applyBorder="1" applyFont="1" applyNumberFormat="1">
      <alignment horizontal="righ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0" fontId="15" numFmtId="4" xfId="0" applyAlignment="1" applyBorder="1" applyFont="1" applyNumberFormat="1">
      <alignment horizontal="right" shrinkToFit="0" vertical="center" wrapText="1"/>
    </xf>
    <xf borderId="2" fillId="0" fontId="15" numFmtId="4" xfId="0" applyAlignment="1" applyBorder="1" applyFont="1" applyNumberFormat="1">
      <alignment horizontal="right" shrinkToFit="0" vertical="center" wrapText="1"/>
    </xf>
    <xf borderId="1" fillId="0" fontId="16" numFmtId="4" xfId="0" applyAlignment="1" applyBorder="1" applyFont="1" applyNumberFormat="1">
      <alignment horizontal="right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left" shrinkToFit="0" vertical="center" wrapText="1"/>
    </xf>
    <xf borderId="1" fillId="0" fontId="9" numFmtId="4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3" fontId="17" numFmtId="4" xfId="0" applyAlignment="1" applyBorder="1" applyFont="1" applyNumberFormat="1">
      <alignment horizontal="right" readingOrder="0" shrinkToFit="0" vertical="center" wrapText="1"/>
    </xf>
    <xf borderId="1" fillId="0" fontId="6" numFmtId="4" xfId="0" applyAlignment="1" applyBorder="1" applyFont="1" applyNumberFormat="1">
      <alignment shrinkToFit="0" vertical="center" wrapText="0"/>
    </xf>
    <xf borderId="1" fillId="0" fontId="18" numFmtId="3" xfId="0" applyAlignment="1" applyBorder="1" applyFont="1" applyNumberFormat="1">
      <alignment shrinkToFit="0" vertical="center" wrapText="0"/>
    </xf>
    <xf borderId="1" fillId="4" fontId="6" numFmtId="10" xfId="0" applyAlignment="1" applyBorder="1" applyFill="1" applyFont="1" applyNumberFormat="1">
      <alignment shrinkToFit="0" vertical="center" wrapText="0"/>
    </xf>
    <xf borderId="1" fillId="4" fontId="6" numFmtId="4" xfId="0" applyAlignment="1" applyBorder="1" applyFont="1" applyNumberFormat="1">
      <alignment readingOrder="0" shrinkToFit="0" vertical="center" wrapText="0"/>
    </xf>
    <xf borderId="0" fillId="0" fontId="19" numFmtId="0" xfId="0" applyAlignment="1" applyFont="1">
      <alignment shrinkToFit="0" wrapText="1"/>
    </xf>
    <xf borderId="1" fillId="0" fontId="15" numFmtId="4" xfId="0" applyAlignment="1" applyBorder="1" applyFont="1" applyNumberFormat="1">
      <alignment horizontal="right" shrinkToFit="0" wrapText="1"/>
    </xf>
    <xf borderId="2" fillId="0" fontId="15" numFmtId="4" xfId="0" applyAlignment="1" applyBorder="1" applyFont="1" applyNumberFormat="1">
      <alignment horizontal="right" shrinkToFit="0" wrapText="1"/>
    </xf>
    <xf borderId="0" fillId="0" fontId="20" numFmtId="0" xfId="0" applyAlignment="1" applyFont="1">
      <alignment horizontal="center" readingOrder="0" shrinkToFit="0" vertical="center" wrapText="0"/>
    </xf>
    <xf borderId="1" fillId="2" fontId="21" numFmtId="0" xfId="0" applyAlignment="1" applyBorder="1" applyFont="1">
      <alignment horizontal="center" shrinkToFit="0" vertical="center" wrapText="1"/>
    </xf>
    <xf borderId="1" fillId="2" fontId="21" numFmtId="4" xfId="0" applyAlignment="1" applyBorder="1" applyFont="1" applyNumberFormat="1">
      <alignment horizontal="center" shrinkToFit="0" vertical="center" wrapText="1"/>
    </xf>
    <xf borderId="1" fillId="0" fontId="22" numFmtId="4" xfId="0" applyAlignment="1" applyBorder="1" applyFont="1" applyNumberFormat="1">
      <alignment horizontal="right" shrinkToFit="0" vertical="center" wrapText="1"/>
    </xf>
    <xf borderId="1" fillId="0" fontId="10" numFmtId="4" xfId="0" applyAlignment="1" applyBorder="1" applyFont="1" applyNumberFormat="1">
      <alignment horizontal="right" shrinkToFit="0" vertical="center" wrapText="1"/>
    </xf>
    <xf borderId="3" fillId="5" fontId="23" numFmtId="0" xfId="0" applyAlignment="1" applyBorder="1" applyFill="1" applyFont="1">
      <alignment horizontal="center" shrinkToFit="0" vertical="center" wrapText="1"/>
    </xf>
    <xf borderId="3" fillId="5" fontId="23" numFmtId="0" xfId="0" applyAlignment="1" applyBorder="1" applyFont="1">
      <alignment horizontal="center" readingOrder="0" shrinkToFit="0" vertical="center" wrapText="1"/>
    </xf>
    <xf borderId="3" fillId="5" fontId="23" numFmtId="164" xfId="0" applyAlignment="1" applyBorder="1" applyFont="1" applyNumberFormat="1">
      <alignment horizontal="center" shrinkToFit="0" vertical="center" wrapText="1"/>
    </xf>
    <xf borderId="4" fillId="5" fontId="23" numFmtId="164" xfId="0" applyAlignment="1" applyBorder="1" applyFont="1" applyNumberFormat="1">
      <alignment horizontal="center" readingOrder="0" shrinkToFit="0" vertical="center" wrapText="1"/>
    </xf>
    <xf borderId="3" fillId="5" fontId="23" numFmtId="165" xfId="0" applyAlignment="1" applyBorder="1" applyFont="1" applyNumberFormat="1">
      <alignment horizontal="center" readingOrder="0" shrinkToFit="0" vertical="center" wrapText="1"/>
    </xf>
    <xf borderId="5" fillId="5" fontId="23" numFmtId="165" xfId="0" applyAlignment="1" applyBorder="1" applyFont="1" applyNumberFormat="1">
      <alignment horizontal="center" readingOrder="0" shrinkToFit="0" vertical="center" wrapText="1"/>
    </xf>
    <xf borderId="5" fillId="5" fontId="23" numFmtId="10" xfId="0" applyAlignment="1" applyBorder="1" applyFont="1" applyNumberFormat="1">
      <alignment horizontal="center" readingOrder="0" shrinkToFit="0" vertical="center" wrapText="1"/>
    </xf>
    <xf borderId="6" fillId="0" fontId="19" numFmtId="0" xfId="0" applyAlignment="1" applyBorder="1" applyFont="1">
      <alignment shrinkToFit="0" wrapText="1"/>
    </xf>
    <xf borderId="7" fillId="0" fontId="19" numFmtId="0" xfId="0" applyAlignment="1" applyBorder="1" applyFont="1">
      <alignment shrinkToFit="0" wrapText="1"/>
    </xf>
    <xf borderId="6" fillId="6" fontId="19" numFmtId="165" xfId="0" applyAlignment="1" applyBorder="1" applyFill="1" applyFont="1" applyNumberFormat="1">
      <alignment horizontal="right" readingOrder="0" shrinkToFit="0" wrapText="1"/>
    </xf>
    <xf borderId="8" fillId="0" fontId="19" numFmtId="0" xfId="0" applyAlignment="1" applyBorder="1" applyFont="1">
      <alignment shrinkToFit="0" wrapText="1"/>
    </xf>
    <xf borderId="9" fillId="0" fontId="19" numFmtId="0" xfId="0" applyAlignment="1" applyBorder="1" applyFont="1">
      <alignment shrinkToFit="0" wrapText="1"/>
    </xf>
    <xf borderId="10" fillId="0" fontId="19" numFmtId="0" xfId="0" applyAlignment="1" applyBorder="1" applyFont="1">
      <alignment shrinkToFit="0" wrapText="1"/>
    </xf>
    <xf borderId="9" fillId="7" fontId="19" numFmtId="10" xfId="0" applyAlignment="1" applyBorder="1" applyFill="1" applyFont="1" applyNumberFormat="1">
      <alignment horizontal="right" readingOrder="0" shrinkToFit="0" wrapText="1"/>
    </xf>
    <xf borderId="11" fillId="7" fontId="19" numFmtId="10" xfId="0" applyAlignment="1" applyBorder="1" applyFont="1" applyNumberFormat="1">
      <alignment horizontal="right" readingOrder="0" shrinkToFit="0" wrapText="1"/>
    </xf>
    <xf borderId="11" fillId="0" fontId="19" numFmtId="0" xfId="0" applyAlignment="1" applyBorder="1" applyFont="1">
      <alignment shrinkToFit="0" wrapText="1"/>
    </xf>
    <xf borderId="0" fillId="8" fontId="24" numFmtId="0" xfId="0" applyAlignment="1" applyFill="1" applyFont="1">
      <alignment horizontal="center" readingOrder="0" shrinkToFit="0" vertical="center" wrapText="1"/>
    </xf>
    <xf borderId="0" fillId="8" fontId="24" numFmtId="165" xfId="0" applyAlignment="1" applyFont="1" applyNumberFormat="1">
      <alignment horizontal="center" readingOrder="0" shrinkToFit="0" vertical="center" wrapText="1"/>
    </xf>
    <xf borderId="0" fillId="8" fontId="24" numFmtId="10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horizontal="right" readingOrder="0" shrinkToFit="0" vertical="center" wrapText="1"/>
    </xf>
    <xf borderId="0" fillId="0" fontId="26" numFmtId="165" xfId="0" applyAlignment="1" applyFont="1" applyNumberFormat="1">
      <alignment horizontal="right" readingOrder="0" shrinkToFit="0" vertical="center" wrapText="1"/>
    </xf>
    <xf borderId="0" fillId="0" fontId="26" numFmtId="10" xfId="0" applyAlignment="1" applyFont="1" applyNumberFormat="1">
      <alignment horizontal="right" shrinkToFit="0" vertical="center" wrapText="1"/>
    </xf>
    <xf borderId="0" fillId="0" fontId="26" numFmtId="14" xfId="0" applyAlignment="1" applyFont="1" applyNumberFormat="1">
      <alignment horizontal="right" readingOrder="0" shrinkToFit="0" vertical="center" wrapText="1"/>
    </xf>
  </cellXfs>
  <cellStyles count="1">
    <cellStyle xfId="0" name="Normal" builtinId="0"/>
  </cellStyles>
  <dxfs count="2"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LGiIsREyb4-GdMHXfNtTTkfBPXxtYy4zobyDWot7xQA/edit" TargetMode="External"/><Relationship Id="rId194" Type="http://schemas.openxmlformats.org/officeDocument/2006/relationships/hyperlink" Target="https://docs.google.com/spreadsheets/d/1LGiIsREyb4-GdMHXfNtTTkfBPXxtYy4zobyDWot7xQA/edit" TargetMode="External"/><Relationship Id="rId193" Type="http://schemas.openxmlformats.org/officeDocument/2006/relationships/hyperlink" Target="https://docs.google.com/spreadsheets/d/1LGiIsREyb4-GdMHXfNtTTkfBPXxtYy4zobyDWot7xQA/edit" TargetMode="External"/><Relationship Id="rId192" Type="http://schemas.openxmlformats.org/officeDocument/2006/relationships/hyperlink" Target="https://docs.google.com/spreadsheets/d/1LGiIsREyb4-GdMHXfNtTTkfBPXxtYy4zobyDWot7xQA/edit" TargetMode="External"/><Relationship Id="rId191" Type="http://schemas.openxmlformats.org/officeDocument/2006/relationships/hyperlink" Target="https://docs.google.com/spreadsheets/d/1LGiIsREyb4-GdMHXfNtTTkfBPXxtYy4zobyDWot7xQA/edit" TargetMode="External"/><Relationship Id="rId187" Type="http://schemas.openxmlformats.org/officeDocument/2006/relationships/hyperlink" Target="https://docs.google.com/spreadsheets/d/1LGiIsREyb4-GdMHXfNtTTkfBPXxtYy4zobyDWot7xQA/edit" TargetMode="External"/><Relationship Id="rId186" Type="http://schemas.openxmlformats.org/officeDocument/2006/relationships/hyperlink" Target="https://docs.google.com/spreadsheets/d/1LGiIsREyb4-GdMHXfNtTTkfBPXxtYy4zobyDWot7xQA/edit" TargetMode="External"/><Relationship Id="rId185" Type="http://schemas.openxmlformats.org/officeDocument/2006/relationships/hyperlink" Target="https://docs.google.com/spreadsheets/d/1LGiIsREyb4-GdMHXfNtTTkfBPXxtYy4zobyDWot7xQA/edit" TargetMode="External"/><Relationship Id="rId184" Type="http://schemas.openxmlformats.org/officeDocument/2006/relationships/hyperlink" Target="https://docs.google.com/spreadsheets/d/1LGiIsREyb4-GdMHXfNtTTkfBPXxtYy4zobyDWot7xQA/edit" TargetMode="External"/><Relationship Id="rId189" Type="http://schemas.openxmlformats.org/officeDocument/2006/relationships/hyperlink" Target="https://docs.google.com/spreadsheets/d/1LGiIsREyb4-GdMHXfNtTTkfBPXxtYy4zobyDWot7xQA/edit" TargetMode="External"/><Relationship Id="rId188" Type="http://schemas.openxmlformats.org/officeDocument/2006/relationships/hyperlink" Target="https://docs.google.com/spreadsheets/d/1LGiIsREyb4-GdMHXfNtTTkfBPXxtYy4zobyDWot7xQA/edit" TargetMode="External"/><Relationship Id="rId183" Type="http://schemas.openxmlformats.org/officeDocument/2006/relationships/hyperlink" Target="https://docs.google.com/spreadsheets/d/1LGiIsREyb4-GdMHXfNtTTkfBPXxtYy4zobyDWot7xQA/edit" TargetMode="External"/><Relationship Id="rId182" Type="http://schemas.openxmlformats.org/officeDocument/2006/relationships/hyperlink" Target="https://docs.google.com/spreadsheets/d/1LGiIsREyb4-GdMHXfNtTTkfBPXxtYy4zobyDWot7xQA/edit" TargetMode="External"/><Relationship Id="rId181" Type="http://schemas.openxmlformats.org/officeDocument/2006/relationships/hyperlink" Target="https://docs.google.com/spreadsheets/d/1LGiIsREyb4-GdMHXfNtTTkfBPXxtYy4zobyDWot7xQA/edit" TargetMode="External"/><Relationship Id="rId180" Type="http://schemas.openxmlformats.org/officeDocument/2006/relationships/hyperlink" Target="https://docs.google.com/spreadsheets/d/1LGiIsREyb4-GdMHXfNtTTkfBPXxtYy4zobyDWot7xQA/edit" TargetMode="External"/><Relationship Id="rId176" Type="http://schemas.openxmlformats.org/officeDocument/2006/relationships/hyperlink" Target="https://docs.google.com/spreadsheets/d/1LGiIsREyb4-GdMHXfNtTTkfBPXxtYy4zobyDWot7xQA/edit" TargetMode="External"/><Relationship Id="rId175" Type="http://schemas.openxmlformats.org/officeDocument/2006/relationships/hyperlink" Target="https://docs.google.com/spreadsheets/d/1LGiIsREyb4-GdMHXfNtTTkfBPXxtYy4zobyDWot7xQA/edit" TargetMode="External"/><Relationship Id="rId174" Type="http://schemas.openxmlformats.org/officeDocument/2006/relationships/hyperlink" Target="https://docs.google.com/spreadsheets/d/1LGiIsREyb4-GdMHXfNtTTkfBPXxtYy4zobyDWot7xQA/edit" TargetMode="External"/><Relationship Id="rId173" Type="http://schemas.openxmlformats.org/officeDocument/2006/relationships/hyperlink" Target="https://docs.google.com/spreadsheets/d/1LGiIsREyb4-GdMHXfNtTTkfBPXxtYy4zobyDWot7xQA/edit" TargetMode="External"/><Relationship Id="rId179" Type="http://schemas.openxmlformats.org/officeDocument/2006/relationships/hyperlink" Target="https://docs.google.com/spreadsheets/d/1LGiIsREyb4-GdMHXfNtTTkfBPXxtYy4zobyDWot7xQA/edit" TargetMode="External"/><Relationship Id="rId178" Type="http://schemas.openxmlformats.org/officeDocument/2006/relationships/hyperlink" Target="https://docs.google.com/spreadsheets/d/1LGiIsREyb4-GdMHXfNtTTkfBPXxtYy4zobyDWot7xQA/edit" TargetMode="External"/><Relationship Id="rId177" Type="http://schemas.openxmlformats.org/officeDocument/2006/relationships/hyperlink" Target="https://docs.google.com/spreadsheets/d/1LGiIsREyb4-GdMHXfNtTTkfBPXxtYy4zobyDWot7xQA/edit" TargetMode="External"/><Relationship Id="rId198" Type="http://schemas.openxmlformats.org/officeDocument/2006/relationships/hyperlink" Target="https://docs.google.com/spreadsheets/d/1LGiIsREyb4-GdMHXfNtTTkfBPXxtYy4zobyDWot7xQA/edit" TargetMode="External"/><Relationship Id="rId197" Type="http://schemas.openxmlformats.org/officeDocument/2006/relationships/hyperlink" Target="https://docs.google.com/spreadsheets/d/1LGiIsREyb4-GdMHXfNtTTkfBPXxtYy4zobyDWot7xQA/edit" TargetMode="External"/><Relationship Id="rId196" Type="http://schemas.openxmlformats.org/officeDocument/2006/relationships/hyperlink" Target="https://docs.google.com/spreadsheets/d/1LGiIsREyb4-GdMHXfNtTTkfBPXxtYy4zobyDWot7xQA/edit" TargetMode="External"/><Relationship Id="rId195" Type="http://schemas.openxmlformats.org/officeDocument/2006/relationships/hyperlink" Target="https://docs.google.com/spreadsheets/d/1LGiIsREyb4-GdMHXfNtTTkfBPXxtYy4zobyDWot7xQA/edit" TargetMode="External"/><Relationship Id="rId199" Type="http://schemas.openxmlformats.org/officeDocument/2006/relationships/hyperlink" Target="https://docs.google.com/spreadsheets/d/1LGiIsREyb4-GdMHXfNtTTkfBPXxtYy4zobyDWot7xQA/edit" TargetMode="External"/><Relationship Id="rId150" Type="http://schemas.openxmlformats.org/officeDocument/2006/relationships/hyperlink" Target="https://docs.google.com/spreadsheets/d/1LGiIsREyb4-GdMHXfNtTTkfBPXxtYy4zobyDWot7xQA/edit" TargetMode="External"/><Relationship Id="rId392" Type="http://schemas.openxmlformats.org/officeDocument/2006/relationships/hyperlink" Target="https://docs.google.com/spreadsheets/d/1cdAyIuV3KTqwcGe6-vyb1X20cPPkDOOJQy9lqzxxIlg/edit" TargetMode="External"/><Relationship Id="rId391" Type="http://schemas.openxmlformats.org/officeDocument/2006/relationships/hyperlink" Target="https://docs.google.com/spreadsheets/d/1cdAyIuV3KTqwcGe6-vyb1X20cPPkDOOJQy9lqzxxIlg/edit" TargetMode="External"/><Relationship Id="rId390" Type="http://schemas.openxmlformats.org/officeDocument/2006/relationships/hyperlink" Target="https://docs.google.com/spreadsheets/d/1cdAyIuV3KTqwcGe6-vyb1X20cPPkDOOJQy9lqzxxIlg/edit" TargetMode="External"/><Relationship Id="rId1" Type="http://schemas.openxmlformats.org/officeDocument/2006/relationships/hyperlink" Target="https://docs.google.com/spreadsheets/d/17IwNqscaZ1nfXkCtx3V_0MEnuLIAYueeNI-uEmyeYNc/edit" TargetMode="External"/><Relationship Id="rId2" Type="http://schemas.openxmlformats.org/officeDocument/2006/relationships/hyperlink" Target="https://docs.google.com/spreadsheets/d/17IwNqscaZ1nfXkCtx3V_0MEnuLIAYueeNI-uEmyeYNc/edit" TargetMode="External"/><Relationship Id="rId3" Type="http://schemas.openxmlformats.org/officeDocument/2006/relationships/hyperlink" Target="https://docs.google.com/spreadsheets/d/17IwNqscaZ1nfXkCtx3V_0MEnuLIAYueeNI-uEmyeYNc/edit" TargetMode="External"/><Relationship Id="rId149" Type="http://schemas.openxmlformats.org/officeDocument/2006/relationships/hyperlink" Target="https://docs.google.com/spreadsheets/d/1LGiIsREyb4-GdMHXfNtTTkfBPXxtYy4zobyDWot7xQA/edit" TargetMode="External"/><Relationship Id="rId4" Type="http://schemas.openxmlformats.org/officeDocument/2006/relationships/hyperlink" Target="https://docs.google.com/spreadsheets/d/17IwNqscaZ1nfXkCtx3V_0MEnuLIAYueeNI-uEmyeYNc/edit" TargetMode="External"/><Relationship Id="rId148" Type="http://schemas.openxmlformats.org/officeDocument/2006/relationships/hyperlink" Target="https://docs.google.com/spreadsheets/d/1LGiIsREyb4-GdMHXfNtTTkfBPXxtYy4zobyDWot7xQA/edit" TargetMode="External"/><Relationship Id="rId9" Type="http://schemas.openxmlformats.org/officeDocument/2006/relationships/hyperlink" Target="https://docs.google.com/spreadsheets/d/17IwNqscaZ1nfXkCtx3V_0MEnuLIAYueeNI-uEmyeYNc/edit" TargetMode="External"/><Relationship Id="rId143" Type="http://schemas.openxmlformats.org/officeDocument/2006/relationships/hyperlink" Target="https://docs.google.com/spreadsheets/d/1LGiIsREyb4-GdMHXfNtTTkfBPXxtYy4zobyDWot7xQA/edit" TargetMode="External"/><Relationship Id="rId385" Type="http://schemas.openxmlformats.org/officeDocument/2006/relationships/hyperlink" Target="https://docs.google.com/spreadsheets/d/1cdAyIuV3KTqwcGe6-vyb1X20cPPkDOOJQy9lqzxxIlg/edit" TargetMode="External"/><Relationship Id="rId142" Type="http://schemas.openxmlformats.org/officeDocument/2006/relationships/hyperlink" Target="https://docs.google.com/spreadsheets/d/1LGiIsREyb4-GdMHXfNtTTkfBPXxtYy4zobyDWot7xQA/edit" TargetMode="External"/><Relationship Id="rId384" Type="http://schemas.openxmlformats.org/officeDocument/2006/relationships/hyperlink" Target="https://docs.google.com/spreadsheets/d/1cdAyIuV3KTqwcGe6-vyb1X20cPPkDOOJQy9lqzxxIlg/edit" TargetMode="External"/><Relationship Id="rId141" Type="http://schemas.openxmlformats.org/officeDocument/2006/relationships/hyperlink" Target="https://docs.google.com/spreadsheets/d/1LGiIsREyb4-GdMHXfNtTTkfBPXxtYy4zobyDWot7xQA/edit" TargetMode="External"/><Relationship Id="rId383" Type="http://schemas.openxmlformats.org/officeDocument/2006/relationships/hyperlink" Target="https://docs.google.com/spreadsheets/d/1cdAyIuV3KTqwcGe6-vyb1X20cPPkDOOJQy9lqzxxIlg/edit" TargetMode="External"/><Relationship Id="rId140" Type="http://schemas.openxmlformats.org/officeDocument/2006/relationships/hyperlink" Target="https://docs.google.com/spreadsheets/d/1LGiIsREyb4-GdMHXfNtTTkfBPXxtYy4zobyDWot7xQA/edit" TargetMode="External"/><Relationship Id="rId382" Type="http://schemas.openxmlformats.org/officeDocument/2006/relationships/hyperlink" Target="https://docs.google.com/spreadsheets/d/1cdAyIuV3KTqwcGe6-vyb1X20cPPkDOOJQy9lqzxxIlg/edit" TargetMode="External"/><Relationship Id="rId5" Type="http://schemas.openxmlformats.org/officeDocument/2006/relationships/hyperlink" Target="https://docs.google.com/spreadsheets/d/17IwNqscaZ1nfXkCtx3V_0MEnuLIAYueeNI-uEmyeYNc/edit" TargetMode="External"/><Relationship Id="rId147" Type="http://schemas.openxmlformats.org/officeDocument/2006/relationships/hyperlink" Target="https://docs.google.com/spreadsheets/d/1LGiIsREyb4-GdMHXfNtTTkfBPXxtYy4zobyDWot7xQA/edit" TargetMode="External"/><Relationship Id="rId389" Type="http://schemas.openxmlformats.org/officeDocument/2006/relationships/hyperlink" Target="https://docs.google.com/spreadsheets/d/1cdAyIuV3KTqwcGe6-vyb1X20cPPkDOOJQy9lqzxxIlg/edit" TargetMode="External"/><Relationship Id="rId6" Type="http://schemas.openxmlformats.org/officeDocument/2006/relationships/hyperlink" Target="https://docs.google.com/spreadsheets/d/17IwNqscaZ1nfXkCtx3V_0MEnuLIAYueeNI-uEmyeYNc/edit" TargetMode="External"/><Relationship Id="rId146" Type="http://schemas.openxmlformats.org/officeDocument/2006/relationships/hyperlink" Target="https://docs.google.com/spreadsheets/d/1LGiIsREyb4-GdMHXfNtTTkfBPXxtYy4zobyDWot7xQA/edit" TargetMode="External"/><Relationship Id="rId388" Type="http://schemas.openxmlformats.org/officeDocument/2006/relationships/hyperlink" Target="https://docs.google.com/spreadsheets/d/1cdAyIuV3KTqwcGe6-vyb1X20cPPkDOOJQy9lqzxxIlg/edit" TargetMode="External"/><Relationship Id="rId7" Type="http://schemas.openxmlformats.org/officeDocument/2006/relationships/hyperlink" Target="https://docs.google.com/spreadsheets/d/17IwNqscaZ1nfXkCtx3V_0MEnuLIAYueeNI-uEmyeYNc/edit" TargetMode="External"/><Relationship Id="rId145" Type="http://schemas.openxmlformats.org/officeDocument/2006/relationships/hyperlink" Target="https://docs.google.com/spreadsheets/d/1LGiIsREyb4-GdMHXfNtTTkfBPXxtYy4zobyDWot7xQA/edit" TargetMode="External"/><Relationship Id="rId387" Type="http://schemas.openxmlformats.org/officeDocument/2006/relationships/hyperlink" Target="https://docs.google.com/spreadsheets/d/1cdAyIuV3KTqwcGe6-vyb1X20cPPkDOOJQy9lqzxxIlg/edit" TargetMode="External"/><Relationship Id="rId8" Type="http://schemas.openxmlformats.org/officeDocument/2006/relationships/hyperlink" Target="https://docs.google.com/spreadsheets/d/17IwNqscaZ1nfXkCtx3V_0MEnuLIAYueeNI-uEmyeYNc/edit" TargetMode="External"/><Relationship Id="rId144" Type="http://schemas.openxmlformats.org/officeDocument/2006/relationships/hyperlink" Target="https://docs.google.com/spreadsheets/d/1LGiIsREyb4-GdMHXfNtTTkfBPXxtYy4zobyDWot7xQA/edit" TargetMode="External"/><Relationship Id="rId386" Type="http://schemas.openxmlformats.org/officeDocument/2006/relationships/hyperlink" Target="https://docs.google.com/spreadsheets/d/1cdAyIuV3KTqwcGe6-vyb1X20cPPkDOOJQy9lqzxxIlg/edit" TargetMode="External"/><Relationship Id="rId381" Type="http://schemas.openxmlformats.org/officeDocument/2006/relationships/hyperlink" Target="https://docs.google.com/spreadsheets/d/1cdAyIuV3KTqwcGe6-vyb1X20cPPkDOOJQy9lqzxxIlg/edit" TargetMode="External"/><Relationship Id="rId380" Type="http://schemas.openxmlformats.org/officeDocument/2006/relationships/hyperlink" Target="https://docs.google.com/spreadsheets/d/1cdAyIuV3KTqwcGe6-vyb1X20cPPkDOOJQy9lqzxxIlg/edit" TargetMode="External"/><Relationship Id="rId139" Type="http://schemas.openxmlformats.org/officeDocument/2006/relationships/hyperlink" Target="https://docs.google.com/spreadsheets/d/1LGiIsREyb4-GdMHXfNtTTkfBPXxtYy4zobyDWot7xQA/edit" TargetMode="External"/><Relationship Id="rId138" Type="http://schemas.openxmlformats.org/officeDocument/2006/relationships/hyperlink" Target="https://docs.google.com/spreadsheets/d/1LGiIsREyb4-GdMHXfNtTTkfBPXxtYy4zobyDWot7xQA/edit" TargetMode="External"/><Relationship Id="rId137" Type="http://schemas.openxmlformats.org/officeDocument/2006/relationships/hyperlink" Target="https://docs.google.com/spreadsheets/d/1LGiIsREyb4-GdMHXfNtTTkfBPXxtYy4zobyDWot7xQA/edit" TargetMode="External"/><Relationship Id="rId379" Type="http://schemas.openxmlformats.org/officeDocument/2006/relationships/hyperlink" Target="https://docs.google.com/spreadsheets/d/1cdAyIuV3KTqwcGe6-vyb1X20cPPkDOOJQy9lqzxxIlg/edit" TargetMode="External"/><Relationship Id="rId132" Type="http://schemas.openxmlformats.org/officeDocument/2006/relationships/hyperlink" Target="https://docs.google.com/spreadsheets/d/1LGiIsREyb4-GdMHXfNtTTkfBPXxtYy4zobyDWot7xQA/edit" TargetMode="External"/><Relationship Id="rId374" Type="http://schemas.openxmlformats.org/officeDocument/2006/relationships/hyperlink" Target="https://docs.google.com/spreadsheets/d/1cdAyIuV3KTqwcGe6-vyb1X20cPPkDOOJQy9lqzxxIlg/edit" TargetMode="External"/><Relationship Id="rId131" Type="http://schemas.openxmlformats.org/officeDocument/2006/relationships/hyperlink" Target="https://docs.google.com/spreadsheets/d/1LGiIsREyb4-GdMHXfNtTTkfBPXxtYy4zobyDWot7xQA/edit" TargetMode="External"/><Relationship Id="rId373" Type="http://schemas.openxmlformats.org/officeDocument/2006/relationships/hyperlink" Target="https://docs.google.com/spreadsheets/d/1cdAyIuV3KTqwcGe6-vyb1X20cPPkDOOJQy9lqzxxIlg/edit" TargetMode="External"/><Relationship Id="rId130" Type="http://schemas.openxmlformats.org/officeDocument/2006/relationships/hyperlink" Target="https://docs.google.com/spreadsheets/d/1LGiIsREyb4-GdMHXfNtTTkfBPXxtYy4zobyDWot7xQA/edit" TargetMode="External"/><Relationship Id="rId372" Type="http://schemas.openxmlformats.org/officeDocument/2006/relationships/hyperlink" Target="https://docs.google.com/spreadsheets/d/1cdAyIuV3KTqwcGe6-vyb1X20cPPkDOOJQy9lqzxxIlg/edit" TargetMode="External"/><Relationship Id="rId371" Type="http://schemas.openxmlformats.org/officeDocument/2006/relationships/hyperlink" Target="https://docs.google.com/spreadsheets/d/1cdAyIuV3KTqwcGe6-vyb1X20cPPkDOOJQy9lqzxxIlg/edit" TargetMode="External"/><Relationship Id="rId136" Type="http://schemas.openxmlformats.org/officeDocument/2006/relationships/hyperlink" Target="https://docs.google.com/spreadsheets/d/1LGiIsREyb4-GdMHXfNtTTkfBPXxtYy4zobyDWot7xQA/edit" TargetMode="External"/><Relationship Id="rId378" Type="http://schemas.openxmlformats.org/officeDocument/2006/relationships/hyperlink" Target="https://docs.google.com/spreadsheets/d/1cdAyIuV3KTqwcGe6-vyb1X20cPPkDOOJQy9lqzxxIlg/edit" TargetMode="External"/><Relationship Id="rId135" Type="http://schemas.openxmlformats.org/officeDocument/2006/relationships/hyperlink" Target="https://docs.google.com/spreadsheets/d/1LGiIsREyb4-GdMHXfNtTTkfBPXxtYy4zobyDWot7xQA/edit" TargetMode="External"/><Relationship Id="rId377" Type="http://schemas.openxmlformats.org/officeDocument/2006/relationships/hyperlink" Target="https://docs.google.com/spreadsheets/d/1cdAyIuV3KTqwcGe6-vyb1X20cPPkDOOJQy9lqzxxIlg/edit" TargetMode="External"/><Relationship Id="rId134" Type="http://schemas.openxmlformats.org/officeDocument/2006/relationships/hyperlink" Target="https://docs.google.com/spreadsheets/d/1LGiIsREyb4-GdMHXfNtTTkfBPXxtYy4zobyDWot7xQA/edit" TargetMode="External"/><Relationship Id="rId376" Type="http://schemas.openxmlformats.org/officeDocument/2006/relationships/hyperlink" Target="https://docs.google.com/spreadsheets/d/1cdAyIuV3KTqwcGe6-vyb1X20cPPkDOOJQy9lqzxxIlg/edit" TargetMode="External"/><Relationship Id="rId133" Type="http://schemas.openxmlformats.org/officeDocument/2006/relationships/hyperlink" Target="https://docs.google.com/spreadsheets/d/1LGiIsREyb4-GdMHXfNtTTkfBPXxtYy4zobyDWot7xQA/edit" TargetMode="External"/><Relationship Id="rId375" Type="http://schemas.openxmlformats.org/officeDocument/2006/relationships/hyperlink" Target="https://docs.google.com/spreadsheets/d/1cdAyIuV3KTqwcGe6-vyb1X20cPPkDOOJQy9lqzxxIlg/edit" TargetMode="External"/><Relationship Id="rId172" Type="http://schemas.openxmlformats.org/officeDocument/2006/relationships/hyperlink" Target="https://docs.google.com/spreadsheets/d/1LGiIsREyb4-GdMHXfNtTTkfBPXxtYy4zobyDWot7xQA/edit" TargetMode="External"/><Relationship Id="rId171" Type="http://schemas.openxmlformats.org/officeDocument/2006/relationships/hyperlink" Target="https://docs.google.com/spreadsheets/d/1LGiIsREyb4-GdMHXfNtTTkfBPXxtYy4zobyDWot7xQA/edit" TargetMode="External"/><Relationship Id="rId170" Type="http://schemas.openxmlformats.org/officeDocument/2006/relationships/hyperlink" Target="https://docs.google.com/spreadsheets/d/1LGiIsREyb4-GdMHXfNtTTkfBPXxtYy4zobyDWot7xQA/edit" TargetMode="External"/><Relationship Id="rId165" Type="http://schemas.openxmlformats.org/officeDocument/2006/relationships/hyperlink" Target="https://docs.google.com/spreadsheets/d/1LGiIsREyb4-GdMHXfNtTTkfBPXxtYy4zobyDWot7xQA/edit" TargetMode="External"/><Relationship Id="rId164" Type="http://schemas.openxmlformats.org/officeDocument/2006/relationships/hyperlink" Target="https://docs.google.com/spreadsheets/d/1LGiIsREyb4-GdMHXfNtTTkfBPXxtYy4zobyDWot7xQA/edit" TargetMode="External"/><Relationship Id="rId163" Type="http://schemas.openxmlformats.org/officeDocument/2006/relationships/hyperlink" Target="https://docs.google.com/spreadsheets/d/1LGiIsREyb4-GdMHXfNtTTkfBPXxtYy4zobyDWot7xQA/edit" TargetMode="External"/><Relationship Id="rId162" Type="http://schemas.openxmlformats.org/officeDocument/2006/relationships/hyperlink" Target="https://docs.google.com/spreadsheets/d/1LGiIsREyb4-GdMHXfNtTTkfBPXxtYy4zobyDWot7xQA/edit" TargetMode="External"/><Relationship Id="rId169" Type="http://schemas.openxmlformats.org/officeDocument/2006/relationships/hyperlink" Target="https://docs.google.com/spreadsheets/d/1LGiIsREyb4-GdMHXfNtTTkfBPXxtYy4zobyDWot7xQA/edit" TargetMode="External"/><Relationship Id="rId168" Type="http://schemas.openxmlformats.org/officeDocument/2006/relationships/hyperlink" Target="https://docs.google.com/spreadsheets/d/1LGiIsREyb4-GdMHXfNtTTkfBPXxtYy4zobyDWot7xQA/edit" TargetMode="External"/><Relationship Id="rId167" Type="http://schemas.openxmlformats.org/officeDocument/2006/relationships/hyperlink" Target="https://docs.google.com/spreadsheets/d/1LGiIsREyb4-GdMHXfNtTTkfBPXxtYy4zobyDWot7xQA/edit" TargetMode="External"/><Relationship Id="rId166" Type="http://schemas.openxmlformats.org/officeDocument/2006/relationships/hyperlink" Target="https://docs.google.com/spreadsheets/d/1LGiIsREyb4-GdMHXfNtTTkfBPXxtYy4zobyDWot7xQA/edit" TargetMode="External"/><Relationship Id="rId161" Type="http://schemas.openxmlformats.org/officeDocument/2006/relationships/hyperlink" Target="https://docs.google.com/spreadsheets/d/1LGiIsREyb4-GdMHXfNtTTkfBPXxtYy4zobyDWot7xQA/edit" TargetMode="External"/><Relationship Id="rId160" Type="http://schemas.openxmlformats.org/officeDocument/2006/relationships/hyperlink" Target="https://docs.google.com/spreadsheets/d/1LGiIsREyb4-GdMHXfNtTTkfBPXxtYy4zobyDWot7xQA/edit" TargetMode="External"/><Relationship Id="rId159" Type="http://schemas.openxmlformats.org/officeDocument/2006/relationships/hyperlink" Target="https://docs.google.com/spreadsheets/d/1LGiIsREyb4-GdMHXfNtTTkfBPXxtYy4zobyDWot7xQA/edit" TargetMode="External"/><Relationship Id="rId154" Type="http://schemas.openxmlformats.org/officeDocument/2006/relationships/hyperlink" Target="https://docs.google.com/spreadsheets/d/1LGiIsREyb4-GdMHXfNtTTkfBPXxtYy4zobyDWot7xQA/edit" TargetMode="External"/><Relationship Id="rId396" Type="http://schemas.openxmlformats.org/officeDocument/2006/relationships/hyperlink" Target="https://docs.google.com/spreadsheets/d/1cdAyIuV3KTqwcGe6-vyb1X20cPPkDOOJQy9lqzxxIlg/edit" TargetMode="External"/><Relationship Id="rId153" Type="http://schemas.openxmlformats.org/officeDocument/2006/relationships/hyperlink" Target="https://docs.google.com/spreadsheets/d/1LGiIsREyb4-GdMHXfNtTTkfBPXxtYy4zobyDWot7xQA/edit" TargetMode="External"/><Relationship Id="rId395" Type="http://schemas.openxmlformats.org/officeDocument/2006/relationships/hyperlink" Target="https://docs.google.com/spreadsheets/d/1cdAyIuV3KTqwcGe6-vyb1X20cPPkDOOJQy9lqzxxIlg/edit" TargetMode="External"/><Relationship Id="rId152" Type="http://schemas.openxmlformats.org/officeDocument/2006/relationships/hyperlink" Target="https://docs.google.com/spreadsheets/d/1LGiIsREyb4-GdMHXfNtTTkfBPXxtYy4zobyDWot7xQA/edit" TargetMode="External"/><Relationship Id="rId394" Type="http://schemas.openxmlformats.org/officeDocument/2006/relationships/hyperlink" Target="https://docs.google.com/spreadsheets/d/1cdAyIuV3KTqwcGe6-vyb1X20cPPkDOOJQy9lqzxxIlg/edit" TargetMode="External"/><Relationship Id="rId151" Type="http://schemas.openxmlformats.org/officeDocument/2006/relationships/hyperlink" Target="https://docs.google.com/spreadsheets/d/1LGiIsREyb4-GdMHXfNtTTkfBPXxtYy4zobyDWot7xQA/edit" TargetMode="External"/><Relationship Id="rId393" Type="http://schemas.openxmlformats.org/officeDocument/2006/relationships/hyperlink" Target="https://docs.google.com/spreadsheets/d/1cdAyIuV3KTqwcGe6-vyb1X20cPPkDOOJQy9lqzxxIlg/edit" TargetMode="External"/><Relationship Id="rId158" Type="http://schemas.openxmlformats.org/officeDocument/2006/relationships/hyperlink" Target="https://docs.google.com/spreadsheets/d/1LGiIsREyb4-GdMHXfNtTTkfBPXxtYy4zobyDWot7xQA/edit" TargetMode="External"/><Relationship Id="rId157" Type="http://schemas.openxmlformats.org/officeDocument/2006/relationships/hyperlink" Target="https://docs.google.com/spreadsheets/d/1LGiIsREyb4-GdMHXfNtTTkfBPXxtYy4zobyDWot7xQA/edit" TargetMode="External"/><Relationship Id="rId399" Type="http://schemas.openxmlformats.org/officeDocument/2006/relationships/hyperlink" Target="https://docs.google.com/spreadsheets/d/1cdAyIuV3KTqwcGe6-vyb1X20cPPkDOOJQy9lqzxxIlg/edit" TargetMode="External"/><Relationship Id="rId156" Type="http://schemas.openxmlformats.org/officeDocument/2006/relationships/hyperlink" Target="https://docs.google.com/spreadsheets/d/1LGiIsREyb4-GdMHXfNtTTkfBPXxtYy4zobyDWot7xQA/edit" TargetMode="External"/><Relationship Id="rId398" Type="http://schemas.openxmlformats.org/officeDocument/2006/relationships/hyperlink" Target="https://docs.google.com/spreadsheets/d/1cdAyIuV3KTqwcGe6-vyb1X20cPPkDOOJQy9lqzxxIlg/edit" TargetMode="External"/><Relationship Id="rId155" Type="http://schemas.openxmlformats.org/officeDocument/2006/relationships/hyperlink" Target="https://docs.google.com/spreadsheets/d/1LGiIsREyb4-GdMHXfNtTTkfBPXxtYy4zobyDWot7xQA/edit" TargetMode="External"/><Relationship Id="rId397" Type="http://schemas.openxmlformats.org/officeDocument/2006/relationships/hyperlink" Target="https://docs.google.com/spreadsheets/d/1cdAyIuV3KTqwcGe6-vyb1X20cPPkDOOJQy9lqzxxIlg/edit" TargetMode="External"/><Relationship Id="rId808" Type="http://schemas.openxmlformats.org/officeDocument/2006/relationships/hyperlink" Target="https://docs.google.com/spreadsheets/d/1qGsXBQA7UK_C9LOomu1EW4PbhsRPWpCf9o9ByaiP77Y/edit" TargetMode="External"/><Relationship Id="rId807" Type="http://schemas.openxmlformats.org/officeDocument/2006/relationships/hyperlink" Target="https://docs.google.com/spreadsheets/d/1qGsXBQA7UK_C9LOomu1EW4PbhsRPWpCf9o9ByaiP77Y/edit" TargetMode="External"/><Relationship Id="rId806" Type="http://schemas.openxmlformats.org/officeDocument/2006/relationships/hyperlink" Target="https://docs.google.com/spreadsheets/d/1qGsXBQA7UK_C9LOomu1EW4PbhsRPWpCf9o9ByaiP77Y/edit" TargetMode="External"/><Relationship Id="rId805" Type="http://schemas.openxmlformats.org/officeDocument/2006/relationships/hyperlink" Target="https://docs.google.com/spreadsheets/d/1qGsXBQA7UK_C9LOomu1EW4PbhsRPWpCf9o9ByaiP77Y/edit" TargetMode="External"/><Relationship Id="rId809" Type="http://schemas.openxmlformats.org/officeDocument/2006/relationships/hyperlink" Target="https://docs.google.com/spreadsheets/d/1qGsXBQA7UK_C9LOomu1EW4PbhsRPWpCf9o9ByaiP77Y/edit" TargetMode="External"/><Relationship Id="rId800" Type="http://schemas.openxmlformats.org/officeDocument/2006/relationships/hyperlink" Target="https://docs.google.com/spreadsheets/d/1qGsXBQA7UK_C9LOomu1EW4PbhsRPWpCf9o9ByaiP77Y/edit" TargetMode="External"/><Relationship Id="rId804" Type="http://schemas.openxmlformats.org/officeDocument/2006/relationships/hyperlink" Target="https://docs.google.com/spreadsheets/d/1qGsXBQA7UK_C9LOomu1EW4PbhsRPWpCf9o9ByaiP77Y/edit" TargetMode="External"/><Relationship Id="rId803" Type="http://schemas.openxmlformats.org/officeDocument/2006/relationships/hyperlink" Target="https://docs.google.com/spreadsheets/d/1qGsXBQA7UK_C9LOomu1EW4PbhsRPWpCf9o9ByaiP77Y/edit" TargetMode="External"/><Relationship Id="rId802" Type="http://schemas.openxmlformats.org/officeDocument/2006/relationships/hyperlink" Target="https://docs.google.com/spreadsheets/d/1qGsXBQA7UK_C9LOomu1EW4PbhsRPWpCf9o9ByaiP77Y/edit" TargetMode="External"/><Relationship Id="rId801" Type="http://schemas.openxmlformats.org/officeDocument/2006/relationships/hyperlink" Target="https://docs.google.com/spreadsheets/d/1qGsXBQA7UK_C9LOomu1EW4PbhsRPWpCf9o9ByaiP77Y/edit" TargetMode="External"/><Relationship Id="rId40" Type="http://schemas.openxmlformats.org/officeDocument/2006/relationships/hyperlink" Target="https://docs.google.com/spreadsheets/d/17IwNqscaZ1nfXkCtx3V_0MEnuLIAYueeNI-uEmyeYNc/edit" TargetMode="External"/><Relationship Id="rId42" Type="http://schemas.openxmlformats.org/officeDocument/2006/relationships/hyperlink" Target="https://docs.google.com/spreadsheets/d/17IwNqscaZ1nfXkCtx3V_0MEnuLIAYueeNI-uEmyeYNc/edit" TargetMode="External"/><Relationship Id="rId41" Type="http://schemas.openxmlformats.org/officeDocument/2006/relationships/hyperlink" Target="https://docs.google.com/spreadsheets/d/17IwNqscaZ1nfXkCtx3V_0MEnuLIAYueeNI-uEmyeYNc/edit" TargetMode="External"/><Relationship Id="rId44" Type="http://schemas.openxmlformats.org/officeDocument/2006/relationships/hyperlink" Target="https://docs.google.com/spreadsheets/d/17IwNqscaZ1nfXkCtx3V_0MEnuLIAYueeNI-uEmyeYNc/edit" TargetMode="External"/><Relationship Id="rId43" Type="http://schemas.openxmlformats.org/officeDocument/2006/relationships/hyperlink" Target="https://docs.google.com/spreadsheets/d/17IwNqscaZ1nfXkCtx3V_0MEnuLIAYueeNI-uEmyeYNc/edit" TargetMode="External"/><Relationship Id="rId46" Type="http://schemas.openxmlformats.org/officeDocument/2006/relationships/hyperlink" Target="https://docs.google.com/spreadsheets/d/17IwNqscaZ1nfXkCtx3V_0MEnuLIAYueeNI-uEmyeYNc/edit" TargetMode="External"/><Relationship Id="rId45" Type="http://schemas.openxmlformats.org/officeDocument/2006/relationships/hyperlink" Target="https://docs.google.com/spreadsheets/d/17IwNqscaZ1nfXkCtx3V_0MEnuLIAYueeNI-uEmyeYNc/edit" TargetMode="External"/><Relationship Id="rId509" Type="http://schemas.openxmlformats.org/officeDocument/2006/relationships/hyperlink" Target="https://docs.google.com/spreadsheets/d/1cdAyIuV3KTqwcGe6-vyb1X20cPPkDOOJQy9lqzxxIlg/edit" TargetMode="External"/><Relationship Id="rId508" Type="http://schemas.openxmlformats.org/officeDocument/2006/relationships/hyperlink" Target="https://docs.google.com/spreadsheets/d/1cdAyIuV3KTqwcGe6-vyb1X20cPPkDOOJQy9lqzxxIlg/edit" TargetMode="External"/><Relationship Id="rId503" Type="http://schemas.openxmlformats.org/officeDocument/2006/relationships/hyperlink" Target="https://docs.google.com/spreadsheets/d/1cdAyIuV3KTqwcGe6-vyb1X20cPPkDOOJQy9lqzxxIlg/edit" TargetMode="External"/><Relationship Id="rId745" Type="http://schemas.openxmlformats.org/officeDocument/2006/relationships/hyperlink" Target="https://docs.google.com/spreadsheets/d/17WRbCuo0DVepxTRtwozyxF08Zfve8uQViqsT2QSth8I/edit" TargetMode="External"/><Relationship Id="rId502" Type="http://schemas.openxmlformats.org/officeDocument/2006/relationships/hyperlink" Target="https://docs.google.com/spreadsheets/d/1cdAyIuV3KTqwcGe6-vyb1X20cPPkDOOJQy9lqzxxIlg/edit" TargetMode="External"/><Relationship Id="rId744" Type="http://schemas.openxmlformats.org/officeDocument/2006/relationships/hyperlink" Target="https://docs.google.com/spreadsheets/d/17WRbCuo0DVepxTRtwozyxF08Zfve8uQViqsT2QSth8I/edit" TargetMode="External"/><Relationship Id="rId501" Type="http://schemas.openxmlformats.org/officeDocument/2006/relationships/hyperlink" Target="https://docs.google.com/spreadsheets/d/1cdAyIuV3KTqwcGe6-vyb1X20cPPkDOOJQy9lqzxxIlg/edit" TargetMode="External"/><Relationship Id="rId743" Type="http://schemas.openxmlformats.org/officeDocument/2006/relationships/hyperlink" Target="https://docs.google.com/spreadsheets/d/17WRbCuo0DVepxTRtwozyxF08Zfve8uQViqsT2QSth8I/edit" TargetMode="External"/><Relationship Id="rId500" Type="http://schemas.openxmlformats.org/officeDocument/2006/relationships/hyperlink" Target="https://docs.google.com/spreadsheets/d/1cdAyIuV3KTqwcGe6-vyb1X20cPPkDOOJQy9lqzxxIlg/edit" TargetMode="External"/><Relationship Id="rId742" Type="http://schemas.openxmlformats.org/officeDocument/2006/relationships/hyperlink" Target="https://docs.google.com/spreadsheets/d/17WRbCuo0DVepxTRtwozyxF08Zfve8uQViqsT2QSth8I/edit" TargetMode="External"/><Relationship Id="rId507" Type="http://schemas.openxmlformats.org/officeDocument/2006/relationships/hyperlink" Target="https://docs.google.com/spreadsheets/d/1cdAyIuV3KTqwcGe6-vyb1X20cPPkDOOJQy9lqzxxIlg/edit" TargetMode="External"/><Relationship Id="rId749" Type="http://schemas.openxmlformats.org/officeDocument/2006/relationships/hyperlink" Target="https://docs.google.com/spreadsheets/d/17WRbCuo0DVepxTRtwozyxF08Zfve8uQViqsT2QSth8I/edit" TargetMode="External"/><Relationship Id="rId506" Type="http://schemas.openxmlformats.org/officeDocument/2006/relationships/hyperlink" Target="https://docs.google.com/spreadsheets/d/1cdAyIuV3KTqwcGe6-vyb1X20cPPkDOOJQy9lqzxxIlg/edit" TargetMode="External"/><Relationship Id="rId748" Type="http://schemas.openxmlformats.org/officeDocument/2006/relationships/hyperlink" Target="https://docs.google.com/spreadsheets/d/17WRbCuo0DVepxTRtwozyxF08Zfve8uQViqsT2QSth8I/edit" TargetMode="External"/><Relationship Id="rId505" Type="http://schemas.openxmlformats.org/officeDocument/2006/relationships/hyperlink" Target="https://docs.google.com/spreadsheets/d/1cdAyIuV3KTqwcGe6-vyb1X20cPPkDOOJQy9lqzxxIlg/edit" TargetMode="External"/><Relationship Id="rId747" Type="http://schemas.openxmlformats.org/officeDocument/2006/relationships/hyperlink" Target="https://docs.google.com/spreadsheets/d/17WRbCuo0DVepxTRtwozyxF08Zfve8uQViqsT2QSth8I/edit" TargetMode="External"/><Relationship Id="rId504" Type="http://schemas.openxmlformats.org/officeDocument/2006/relationships/hyperlink" Target="https://docs.google.com/spreadsheets/d/1cdAyIuV3KTqwcGe6-vyb1X20cPPkDOOJQy9lqzxxIlg/edit" TargetMode="External"/><Relationship Id="rId746" Type="http://schemas.openxmlformats.org/officeDocument/2006/relationships/hyperlink" Target="https://docs.google.com/spreadsheets/d/17WRbCuo0DVepxTRtwozyxF08Zfve8uQViqsT2QSth8I/edit" TargetMode="External"/><Relationship Id="rId48" Type="http://schemas.openxmlformats.org/officeDocument/2006/relationships/hyperlink" Target="https://docs.google.com/spreadsheets/d/17IwNqscaZ1nfXkCtx3V_0MEnuLIAYueeNI-uEmyeYNc/edit" TargetMode="External"/><Relationship Id="rId47" Type="http://schemas.openxmlformats.org/officeDocument/2006/relationships/hyperlink" Target="https://docs.google.com/spreadsheets/d/17IwNqscaZ1nfXkCtx3V_0MEnuLIAYueeNI-uEmyeYNc/edit" TargetMode="External"/><Relationship Id="rId49" Type="http://schemas.openxmlformats.org/officeDocument/2006/relationships/hyperlink" Target="https://docs.google.com/spreadsheets/d/17IwNqscaZ1nfXkCtx3V_0MEnuLIAYueeNI-uEmyeYNc/edit" TargetMode="External"/><Relationship Id="rId741" Type="http://schemas.openxmlformats.org/officeDocument/2006/relationships/hyperlink" Target="https://docs.google.com/spreadsheets/d/17WRbCuo0DVepxTRtwozyxF08Zfve8uQViqsT2QSth8I/edit" TargetMode="External"/><Relationship Id="rId740" Type="http://schemas.openxmlformats.org/officeDocument/2006/relationships/hyperlink" Target="https://docs.google.com/spreadsheets/d/17WRbCuo0DVepxTRtwozyxF08Zfve8uQViqsT2QSth8I/edit" TargetMode="External"/><Relationship Id="rId31" Type="http://schemas.openxmlformats.org/officeDocument/2006/relationships/hyperlink" Target="https://docs.google.com/spreadsheets/d/17IwNqscaZ1nfXkCtx3V_0MEnuLIAYueeNI-uEmyeYNc/edit" TargetMode="External"/><Relationship Id="rId30" Type="http://schemas.openxmlformats.org/officeDocument/2006/relationships/hyperlink" Target="https://docs.google.com/spreadsheets/d/17IwNqscaZ1nfXkCtx3V_0MEnuLIAYueeNI-uEmyeYNc/edit" TargetMode="External"/><Relationship Id="rId33" Type="http://schemas.openxmlformats.org/officeDocument/2006/relationships/hyperlink" Target="https://docs.google.com/spreadsheets/d/17IwNqscaZ1nfXkCtx3V_0MEnuLIAYueeNI-uEmyeYNc/edit" TargetMode="External"/><Relationship Id="rId32" Type="http://schemas.openxmlformats.org/officeDocument/2006/relationships/hyperlink" Target="https://docs.google.com/spreadsheets/d/17IwNqscaZ1nfXkCtx3V_0MEnuLIAYueeNI-uEmyeYNc/edit" TargetMode="External"/><Relationship Id="rId35" Type="http://schemas.openxmlformats.org/officeDocument/2006/relationships/hyperlink" Target="https://docs.google.com/spreadsheets/d/17IwNqscaZ1nfXkCtx3V_0MEnuLIAYueeNI-uEmyeYNc/edit" TargetMode="External"/><Relationship Id="rId34" Type="http://schemas.openxmlformats.org/officeDocument/2006/relationships/hyperlink" Target="https://docs.google.com/spreadsheets/d/17IwNqscaZ1nfXkCtx3V_0MEnuLIAYueeNI-uEmyeYNc/edit" TargetMode="External"/><Relationship Id="rId739" Type="http://schemas.openxmlformats.org/officeDocument/2006/relationships/hyperlink" Target="https://docs.google.com/spreadsheets/d/17WRbCuo0DVepxTRtwozyxF08Zfve8uQViqsT2QSth8I/edit" TargetMode="External"/><Relationship Id="rId734" Type="http://schemas.openxmlformats.org/officeDocument/2006/relationships/hyperlink" Target="https://docs.google.com/spreadsheets/d/17WRbCuo0DVepxTRtwozyxF08Zfve8uQViqsT2QSth8I/edit" TargetMode="External"/><Relationship Id="rId733" Type="http://schemas.openxmlformats.org/officeDocument/2006/relationships/hyperlink" Target="https://docs.google.com/spreadsheets/d/17WRbCuo0DVepxTRtwozyxF08Zfve8uQViqsT2QSth8I/edit" TargetMode="External"/><Relationship Id="rId732" Type="http://schemas.openxmlformats.org/officeDocument/2006/relationships/hyperlink" Target="https://docs.google.com/spreadsheets/d/17WRbCuo0DVepxTRtwozyxF08Zfve8uQViqsT2QSth8I/edit" TargetMode="External"/><Relationship Id="rId731" Type="http://schemas.openxmlformats.org/officeDocument/2006/relationships/hyperlink" Target="https://docs.google.com/spreadsheets/d/17WRbCuo0DVepxTRtwozyxF08Zfve8uQViqsT2QSth8I/edit" TargetMode="External"/><Relationship Id="rId738" Type="http://schemas.openxmlformats.org/officeDocument/2006/relationships/hyperlink" Target="https://docs.google.com/spreadsheets/d/17WRbCuo0DVepxTRtwozyxF08Zfve8uQViqsT2QSth8I/edit" TargetMode="External"/><Relationship Id="rId737" Type="http://schemas.openxmlformats.org/officeDocument/2006/relationships/hyperlink" Target="https://docs.google.com/spreadsheets/d/17WRbCuo0DVepxTRtwozyxF08Zfve8uQViqsT2QSth8I/edit" TargetMode="External"/><Relationship Id="rId736" Type="http://schemas.openxmlformats.org/officeDocument/2006/relationships/hyperlink" Target="https://docs.google.com/spreadsheets/d/17WRbCuo0DVepxTRtwozyxF08Zfve8uQViqsT2QSth8I/edit" TargetMode="External"/><Relationship Id="rId735" Type="http://schemas.openxmlformats.org/officeDocument/2006/relationships/hyperlink" Target="https://docs.google.com/spreadsheets/d/17WRbCuo0DVepxTRtwozyxF08Zfve8uQViqsT2QSth8I/edit" TargetMode="External"/><Relationship Id="rId37" Type="http://schemas.openxmlformats.org/officeDocument/2006/relationships/hyperlink" Target="https://docs.google.com/spreadsheets/d/17IwNqscaZ1nfXkCtx3V_0MEnuLIAYueeNI-uEmyeYNc/edit" TargetMode="External"/><Relationship Id="rId36" Type="http://schemas.openxmlformats.org/officeDocument/2006/relationships/hyperlink" Target="https://docs.google.com/spreadsheets/d/17IwNqscaZ1nfXkCtx3V_0MEnuLIAYueeNI-uEmyeYNc/edit" TargetMode="External"/><Relationship Id="rId39" Type="http://schemas.openxmlformats.org/officeDocument/2006/relationships/hyperlink" Target="https://docs.google.com/spreadsheets/d/17IwNqscaZ1nfXkCtx3V_0MEnuLIAYueeNI-uEmyeYNc/edit" TargetMode="External"/><Relationship Id="rId38" Type="http://schemas.openxmlformats.org/officeDocument/2006/relationships/hyperlink" Target="https://docs.google.com/spreadsheets/d/17IwNqscaZ1nfXkCtx3V_0MEnuLIAYueeNI-uEmyeYNc/edit" TargetMode="External"/><Relationship Id="rId730" Type="http://schemas.openxmlformats.org/officeDocument/2006/relationships/hyperlink" Target="https://docs.google.com/spreadsheets/d/17WRbCuo0DVepxTRtwozyxF08Zfve8uQViqsT2QSth8I/edit" TargetMode="External"/><Relationship Id="rId20" Type="http://schemas.openxmlformats.org/officeDocument/2006/relationships/hyperlink" Target="https://docs.google.com/spreadsheets/d/17IwNqscaZ1nfXkCtx3V_0MEnuLIAYueeNI-uEmyeYNc/edit" TargetMode="External"/><Relationship Id="rId22" Type="http://schemas.openxmlformats.org/officeDocument/2006/relationships/hyperlink" Target="https://docs.google.com/spreadsheets/d/17IwNqscaZ1nfXkCtx3V_0MEnuLIAYueeNI-uEmyeYNc/edit" TargetMode="External"/><Relationship Id="rId21" Type="http://schemas.openxmlformats.org/officeDocument/2006/relationships/hyperlink" Target="https://docs.google.com/spreadsheets/d/17IwNqscaZ1nfXkCtx3V_0MEnuLIAYueeNI-uEmyeYNc/edit" TargetMode="External"/><Relationship Id="rId24" Type="http://schemas.openxmlformats.org/officeDocument/2006/relationships/hyperlink" Target="https://docs.google.com/spreadsheets/d/17IwNqscaZ1nfXkCtx3V_0MEnuLIAYueeNI-uEmyeYNc/edit" TargetMode="External"/><Relationship Id="rId23" Type="http://schemas.openxmlformats.org/officeDocument/2006/relationships/hyperlink" Target="https://docs.google.com/spreadsheets/d/17IwNqscaZ1nfXkCtx3V_0MEnuLIAYueeNI-uEmyeYNc/edit" TargetMode="External"/><Relationship Id="rId525" Type="http://schemas.openxmlformats.org/officeDocument/2006/relationships/hyperlink" Target="https://docs.google.com/spreadsheets/d/1cdAyIuV3KTqwcGe6-vyb1X20cPPkDOOJQy9lqzxxIlg/edit" TargetMode="External"/><Relationship Id="rId767" Type="http://schemas.openxmlformats.org/officeDocument/2006/relationships/hyperlink" Target="https://docs.google.com/spreadsheets/d/1yTBWEM4qeN7cMsdZosoLoINbcnjIbiM09amCGs1O-XI/edit" TargetMode="External"/><Relationship Id="rId524" Type="http://schemas.openxmlformats.org/officeDocument/2006/relationships/hyperlink" Target="https://docs.google.com/spreadsheets/d/1cdAyIuV3KTqwcGe6-vyb1X20cPPkDOOJQy9lqzxxIlg/edit" TargetMode="External"/><Relationship Id="rId766" Type="http://schemas.openxmlformats.org/officeDocument/2006/relationships/hyperlink" Target="https://docs.google.com/spreadsheets/d/1yTBWEM4qeN7cMsdZosoLoINbcnjIbiM09amCGs1O-XI/edit" TargetMode="External"/><Relationship Id="rId523" Type="http://schemas.openxmlformats.org/officeDocument/2006/relationships/hyperlink" Target="https://docs.google.com/spreadsheets/d/1cdAyIuV3KTqwcGe6-vyb1X20cPPkDOOJQy9lqzxxIlg/edit" TargetMode="External"/><Relationship Id="rId765" Type="http://schemas.openxmlformats.org/officeDocument/2006/relationships/hyperlink" Target="https://docs.google.com/spreadsheets/d/1yTBWEM4qeN7cMsdZosoLoINbcnjIbiM09amCGs1O-XI/edit" TargetMode="External"/><Relationship Id="rId522" Type="http://schemas.openxmlformats.org/officeDocument/2006/relationships/hyperlink" Target="https://docs.google.com/spreadsheets/d/1cdAyIuV3KTqwcGe6-vyb1X20cPPkDOOJQy9lqzxxIlg/edit" TargetMode="External"/><Relationship Id="rId764" Type="http://schemas.openxmlformats.org/officeDocument/2006/relationships/hyperlink" Target="https://docs.google.com/spreadsheets/d/1yTBWEM4qeN7cMsdZosoLoINbcnjIbiM09amCGs1O-XI/edit" TargetMode="External"/><Relationship Id="rId529" Type="http://schemas.openxmlformats.org/officeDocument/2006/relationships/hyperlink" Target="https://docs.google.com/spreadsheets/d/1cdAyIuV3KTqwcGe6-vyb1X20cPPkDOOJQy9lqzxxIlg/edit" TargetMode="External"/><Relationship Id="rId528" Type="http://schemas.openxmlformats.org/officeDocument/2006/relationships/hyperlink" Target="https://docs.google.com/spreadsheets/d/1cdAyIuV3KTqwcGe6-vyb1X20cPPkDOOJQy9lqzxxIlg/edit" TargetMode="External"/><Relationship Id="rId527" Type="http://schemas.openxmlformats.org/officeDocument/2006/relationships/hyperlink" Target="https://docs.google.com/spreadsheets/d/1cdAyIuV3KTqwcGe6-vyb1X20cPPkDOOJQy9lqzxxIlg/edit" TargetMode="External"/><Relationship Id="rId769" Type="http://schemas.openxmlformats.org/officeDocument/2006/relationships/hyperlink" Target="https://docs.google.com/spreadsheets/d/1yTBWEM4qeN7cMsdZosoLoINbcnjIbiM09amCGs1O-XI/edit" TargetMode="External"/><Relationship Id="rId526" Type="http://schemas.openxmlformats.org/officeDocument/2006/relationships/hyperlink" Target="https://docs.google.com/spreadsheets/d/1cdAyIuV3KTqwcGe6-vyb1X20cPPkDOOJQy9lqzxxIlg/edit" TargetMode="External"/><Relationship Id="rId768" Type="http://schemas.openxmlformats.org/officeDocument/2006/relationships/hyperlink" Target="https://docs.google.com/spreadsheets/d/1yTBWEM4qeN7cMsdZosoLoINbcnjIbiM09amCGs1O-XI/edit" TargetMode="External"/><Relationship Id="rId26" Type="http://schemas.openxmlformats.org/officeDocument/2006/relationships/hyperlink" Target="https://docs.google.com/spreadsheets/d/17IwNqscaZ1nfXkCtx3V_0MEnuLIAYueeNI-uEmyeYNc/edit" TargetMode="External"/><Relationship Id="rId25" Type="http://schemas.openxmlformats.org/officeDocument/2006/relationships/hyperlink" Target="https://docs.google.com/spreadsheets/d/17IwNqscaZ1nfXkCtx3V_0MEnuLIAYueeNI-uEmyeYNc/edit" TargetMode="External"/><Relationship Id="rId28" Type="http://schemas.openxmlformats.org/officeDocument/2006/relationships/hyperlink" Target="https://docs.google.com/spreadsheets/d/17IwNqscaZ1nfXkCtx3V_0MEnuLIAYueeNI-uEmyeYNc/edit" TargetMode="External"/><Relationship Id="rId27" Type="http://schemas.openxmlformats.org/officeDocument/2006/relationships/hyperlink" Target="https://docs.google.com/spreadsheets/d/17IwNqscaZ1nfXkCtx3V_0MEnuLIAYueeNI-uEmyeYNc/edit" TargetMode="External"/><Relationship Id="rId521" Type="http://schemas.openxmlformats.org/officeDocument/2006/relationships/hyperlink" Target="https://docs.google.com/spreadsheets/d/1cdAyIuV3KTqwcGe6-vyb1X20cPPkDOOJQy9lqzxxIlg/edit" TargetMode="External"/><Relationship Id="rId763" Type="http://schemas.openxmlformats.org/officeDocument/2006/relationships/hyperlink" Target="https://docs.google.com/spreadsheets/d/1yTBWEM4qeN7cMsdZosoLoINbcnjIbiM09amCGs1O-XI/edit" TargetMode="External"/><Relationship Id="rId29" Type="http://schemas.openxmlformats.org/officeDocument/2006/relationships/hyperlink" Target="https://docs.google.com/spreadsheets/d/17IwNqscaZ1nfXkCtx3V_0MEnuLIAYueeNI-uEmyeYNc/edit" TargetMode="External"/><Relationship Id="rId520" Type="http://schemas.openxmlformats.org/officeDocument/2006/relationships/hyperlink" Target="https://docs.google.com/spreadsheets/d/1cdAyIuV3KTqwcGe6-vyb1X20cPPkDOOJQy9lqzxxIlg/edit" TargetMode="External"/><Relationship Id="rId762" Type="http://schemas.openxmlformats.org/officeDocument/2006/relationships/hyperlink" Target="https://docs.google.com/spreadsheets/d/1yTBWEM4qeN7cMsdZosoLoINbcnjIbiM09amCGs1O-XI/edit" TargetMode="External"/><Relationship Id="rId761" Type="http://schemas.openxmlformats.org/officeDocument/2006/relationships/hyperlink" Target="https://docs.google.com/spreadsheets/d/1yTBWEM4qeN7cMsdZosoLoINbcnjIbiM09amCGs1O-XI/edit" TargetMode="External"/><Relationship Id="rId760" Type="http://schemas.openxmlformats.org/officeDocument/2006/relationships/hyperlink" Target="https://docs.google.com/spreadsheets/d/1yTBWEM4qeN7cMsdZosoLoINbcnjIbiM09amCGs1O-XI/edit" TargetMode="External"/><Relationship Id="rId11" Type="http://schemas.openxmlformats.org/officeDocument/2006/relationships/hyperlink" Target="https://docs.google.com/spreadsheets/d/17IwNqscaZ1nfXkCtx3V_0MEnuLIAYueeNI-uEmyeYNc/edit" TargetMode="External"/><Relationship Id="rId10" Type="http://schemas.openxmlformats.org/officeDocument/2006/relationships/hyperlink" Target="https://docs.google.com/spreadsheets/d/17IwNqscaZ1nfXkCtx3V_0MEnuLIAYueeNI-uEmyeYNc/edit" TargetMode="External"/><Relationship Id="rId13" Type="http://schemas.openxmlformats.org/officeDocument/2006/relationships/hyperlink" Target="https://docs.google.com/spreadsheets/d/17IwNqscaZ1nfXkCtx3V_0MEnuLIAYueeNI-uEmyeYNc/edit" TargetMode="External"/><Relationship Id="rId12" Type="http://schemas.openxmlformats.org/officeDocument/2006/relationships/hyperlink" Target="https://docs.google.com/spreadsheets/d/17IwNqscaZ1nfXkCtx3V_0MEnuLIAYueeNI-uEmyeYNc/edit" TargetMode="External"/><Relationship Id="rId519" Type="http://schemas.openxmlformats.org/officeDocument/2006/relationships/hyperlink" Target="https://docs.google.com/spreadsheets/d/1cdAyIuV3KTqwcGe6-vyb1X20cPPkDOOJQy9lqzxxIlg/edit" TargetMode="External"/><Relationship Id="rId514" Type="http://schemas.openxmlformats.org/officeDocument/2006/relationships/hyperlink" Target="https://docs.google.com/spreadsheets/d/1cdAyIuV3KTqwcGe6-vyb1X20cPPkDOOJQy9lqzxxIlg/edit" TargetMode="External"/><Relationship Id="rId756" Type="http://schemas.openxmlformats.org/officeDocument/2006/relationships/hyperlink" Target="https://docs.google.com/spreadsheets/d/17WRbCuo0DVepxTRtwozyxF08Zfve8uQViqsT2QSth8I/edit" TargetMode="External"/><Relationship Id="rId513" Type="http://schemas.openxmlformats.org/officeDocument/2006/relationships/hyperlink" Target="https://docs.google.com/spreadsheets/d/1cdAyIuV3KTqwcGe6-vyb1X20cPPkDOOJQy9lqzxxIlg/edit" TargetMode="External"/><Relationship Id="rId755" Type="http://schemas.openxmlformats.org/officeDocument/2006/relationships/hyperlink" Target="https://docs.google.com/spreadsheets/d/17WRbCuo0DVepxTRtwozyxF08Zfve8uQViqsT2QSth8I/edit" TargetMode="External"/><Relationship Id="rId512" Type="http://schemas.openxmlformats.org/officeDocument/2006/relationships/hyperlink" Target="https://docs.google.com/spreadsheets/d/1cdAyIuV3KTqwcGe6-vyb1X20cPPkDOOJQy9lqzxxIlg/edit" TargetMode="External"/><Relationship Id="rId754" Type="http://schemas.openxmlformats.org/officeDocument/2006/relationships/hyperlink" Target="https://docs.google.com/spreadsheets/d/17WRbCuo0DVepxTRtwozyxF08Zfve8uQViqsT2QSth8I/edit" TargetMode="External"/><Relationship Id="rId511" Type="http://schemas.openxmlformats.org/officeDocument/2006/relationships/hyperlink" Target="https://docs.google.com/spreadsheets/d/1cdAyIuV3KTqwcGe6-vyb1X20cPPkDOOJQy9lqzxxIlg/edit" TargetMode="External"/><Relationship Id="rId753" Type="http://schemas.openxmlformats.org/officeDocument/2006/relationships/hyperlink" Target="https://docs.google.com/spreadsheets/d/17WRbCuo0DVepxTRtwozyxF08Zfve8uQViqsT2QSth8I/edit" TargetMode="External"/><Relationship Id="rId518" Type="http://schemas.openxmlformats.org/officeDocument/2006/relationships/hyperlink" Target="https://docs.google.com/spreadsheets/d/1cdAyIuV3KTqwcGe6-vyb1X20cPPkDOOJQy9lqzxxIlg/edit" TargetMode="External"/><Relationship Id="rId517" Type="http://schemas.openxmlformats.org/officeDocument/2006/relationships/hyperlink" Target="https://docs.google.com/spreadsheets/d/1cdAyIuV3KTqwcGe6-vyb1X20cPPkDOOJQy9lqzxxIlg/edit" TargetMode="External"/><Relationship Id="rId759" Type="http://schemas.openxmlformats.org/officeDocument/2006/relationships/hyperlink" Target="https://docs.google.com/spreadsheets/d/1yTBWEM4qeN7cMsdZosoLoINbcnjIbiM09amCGs1O-XI/edit" TargetMode="External"/><Relationship Id="rId516" Type="http://schemas.openxmlformats.org/officeDocument/2006/relationships/hyperlink" Target="https://docs.google.com/spreadsheets/d/1cdAyIuV3KTqwcGe6-vyb1X20cPPkDOOJQy9lqzxxIlg/edit" TargetMode="External"/><Relationship Id="rId758" Type="http://schemas.openxmlformats.org/officeDocument/2006/relationships/hyperlink" Target="https://docs.google.com/spreadsheets/d/1yTBWEM4qeN7cMsdZosoLoINbcnjIbiM09amCGs1O-XI/edit" TargetMode="External"/><Relationship Id="rId515" Type="http://schemas.openxmlformats.org/officeDocument/2006/relationships/hyperlink" Target="https://docs.google.com/spreadsheets/d/1cdAyIuV3KTqwcGe6-vyb1X20cPPkDOOJQy9lqzxxIlg/edit" TargetMode="External"/><Relationship Id="rId757" Type="http://schemas.openxmlformats.org/officeDocument/2006/relationships/hyperlink" Target="https://docs.google.com/spreadsheets/d/17WRbCuo0DVepxTRtwozyxF08Zfve8uQViqsT2QSth8I/edit" TargetMode="External"/><Relationship Id="rId15" Type="http://schemas.openxmlformats.org/officeDocument/2006/relationships/hyperlink" Target="https://docs.google.com/spreadsheets/d/17IwNqscaZ1nfXkCtx3V_0MEnuLIAYueeNI-uEmyeYNc/edit" TargetMode="External"/><Relationship Id="rId14" Type="http://schemas.openxmlformats.org/officeDocument/2006/relationships/hyperlink" Target="https://docs.google.com/spreadsheets/d/17IwNqscaZ1nfXkCtx3V_0MEnuLIAYueeNI-uEmyeYNc/edit" TargetMode="External"/><Relationship Id="rId17" Type="http://schemas.openxmlformats.org/officeDocument/2006/relationships/hyperlink" Target="https://docs.google.com/spreadsheets/d/17IwNqscaZ1nfXkCtx3V_0MEnuLIAYueeNI-uEmyeYNc/edit" TargetMode="External"/><Relationship Id="rId16" Type="http://schemas.openxmlformats.org/officeDocument/2006/relationships/hyperlink" Target="https://docs.google.com/spreadsheets/d/17IwNqscaZ1nfXkCtx3V_0MEnuLIAYueeNI-uEmyeYNc/edit" TargetMode="External"/><Relationship Id="rId19" Type="http://schemas.openxmlformats.org/officeDocument/2006/relationships/hyperlink" Target="https://docs.google.com/spreadsheets/d/17IwNqscaZ1nfXkCtx3V_0MEnuLIAYueeNI-uEmyeYNc/edit" TargetMode="External"/><Relationship Id="rId510" Type="http://schemas.openxmlformats.org/officeDocument/2006/relationships/hyperlink" Target="https://docs.google.com/spreadsheets/d/1cdAyIuV3KTqwcGe6-vyb1X20cPPkDOOJQy9lqzxxIlg/edit" TargetMode="External"/><Relationship Id="rId752" Type="http://schemas.openxmlformats.org/officeDocument/2006/relationships/hyperlink" Target="https://docs.google.com/spreadsheets/d/17WRbCuo0DVepxTRtwozyxF08Zfve8uQViqsT2QSth8I/edit" TargetMode="External"/><Relationship Id="rId18" Type="http://schemas.openxmlformats.org/officeDocument/2006/relationships/hyperlink" Target="https://docs.google.com/spreadsheets/d/17IwNqscaZ1nfXkCtx3V_0MEnuLIAYueeNI-uEmyeYNc/edit" TargetMode="External"/><Relationship Id="rId751" Type="http://schemas.openxmlformats.org/officeDocument/2006/relationships/hyperlink" Target="https://docs.google.com/spreadsheets/d/17WRbCuo0DVepxTRtwozyxF08Zfve8uQViqsT2QSth8I/edit" TargetMode="External"/><Relationship Id="rId750" Type="http://schemas.openxmlformats.org/officeDocument/2006/relationships/hyperlink" Target="https://docs.google.com/spreadsheets/d/17WRbCuo0DVepxTRtwozyxF08Zfve8uQViqsT2QSth8I/edit" TargetMode="External"/><Relationship Id="rId84" Type="http://schemas.openxmlformats.org/officeDocument/2006/relationships/hyperlink" Target="https://docs.google.com/spreadsheets/d/1cdAyIuV3KTqwcGe6-vyb1X20cPPkDOOJQy9lqzxxIlg/edit" TargetMode="External"/><Relationship Id="rId83" Type="http://schemas.openxmlformats.org/officeDocument/2006/relationships/hyperlink" Target="https://docs.google.com/spreadsheets/d/1cdAyIuV3KTqwcGe6-vyb1X20cPPkDOOJQy9lqzxxIlg/edit" TargetMode="External"/><Relationship Id="rId86" Type="http://schemas.openxmlformats.org/officeDocument/2006/relationships/hyperlink" Target="https://docs.google.com/spreadsheets/d/1cdAyIuV3KTqwcGe6-vyb1X20cPPkDOOJQy9lqzxxIlg/edit" TargetMode="External"/><Relationship Id="rId85" Type="http://schemas.openxmlformats.org/officeDocument/2006/relationships/hyperlink" Target="https://docs.google.com/spreadsheets/d/1cdAyIuV3KTqwcGe6-vyb1X20cPPkDOOJQy9lqzxxIlg/edit" TargetMode="External"/><Relationship Id="rId88" Type="http://schemas.openxmlformats.org/officeDocument/2006/relationships/hyperlink" Target="https://docs.google.com/spreadsheets/d/1cdAyIuV3KTqwcGe6-vyb1X20cPPkDOOJQy9lqzxxIlg/edit" TargetMode="External"/><Relationship Id="rId87" Type="http://schemas.openxmlformats.org/officeDocument/2006/relationships/hyperlink" Target="https://docs.google.com/spreadsheets/d/1cdAyIuV3KTqwcGe6-vyb1X20cPPkDOOJQy9lqzxxIlg/edit" TargetMode="External"/><Relationship Id="rId89" Type="http://schemas.openxmlformats.org/officeDocument/2006/relationships/hyperlink" Target="https://docs.google.com/spreadsheets/d/1cdAyIuV3KTqwcGe6-vyb1X20cPPkDOOJQy9lqzxxIlg/edit" TargetMode="External"/><Relationship Id="rId709" Type="http://schemas.openxmlformats.org/officeDocument/2006/relationships/hyperlink" Target="https://docs.google.com/spreadsheets/d/1cdAyIuV3KTqwcGe6-vyb1X20cPPkDOOJQy9lqzxxIlg/edit" TargetMode="External"/><Relationship Id="rId708" Type="http://schemas.openxmlformats.org/officeDocument/2006/relationships/hyperlink" Target="https://docs.google.com/spreadsheets/d/1cdAyIuV3KTqwcGe6-vyb1X20cPPkDOOJQy9lqzxxIlg/edit" TargetMode="External"/><Relationship Id="rId707" Type="http://schemas.openxmlformats.org/officeDocument/2006/relationships/hyperlink" Target="https://docs.google.com/spreadsheets/d/1cdAyIuV3KTqwcGe6-vyb1X20cPPkDOOJQy9lqzxxIlg/edit" TargetMode="External"/><Relationship Id="rId706" Type="http://schemas.openxmlformats.org/officeDocument/2006/relationships/hyperlink" Target="https://docs.google.com/spreadsheets/d/1cdAyIuV3KTqwcGe6-vyb1X20cPPkDOOJQy9lqzxxIlg/edit" TargetMode="External"/><Relationship Id="rId80" Type="http://schemas.openxmlformats.org/officeDocument/2006/relationships/hyperlink" Target="https://docs.google.com/spreadsheets/d/1cdAyIuV3KTqwcGe6-vyb1X20cPPkDOOJQy9lqzxxIlg/edit" TargetMode="External"/><Relationship Id="rId82" Type="http://schemas.openxmlformats.org/officeDocument/2006/relationships/hyperlink" Target="https://docs.google.com/spreadsheets/d/1cdAyIuV3KTqwcGe6-vyb1X20cPPkDOOJQy9lqzxxIlg/edit" TargetMode="External"/><Relationship Id="rId81" Type="http://schemas.openxmlformats.org/officeDocument/2006/relationships/hyperlink" Target="https://docs.google.com/spreadsheets/d/1cdAyIuV3KTqwcGe6-vyb1X20cPPkDOOJQy9lqzxxIlg/edit" TargetMode="External"/><Relationship Id="rId701" Type="http://schemas.openxmlformats.org/officeDocument/2006/relationships/hyperlink" Target="https://docs.google.com/spreadsheets/d/1cdAyIuV3KTqwcGe6-vyb1X20cPPkDOOJQy9lqzxxIlg/edit" TargetMode="External"/><Relationship Id="rId700" Type="http://schemas.openxmlformats.org/officeDocument/2006/relationships/hyperlink" Target="https://docs.google.com/spreadsheets/d/1cdAyIuV3KTqwcGe6-vyb1X20cPPkDOOJQy9lqzxxIlg/edit" TargetMode="External"/><Relationship Id="rId705" Type="http://schemas.openxmlformats.org/officeDocument/2006/relationships/hyperlink" Target="https://docs.google.com/spreadsheets/d/1cdAyIuV3KTqwcGe6-vyb1X20cPPkDOOJQy9lqzxxIlg/edit" TargetMode="External"/><Relationship Id="rId704" Type="http://schemas.openxmlformats.org/officeDocument/2006/relationships/hyperlink" Target="https://docs.google.com/spreadsheets/d/1cdAyIuV3KTqwcGe6-vyb1X20cPPkDOOJQy9lqzxxIlg/edit" TargetMode="External"/><Relationship Id="rId703" Type="http://schemas.openxmlformats.org/officeDocument/2006/relationships/hyperlink" Target="https://docs.google.com/spreadsheets/d/1cdAyIuV3KTqwcGe6-vyb1X20cPPkDOOJQy9lqzxxIlg/edit" TargetMode="External"/><Relationship Id="rId702" Type="http://schemas.openxmlformats.org/officeDocument/2006/relationships/hyperlink" Target="https://docs.google.com/spreadsheets/d/1cdAyIuV3KTqwcGe6-vyb1X20cPPkDOOJQy9lqzxxIlg/edit" TargetMode="External"/><Relationship Id="rId73" Type="http://schemas.openxmlformats.org/officeDocument/2006/relationships/hyperlink" Target="https://docs.google.com/spreadsheets/d/1cdAyIuV3KTqwcGe6-vyb1X20cPPkDOOJQy9lqzxxIlg/edit" TargetMode="External"/><Relationship Id="rId72" Type="http://schemas.openxmlformats.org/officeDocument/2006/relationships/hyperlink" Target="https://docs.google.com/spreadsheets/d/1cdAyIuV3KTqwcGe6-vyb1X20cPPkDOOJQy9lqzxxIlg/edit" TargetMode="External"/><Relationship Id="rId75" Type="http://schemas.openxmlformats.org/officeDocument/2006/relationships/hyperlink" Target="https://docs.google.com/spreadsheets/d/1cdAyIuV3KTqwcGe6-vyb1X20cPPkDOOJQy9lqzxxIlg/edit" TargetMode="External"/><Relationship Id="rId74" Type="http://schemas.openxmlformats.org/officeDocument/2006/relationships/hyperlink" Target="https://docs.google.com/spreadsheets/d/1cdAyIuV3KTqwcGe6-vyb1X20cPPkDOOJQy9lqzxxIlg/edit" TargetMode="External"/><Relationship Id="rId77" Type="http://schemas.openxmlformats.org/officeDocument/2006/relationships/hyperlink" Target="https://docs.google.com/spreadsheets/d/1cdAyIuV3KTqwcGe6-vyb1X20cPPkDOOJQy9lqzxxIlg/edit" TargetMode="External"/><Relationship Id="rId76" Type="http://schemas.openxmlformats.org/officeDocument/2006/relationships/hyperlink" Target="https://docs.google.com/spreadsheets/d/1cdAyIuV3KTqwcGe6-vyb1X20cPPkDOOJQy9lqzxxIlg/edit" TargetMode="External"/><Relationship Id="rId79" Type="http://schemas.openxmlformats.org/officeDocument/2006/relationships/hyperlink" Target="https://docs.google.com/spreadsheets/d/1cdAyIuV3KTqwcGe6-vyb1X20cPPkDOOJQy9lqzxxIlg/edit" TargetMode="External"/><Relationship Id="rId78" Type="http://schemas.openxmlformats.org/officeDocument/2006/relationships/hyperlink" Target="https://docs.google.com/spreadsheets/d/1cdAyIuV3KTqwcGe6-vyb1X20cPPkDOOJQy9lqzxxIlg/edit" TargetMode="External"/><Relationship Id="rId71" Type="http://schemas.openxmlformats.org/officeDocument/2006/relationships/hyperlink" Target="https://docs.google.com/spreadsheets/d/1cdAyIuV3KTqwcGe6-vyb1X20cPPkDOOJQy9lqzxxIlg/edit" TargetMode="External"/><Relationship Id="rId70" Type="http://schemas.openxmlformats.org/officeDocument/2006/relationships/hyperlink" Target="https://docs.google.com/spreadsheets/d/1cdAyIuV3KTqwcGe6-vyb1X20cPPkDOOJQy9lqzxxIlg/edit" TargetMode="External"/><Relationship Id="rId62" Type="http://schemas.openxmlformats.org/officeDocument/2006/relationships/hyperlink" Target="https://docs.google.com/spreadsheets/d/17IwNqscaZ1nfXkCtx3V_0MEnuLIAYueeNI-uEmyeYNc/edit" TargetMode="External"/><Relationship Id="rId61" Type="http://schemas.openxmlformats.org/officeDocument/2006/relationships/hyperlink" Target="https://docs.google.com/spreadsheets/d/17IwNqscaZ1nfXkCtx3V_0MEnuLIAYueeNI-uEmyeYNc/edit" TargetMode="External"/><Relationship Id="rId64" Type="http://schemas.openxmlformats.org/officeDocument/2006/relationships/hyperlink" Target="https://docs.google.com/spreadsheets/d/1cdAyIuV3KTqwcGe6-vyb1X20cPPkDOOJQy9lqzxxIlg/edit" TargetMode="External"/><Relationship Id="rId63" Type="http://schemas.openxmlformats.org/officeDocument/2006/relationships/hyperlink" Target="https://docs.google.com/spreadsheets/d/1cdAyIuV3KTqwcGe6-vyb1X20cPPkDOOJQy9lqzxxIlg/edit" TargetMode="External"/><Relationship Id="rId66" Type="http://schemas.openxmlformats.org/officeDocument/2006/relationships/hyperlink" Target="https://docs.google.com/spreadsheets/d/1cdAyIuV3KTqwcGe6-vyb1X20cPPkDOOJQy9lqzxxIlg/edit" TargetMode="External"/><Relationship Id="rId65" Type="http://schemas.openxmlformats.org/officeDocument/2006/relationships/hyperlink" Target="https://docs.google.com/spreadsheets/d/1cdAyIuV3KTqwcGe6-vyb1X20cPPkDOOJQy9lqzxxIlg/edit" TargetMode="External"/><Relationship Id="rId68" Type="http://schemas.openxmlformats.org/officeDocument/2006/relationships/hyperlink" Target="https://docs.google.com/spreadsheets/d/1cdAyIuV3KTqwcGe6-vyb1X20cPPkDOOJQy9lqzxxIlg/edit" TargetMode="External"/><Relationship Id="rId67" Type="http://schemas.openxmlformats.org/officeDocument/2006/relationships/hyperlink" Target="https://docs.google.com/spreadsheets/d/1cdAyIuV3KTqwcGe6-vyb1X20cPPkDOOJQy9lqzxxIlg/edit" TargetMode="External"/><Relationship Id="rId729" Type="http://schemas.openxmlformats.org/officeDocument/2006/relationships/hyperlink" Target="https://docs.google.com/spreadsheets/d/17WRbCuo0DVepxTRtwozyxF08Zfve8uQViqsT2QSth8I/edit" TargetMode="External"/><Relationship Id="rId728" Type="http://schemas.openxmlformats.org/officeDocument/2006/relationships/hyperlink" Target="https://docs.google.com/spreadsheets/d/17WRbCuo0DVepxTRtwozyxF08Zfve8uQViqsT2QSth8I/edit" TargetMode="External"/><Relationship Id="rId60" Type="http://schemas.openxmlformats.org/officeDocument/2006/relationships/hyperlink" Target="https://docs.google.com/spreadsheets/d/17IwNqscaZ1nfXkCtx3V_0MEnuLIAYueeNI-uEmyeYNc/edit" TargetMode="External"/><Relationship Id="rId723" Type="http://schemas.openxmlformats.org/officeDocument/2006/relationships/hyperlink" Target="https://docs.google.com/spreadsheets/d/17WRbCuo0DVepxTRtwozyxF08Zfve8uQViqsT2QSth8I/edit" TargetMode="External"/><Relationship Id="rId722" Type="http://schemas.openxmlformats.org/officeDocument/2006/relationships/hyperlink" Target="https://docs.google.com/spreadsheets/d/17WRbCuo0DVepxTRtwozyxF08Zfve8uQViqsT2QSth8I/edit" TargetMode="External"/><Relationship Id="rId721" Type="http://schemas.openxmlformats.org/officeDocument/2006/relationships/hyperlink" Target="https://docs.google.com/spreadsheets/d/17WRbCuo0DVepxTRtwozyxF08Zfve8uQViqsT2QSth8I/edit" TargetMode="External"/><Relationship Id="rId720" Type="http://schemas.openxmlformats.org/officeDocument/2006/relationships/hyperlink" Target="https://docs.google.com/spreadsheets/d/17WRbCuo0DVepxTRtwozyxF08Zfve8uQViqsT2QSth8I/edit" TargetMode="External"/><Relationship Id="rId727" Type="http://schemas.openxmlformats.org/officeDocument/2006/relationships/hyperlink" Target="https://docs.google.com/spreadsheets/d/17WRbCuo0DVepxTRtwozyxF08Zfve8uQViqsT2QSth8I/edit" TargetMode="External"/><Relationship Id="rId726" Type="http://schemas.openxmlformats.org/officeDocument/2006/relationships/hyperlink" Target="https://docs.google.com/spreadsheets/d/17WRbCuo0DVepxTRtwozyxF08Zfve8uQViqsT2QSth8I/edit" TargetMode="External"/><Relationship Id="rId725" Type="http://schemas.openxmlformats.org/officeDocument/2006/relationships/hyperlink" Target="https://docs.google.com/spreadsheets/d/17WRbCuo0DVepxTRtwozyxF08Zfve8uQViqsT2QSth8I/edit" TargetMode="External"/><Relationship Id="rId724" Type="http://schemas.openxmlformats.org/officeDocument/2006/relationships/hyperlink" Target="https://docs.google.com/spreadsheets/d/17WRbCuo0DVepxTRtwozyxF08Zfve8uQViqsT2QSth8I/edit" TargetMode="External"/><Relationship Id="rId69" Type="http://schemas.openxmlformats.org/officeDocument/2006/relationships/hyperlink" Target="https://docs.google.com/spreadsheets/d/1cdAyIuV3KTqwcGe6-vyb1X20cPPkDOOJQy9lqzxxIlg/edit" TargetMode="External"/><Relationship Id="rId51" Type="http://schemas.openxmlformats.org/officeDocument/2006/relationships/hyperlink" Target="https://docs.google.com/spreadsheets/d/17IwNqscaZ1nfXkCtx3V_0MEnuLIAYueeNI-uEmyeYNc/edit" TargetMode="External"/><Relationship Id="rId50" Type="http://schemas.openxmlformats.org/officeDocument/2006/relationships/hyperlink" Target="https://docs.google.com/spreadsheets/d/17IwNqscaZ1nfXkCtx3V_0MEnuLIAYueeNI-uEmyeYNc/edit" TargetMode="External"/><Relationship Id="rId53" Type="http://schemas.openxmlformats.org/officeDocument/2006/relationships/hyperlink" Target="https://docs.google.com/spreadsheets/d/17IwNqscaZ1nfXkCtx3V_0MEnuLIAYueeNI-uEmyeYNc/edit" TargetMode="External"/><Relationship Id="rId52" Type="http://schemas.openxmlformats.org/officeDocument/2006/relationships/hyperlink" Target="https://docs.google.com/spreadsheets/d/17IwNqscaZ1nfXkCtx3V_0MEnuLIAYueeNI-uEmyeYNc/edit" TargetMode="External"/><Relationship Id="rId55" Type="http://schemas.openxmlformats.org/officeDocument/2006/relationships/hyperlink" Target="https://docs.google.com/spreadsheets/d/17IwNqscaZ1nfXkCtx3V_0MEnuLIAYueeNI-uEmyeYNc/edit" TargetMode="External"/><Relationship Id="rId54" Type="http://schemas.openxmlformats.org/officeDocument/2006/relationships/hyperlink" Target="https://docs.google.com/spreadsheets/d/17IwNqscaZ1nfXkCtx3V_0MEnuLIAYueeNI-uEmyeYNc/edit" TargetMode="External"/><Relationship Id="rId57" Type="http://schemas.openxmlformats.org/officeDocument/2006/relationships/hyperlink" Target="https://docs.google.com/spreadsheets/d/17IwNqscaZ1nfXkCtx3V_0MEnuLIAYueeNI-uEmyeYNc/edit" TargetMode="External"/><Relationship Id="rId56" Type="http://schemas.openxmlformats.org/officeDocument/2006/relationships/hyperlink" Target="https://docs.google.com/spreadsheets/d/17IwNqscaZ1nfXkCtx3V_0MEnuLIAYueeNI-uEmyeYNc/edit" TargetMode="External"/><Relationship Id="rId719" Type="http://schemas.openxmlformats.org/officeDocument/2006/relationships/hyperlink" Target="https://docs.google.com/spreadsheets/d/17WRbCuo0DVepxTRtwozyxF08Zfve8uQViqsT2QSth8I/edit" TargetMode="External"/><Relationship Id="rId718" Type="http://schemas.openxmlformats.org/officeDocument/2006/relationships/hyperlink" Target="https://docs.google.com/spreadsheets/d/17WRbCuo0DVepxTRtwozyxF08Zfve8uQViqsT2QSth8I/edit" TargetMode="External"/><Relationship Id="rId717" Type="http://schemas.openxmlformats.org/officeDocument/2006/relationships/hyperlink" Target="https://docs.google.com/spreadsheets/d/17WRbCuo0DVepxTRtwozyxF08Zfve8uQViqsT2QSth8I/edit" TargetMode="External"/><Relationship Id="rId712" Type="http://schemas.openxmlformats.org/officeDocument/2006/relationships/hyperlink" Target="https://docs.google.com/spreadsheets/d/1cdAyIuV3KTqwcGe6-vyb1X20cPPkDOOJQy9lqzxxIlg/edit" TargetMode="External"/><Relationship Id="rId711" Type="http://schemas.openxmlformats.org/officeDocument/2006/relationships/hyperlink" Target="https://docs.google.com/spreadsheets/d/1cdAyIuV3KTqwcGe6-vyb1X20cPPkDOOJQy9lqzxxIlg/edit" TargetMode="External"/><Relationship Id="rId710" Type="http://schemas.openxmlformats.org/officeDocument/2006/relationships/hyperlink" Target="https://docs.google.com/spreadsheets/d/1cdAyIuV3KTqwcGe6-vyb1X20cPPkDOOJQy9lqzxxIlg/edit" TargetMode="External"/><Relationship Id="rId716" Type="http://schemas.openxmlformats.org/officeDocument/2006/relationships/hyperlink" Target="https://docs.google.com/spreadsheets/d/1cdAyIuV3KTqwcGe6-vyb1X20cPPkDOOJQy9lqzxxIlg/edit" TargetMode="External"/><Relationship Id="rId715" Type="http://schemas.openxmlformats.org/officeDocument/2006/relationships/hyperlink" Target="https://docs.google.com/spreadsheets/d/1cdAyIuV3KTqwcGe6-vyb1X20cPPkDOOJQy9lqzxxIlg/edit" TargetMode="External"/><Relationship Id="rId714" Type="http://schemas.openxmlformats.org/officeDocument/2006/relationships/hyperlink" Target="https://docs.google.com/spreadsheets/d/1cdAyIuV3KTqwcGe6-vyb1X20cPPkDOOJQy9lqzxxIlg/edit" TargetMode="External"/><Relationship Id="rId713" Type="http://schemas.openxmlformats.org/officeDocument/2006/relationships/hyperlink" Target="https://docs.google.com/spreadsheets/d/1cdAyIuV3KTqwcGe6-vyb1X20cPPkDOOJQy9lqzxxIlg/edit" TargetMode="External"/><Relationship Id="rId59" Type="http://schemas.openxmlformats.org/officeDocument/2006/relationships/hyperlink" Target="https://docs.google.com/spreadsheets/d/17IwNqscaZ1nfXkCtx3V_0MEnuLIAYueeNI-uEmyeYNc/edit" TargetMode="External"/><Relationship Id="rId58" Type="http://schemas.openxmlformats.org/officeDocument/2006/relationships/hyperlink" Target="https://docs.google.com/spreadsheets/d/17IwNqscaZ1nfXkCtx3V_0MEnuLIAYueeNI-uEmyeYNc/edit" TargetMode="External"/><Relationship Id="rId590" Type="http://schemas.openxmlformats.org/officeDocument/2006/relationships/hyperlink" Target="https://docs.google.com/spreadsheets/d/1cdAyIuV3KTqwcGe6-vyb1X20cPPkDOOJQy9lqzxxIlg/edit" TargetMode="External"/><Relationship Id="rId107" Type="http://schemas.openxmlformats.org/officeDocument/2006/relationships/hyperlink" Target="https://docs.google.com/spreadsheets/d/1LGiIsREyb4-GdMHXfNtTTkfBPXxtYy4zobyDWot7xQA/edit" TargetMode="External"/><Relationship Id="rId349" Type="http://schemas.openxmlformats.org/officeDocument/2006/relationships/hyperlink" Target="https://docs.google.com/spreadsheets/d/1cdAyIuV3KTqwcGe6-vyb1X20cPPkDOOJQy9lqzxxIlg/edit" TargetMode="External"/><Relationship Id="rId106" Type="http://schemas.openxmlformats.org/officeDocument/2006/relationships/hyperlink" Target="https://docs.google.com/spreadsheets/d/1LGiIsREyb4-GdMHXfNtTTkfBPXxtYy4zobyDWot7xQA/edit" TargetMode="External"/><Relationship Id="rId348" Type="http://schemas.openxmlformats.org/officeDocument/2006/relationships/hyperlink" Target="https://docs.google.com/spreadsheets/d/1cdAyIuV3KTqwcGe6-vyb1X20cPPkDOOJQy9lqzxxIlg/edit" TargetMode="External"/><Relationship Id="rId105" Type="http://schemas.openxmlformats.org/officeDocument/2006/relationships/hyperlink" Target="https://docs.google.com/spreadsheets/d/1LGiIsREyb4-GdMHXfNtTTkfBPXxtYy4zobyDWot7xQA/edit" TargetMode="External"/><Relationship Id="rId347" Type="http://schemas.openxmlformats.org/officeDocument/2006/relationships/hyperlink" Target="https://docs.google.com/spreadsheets/d/1LGiIsREyb4-GdMHXfNtTTkfBPXxtYy4zobyDWot7xQA/edit" TargetMode="External"/><Relationship Id="rId589" Type="http://schemas.openxmlformats.org/officeDocument/2006/relationships/hyperlink" Target="https://docs.google.com/spreadsheets/d/1cdAyIuV3KTqwcGe6-vyb1X20cPPkDOOJQy9lqzxxIlg/edit" TargetMode="External"/><Relationship Id="rId104" Type="http://schemas.openxmlformats.org/officeDocument/2006/relationships/hyperlink" Target="https://docs.google.com/spreadsheets/d/1LGiIsREyb4-GdMHXfNtTTkfBPXxtYy4zobyDWot7xQA/edit" TargetMode="External"/><Relationship Id="rId346" Type="http://schemas.openxmlformats.org/officeDocument/2006/relationships/hyperlink" Target="https://docs.google.com/spreadsheets/d/1LGiIsREyb4-GdMHXfNtTTkfBPXxtYy4zobyDWot7xQA/edit" TargetMode="External"/><Relationship Id="rId588" Type="http://schemas.openxmlformats.org/officeDocument/2006/relationships/hyperlink" Target="https://docs.google.com/spreadsheets/d/1cdAyIuV3KTqwcGe6-vyb1X20cPPkDOOJQy9lqzxxIlg/edit" TargetMode="External"/><Relationship Id="rId109" Type="http://schemas.openxmlformats.org/officeDocument/2006/relationships/hyperlink" Target="https://docs.google.com/spreadsheets/d/1LGiIsREyb4-GdMHXfNtTTkfBPXxtYy4zobyDWot7xQA/edit" TargetMode="External"/><Relationship Id="rId108" Type="http://schemas.openxmlformats.org/officeDocument/2006/relationships/hyperlink" Target="https://docs.google.com/spreadsheets/d/1LGiIsREyb4-GdMHXfNtTTkfBPXxtYy4zobyDWot7xQA/edit" TargetMode="External"/><Relationship Id="rId341" Type="http://schemas.openxmlformats.org/officeDocument/2006/relationships/hyperlink" Target="https://docs.google.com/spreadsheets/d/1LGiIsREyb4-GdMHXfNtTTkfBPXxtYy4zobyDWot7xQA/edit" TargetMode="External"/><Relationship Id="rId583" Type="http://schemas.openxmlformats.org/officeDocument/2006/relationships/hyperlink" Target="https://docs.google.com/spreadsheets/d/1cdAyIuV3KTqwcGe6-vyb1X20cPPkDOOJQy9lqzxxIlg/edit" TargetMode="External"/><Relationship Id="rId340" Type="http://schemas.openxmlformats.org/officeDocument/2006/relationships/hyperlink" Target="https://docs.google.com/spreadsheets/d/1LGiIsREyb4-GdMHXfNtTTkfBPXxtYy4zobyDWot7xQA/edit" TargetMode="External"/><Relationship Id="rId582" Type="http://schemas.openxmlformats.org/officeDocument/2006/relationships/hyperlink" Target="https://docs.google.com/spreadsheets/d/1cdAyIuV3KTqwcGe6-vyb1X20cPPkDOOJQy9lqzxxIlg/edit" TargetMode="External"/><Relationship Id="rId581" Type="http://schemas.openxmlformats.org/officeDocument/2006/relationships/hyperlink" Target="https://docs.google.com/spreadsheets/d/1cdAyIuV3KTqwcGe6-vyb1X20cPPkDOOJQy9lqzxxIlg/edit" TargetMode="External"/><Relationship Id="rId580" Type="http://schemas.openxmlformats.org/officeDocument/2006/relationships/hyperlink" Target="https://docs.google.com/spreadsheets/d/1cdAyIuV3KTqwcGe6-vyb1X20cPPkDOOJQy9lqzxxIlg/edit" TargetMode="External"/><Relationship Id="rId103" Type="http://schemas.openxmlformats.org/officeDocument/2006/relationships/hyperlink" Target="https://docs.google.com/spreadsheets/d/1LGiIsREyb4-GdMHXfNtTTkfBPXxtYy4zobyDWot7xQA/edit" TargetMode="External"/><Relationship Id="rId345" Type="http://schemas.openxmlformats.org/officeDocument/2006/relationships/hyperlink" Target="https://docs.google.com/spreadsheets/d/1LGiIsREyb4-GdMHXfNtTTkfBPXxtYy4zobyDWot7xQA/edit" TargetMode="External"/><Relationship Id="rId587" Type="http://schemas.openxmlformats.org/officeDocument/2006/relationships/hyperlink" Target="https://docs.google.com/spreadsheets/d/1cdAyIuV3KTqwcGe6-vyb1X20cPPkDOOJQy9lqzxxIlg/edit" TargetMode="External"/><Relationship Id="rId102" Type="http://schemas.openxmlformats.org/officeDocument/2006/relationships/hyperlink" Target="https://docs.google.com/spreadsheets/d/1LGiIsREyb4-GdMHXfNtTTkfBPXxtYy4zobyDWot7xQA/edit" TargetMode="External"/><Relationship Id="rId344" Type="http://schemas.openxmlformats.org/officeDocument/2006/relationships/hyperlink" Target="https://docs.google.com/spreadsheets/d/1LGiIsREyb4-GdMHXfNtTTkfBPXxtYy4zobyDWot7xQA/edit" TargetMode="External"/><Relationship Id="rId586" Type="http://schemas.openxmlformats.org/officeDocument/2006/relationships/hyperlink" Target="https://docs.google.com/spreadsheets/d/1cdAyIuV3KTqwcGe6-vyb1X20cPPkDOOJQy9lqzxxIlg/edit" TargetMode="External"/><Relationship Id="rId101" Type="http://schemas.openxmlformats.org/officeDocument/2006/relationships/hyperlink" Target="https://docs.google.com/spreadsheets/d/1LGiIsREyb4-GdMHXfNtTTkfBPXxtYy4zobyDWot7xQA/edit" TargetMode="External"/><Relationship Id="rId343" Type="http://schemas.openxmlformats.org/officeDocument/2006/relationships/hyperlink" Target="https://docs.google.com/spreadsheets/d/1LGiIsREyb4-GdMHXfNtTTkfBPXxtYy4zobyDWot7xQA/edit" TargetMode="External"/><Relationship Id="rId585" Type="http://schemas.openxmlformats.org/officeDocument/2006/relationships/hyperlink" Target="https://docs.google.com/spreadsheets/d/1cdAyIuV3KTqwcGe6-vyb1X20cPPkDOOJQy9lqzxxIlg/edit" TargetMode="External"/><Relationship Id="rId100" Type="http://schemas.openxmlformats.org/officeDocument/2006/relationships/hyperlink" Target="https://docs.google.com/spreadsheets/d/1cdAyIuV3KTqwcGe6-vyb1X20cPPkDOOJQy9lqzxxIlg/edit" TargetMode="External"/><Relationship Id="rId342" Type="http://schemas.openxmlformats.org/officeDocument/2006/relationships/hyperlink" Target="https://docs.google.com/spreadsheets/d/1LGiIsREyb4-GdMHXfNtTTkfBPXxtYy4zobyDWot7xQA/edit" TargetMode="External"/><Relationship Id="rId584" Type="http://schemas.openxmlformats.org/officeDocument/2006/relationships/hyperlink" Target="https://docs.google.com/spreadsheets/d/1cdAyIuV3KTqwcGe6-vyb1X20cPPkDOOJQy9lqzxxIlg/edit" TargetMode="External"/><Relationship Id="rId338" Type="http://schemas.openxmlformats.org/officeDocument/2006/relationships/hyperlink" Target="https://docs.google.com/spreadsheets/d/1LGiIsREyb4-GdMHXfNtTTkfBPXxtYy4zobyDWot7xQA/edit" TargetMode="External"/><Relationship Id="rId337" Type="http://schemas.openxmlformats.org/officeDocument/2006/relationships/hyperlink" Target="https://docs.google.com/spreadsheets/d/1LGiIsREyb4-GdMHXfNtTTkfBPXxtYy4zobyDWot7xQA/edit" TargetMode="External"/><Relationship Id="rId579" Type="http://schemas.openxmlformats.org/officeDocument/2006/relationships/hyperlink" Target="https://docs.google.com/spreadsheets/d/1cdAyIuV3KTqwcGe6-vyb1X20cPPkDOOJQy9lqzxxIlg/edit" TargetMode="External"/><Relationship Id="rId336" Type="http://schemas.openxmlformats.org/officeDocument/2006/relationships/hyperlink" Target="https://docs.google.com/spreadsheets/d/1LGiIsREyb4-GdMHXfNtTTkfBPXxtYy4zobyDWot7xQA/edit" TargetMode="External"/><Relationship Id="rId578" Type="http://schemas.openxmlformats.org/officeDocument/2006/relationships/hyperlink" Target="https://docs.google.com/spreadsheets/d/1cdAyIuV3KTqwcGe6-vyb1X20cPPkDOOJQy9lqzxxIlg/edit" TargetMode="External"/><Relationship Id="rId335" Type="http://schemas.openxmlformats.org/officeDocument/2006/relationships/hyperlink" Target="https://docs.google.com/spreadsheets/d/1LGiIsREyb4-GdMHXfNtTTkfBPXxtYy4zobyDWot7xQA/edit" TargetMode="External"/><Relationship Id="rId577" Type="http://schemas.openxmlformats.org/officeDocument/2006/relationships/hyperlink" Target="https://docs.google.com/spreadsheets/d/1cdAyIuV3KTqwcGe6-vyb1X20cPPkDOOJQy9lqzxxIlg/edit" TargetMode="External"/><Relationship Id="rId339" Type="http://schemas.openxmlformats.org/officeDocument/2006/relationships/hyperlink" Target="https://docs.google.com/spreadsheets/d/1LGiIsREyb4-GdMHXfNtTTkfBPXxtYy4zobyDWot7xQA/edit" TargetMode="External"/><Relationship Id="rId330" Type="http://schemas.openxmlformats.org/officeDocument/2006/relationships/hyperlink" Target="https://docs.google.com/spreadsheets/d/1LGiIsREyb4-GdMHXfNtTTkfBPXxtYy4zobyDWot7xQA/edit" TargetMode="External"/><Relationship Id="rId572" Type="http://schemas.openxmlformats.org/officeDocument/2006/relationships/hyperlink" Target="https://docs.google.com/spreadsheets/d/1cdAyIuV3KTqwcGe6-vyb1X20cPPkDOOJQy9lqzxxIlg/edit" TargetMode="External"/><Relationship Id="rId571" Type="http://schemas.openxmlformats.org/officeDocument/2006/relationships/hyperlink" Target="https://docs.google.com/spreadsheets/d/1cdAyIuV3KTqwcGe6-vyb1X20cPPkDOOJQy9lqzxxIlg/edit" TargetMode="External"/><Relationship Id="rId570" Type="http://schemas.openxmlformats.org/officeDocument/2006/relationships/hyperlink" Target="https://docs.google.com/spreadsheets/d/1cdAyIuV3KTqwcGe6-vyb1X20cPPkDOOJQy9lqzxxIlg/edit" TargetMode="External"/><Relationship Id="rId334" Type="http://schemas.openxmlformats.org/officeDocument/2006/relationships/hyperlink" Target="https://docs.google.com/spreadsheets/d/1LGiIsREyb4-GdMHXfNtTTkfBPXxtYy4zobyDWot7xQA/edit" TargetMode="External"/><Relationship Id="rId576" Type="http://schemas.openxmlformats.org/officeDocument/2006/relationships/hyperlink" Target="https://docs.google.com/spreadsheets/d/1cdAyIuV3KTqwcGe6-vyb1X20cPPkDOOJQy9lqzxxIlg/edit" TargetMode="External"/><Relationship Id="rId333" Type="http://schemas.openxmlformats.org/officeDocument/2006/relationships/hyperlink" Target="https://docs.google.com/spreadsheets/d/1LGiIsREyb4-GdMHXfNtTTkfBPXxtYy4zobyDWot7xQA/edit" TargetMode="External"/><Relationship Id="rId575" Type="http://schemas.openxmlformats.org/officeDocument/2006/relationships/hyperlink" Target="https://docs.google.com/spreadsheets/d/1cdAyIuV3KTqwcGe6-vyb1X20cPPkDOOJQy9lqzxxIlg/edit" TargetMode="External"/><Relationship Id="rId332" Type="http://schemas.openxmlformats.org/officeDocument/2006/relationships/hyperlink" Target="https://docs.google.com/spreadsheets/d/1LGiIsREyb4-GdMHXfNtTTkfBPXxtYy4zobyDWot7xQA/edit" TargetMode="External"/><Relationship Id="rId574" Type="http://schemas.openxmlformats.org/officeDocument/2006/relationships/hyperlink" Target="https://docs.google.com/spreadsheets/d/1cdAyIuV3KTqwcGe6-vyb1X20cPPkDOOJQy9lqzxxIlg/edit" TargetMode="External"/><Relationship Id="rId331" Type="http://schemas.openxmlformats.org/officeDocument/2006/relationships/hyperlink" Target="https://docs.google.com/spreadsheets/d/1LGiIsREyb4-GdMHXfNtTTkfBPXxtYy4zobyDWot7xQA/edit" TargetMode="External"/><Relationship Id="rId573" Type="http://schemas.openxmlformats.org/officeDocument/2006/relationships/hyperlink" Target="https://docs.google.com/spreadsheets/d/1cdAyIuV3KTqwcGe6-vyb1X20cPPkDOOJQy9lqzxxIlg/edit" TargetMode="External"/><Relationship Id="rId370" Type="http://schemas.openxmlformats.org/officeDocument/2006/relationships/hyperlink" Target="https://docs.google.com/spreadsheets/d/1cdAyIuV3KTqwcGe6-vyb1X20cPPkDOOJQy9lqzxxIlg/edit" TargetMode="External"/><Relationship Id="rId129" Type="http://schemas.openxmlformats.org/officeDocument/2006/relationships/hyperlink" Target="https://docs.google.com/spreadsheets/d/1LGiIsREyb4-GdMHXfNtTTkfBPXxtYy4zobyDWot7xQA/edit" TargetMode="External"/><Relationship Id="rId128" Type="http://schemas.openxmlformats.org/officeDocument/2006/relationships/hyperlink" Target="https://docs.google.com/spreadsheets/d/1LGiIsREyb4-GdMHXfNtTTkfBPXxtYy4zobyDWot7xQA/edit" TargetMode="External"/><Relationship Id="rId127" Type="http://schemas.openxmlformats.org/officeDocument/2006/relationships/hyperlink" Target="https://docs.google.com/spreadsheets/d/1LGiIsREyb4-GdMHXfNtTTkfBPXxtYy4zobyDWot7xQA/edit" TargetMode="External"/><Relationship Id="rId369" Type="http://schemas.openxmlformats.org/officeDocument/2006/relationships/hyperlink" Target="https://docs.google.com/spreadsheets/d/1cdAyIuV3KTqwcGe6-vyb1X20cPPkDOOJQy9lqzxxIlg/edit" TargetMode="External"/><Relationship Id="rId126" Type="http://schemas.openxmlformats.org/officeDocument/2006/relationships/hyperlink" Target="https://docs.google.com/spreadsheets/d/1LGiIsREyb4-GdMHXfNtTTkfBPXxtYy4zobyDWot7xQA/edit" TargetMode="External"/><Relationship Id="rId368" Type="http://schemas.openxmlformats.org/officeDocument/2006/relationships/hyperlink" Target="https://docs.google.com/spreadsheets/d/1cdAyIuV3KTqwcGe6-vyb1X20cPPkDOOJQy9lqzxxIlg/edit" TargetMode="External"/><Relationship Id="rId121" Type="http://schemas.openxmlformats.org/officeDocument/2006/relationships/hyperlink" Target="https://docs.google.com/spreadsheets/d/1LGiIsREyb4-GdMHXfNtTTkfBPXxtYy4zobyDWot7xQA/edit" TargetMode="External"/><Relationship Id="rId363" Type="http://schemas.openxmlformats.org/officeDocument/2006/relationships/hyperlink" Target="https://docs.google.com/spreadsheets/d/1cdAyIuV3KTqwcGe6-vyb1X20cPPkDOOJQy9lqzxxIlg/edit" TargetMode="External"/><Relationship Id="rId120" Type="http://schemas.openxmlformats.org/officeDocument/2006/relationships/hyperlink" Target="https://docs.google.com/spreadsheets/d/1LGiIsREyb4-GdMHXfNtTTkfBPXxtYy4zobyDWot7xQA/edit" TargetMode="External"/><Relationship Id="rId362" Type="http://schemas.openxmlformats.org/officeDocument/2006/relationships/hyperlink" Target="https://docs.google.com/spreadsheets/d/1cdAyIuV3KTqwcGe6-vyb1X20cPPkDOOJQy9lqzxxIlg/edit" TargetMode="External"/><Relationship Id="rId361" Type="http://schemas.openxmlformats.org/officeDocument/2006/relationships/hyperlink" Target="https://docs.google.com/spreadsheets/d/1cdAyIuV3KTqwcGe6-vyb1X20cPPkDOOJQy9lqzxxIlg/edit" TargetMode="External"/><Relationship Id="rId360" Type="http://schemas.openxmlformats.org/officeDocument/2006/relationships/hyperlink" Target="https://docs.google.com/spreadsheets/d/1cdAyIuV3KTqwcGe6-vyb1X20cPPkDOOJQy9lqzxxIlg/edit" TargetMode="External"/><Relationship Id="rId125" Type="http://schemas.openxmlformats.org/officeDocument/2006/relationships/hyperlink" Target="https://docs.google.com/spreadsheets/d/1LGiIsREyb4-GdMHXfNtTTkfBPXxtYy4zobyDWot7xQA/edit" TargetMode="External"/><Relationship Id="rId367" Type="http://schemas.openxmlformats.org/officeDocument/2006/relationships/hyperlink" Target="https://docs.google.com/spreadsheets/d/1cdAyIuV3KTqwcGe6-vyb1X20cPPkDOOJQy9lqzxxIlg/edit" TargetMode="External"/><Relationship Id="rId124" Type="http://schemas.openxmlformats.org/officeDocument/2006/relationships/hyperlink" Target="https://docs.google.com/spreadsheets/d/1LGiIsREyb4-GdMHXfNtTTkfBPXxtYy4zobyDWot7xQA/edit" TargetMode="External"/><Relationship Id="rId366" Type="http://schemas.openxmlformats.org/officeDocument/2006/relationships/hyperlink" Target="https://docs.google.com/spreadsheets/d/1cdAyIuV3KTqwcGe6-vyb1X20cPPkDOOJQy9lqzxxIlg/edit" TargetMode="External"/><Relationship Id="rId123" Type="http://schemas.openxmlformats.org/officeDocument/2006/relationships/hyperlink" Target="https://docs.google.com/spreadsheets/d/1LGiIsREyb4-GdMHXfNtTTkfBPXxtYy4zobyDWot7xQA/edit" TargetMode="External"/><Relationship Id="rId365" Type="http://schemas.openxmlformats.org/officeDocument/2006/relationships/hyperlink" Target="https://docs.google.com/spreadsheets/d/1cdAyIuV3KTqwcGe6-vyb1X20cPPkDOOJQy9lqzxxIlg/edit" TargetMode="External"/><Relationship Id="rId122" Type="http://schemas.openxmlformats.org/officeDocument/2006/relationships/hyperlink" Target="https://docs.google.com/spreadsheets/d/1LGiIsREyb4-GdMHXfNtTTkfBPXxtYy4zobyDWot7xQA/edit" TargetMode="External"/><Relationship Id="rId364" Type="http://schemas.openxmlformats.org/officeDocument/2006/relationships/hyperlink" Target="https://docs.google.com/spreadsheets/d/1cdAyIuV3KTqwcGe6-vyb1X20cPPkDOOJQy9lqzxxIlg/edit" TargetMode="External"/><Relationship Id="rId95" Type="http://schemas.openxmlformats.org/officeDocument/2006/relationships/hyperlink" Target="https://docs.google.com/spreadsheets/d/1cdAyIuV3KTqwcGe6-vyb1X20cPPkDOOJQy9lqzxxIlg/edit" TargetMode="External"/><Relationship Id="rId94" Type="http://schemas.openxmlformats.org/officeDocument/2006/relationships/hyperlink" Target="https://docs.google.com/spreadsheets/d/1cdAyIuV3KTqwcGe6-vyb1X20cPPkDOOJQy9lqzxxIlg/edit" TargetMode="External"/><Relationship Id="rId97" Type="http://schemas.openxmlformats.org/officeDocument/2006/relationships/hyperlink" Target="https://docs.google.com/spreadsheets/d/1cdAyIuV3KTqwcGe6-vyb1X20cPPkDOOJQy9lqzxxIlg/edit" TargetMode="External"/><Relationship Id="rId96" Type="http://schemas.openxmlformats.org/officeDocument/2006/relationships/hyperlink" Target="https://docs.google.com/spreadsheets/d/1cdAyIuV3KTqwcGe6-vyb1X20cPPkDOOJQy9lqzxxIlg/edit" TargetMode="External"/><Relationship Id="rId99" Type="http://schemas.openxmlformats.org/officeDocument/2006/relationships/hyperlink" Target="https://docs.google.com/spreadsheets/d/1cdAyIuV3KTqwcGe6-vyb1X20cPPkDOOJQy9lqzxxIlg/edit" TargetMode="External"/><Relationship Id="rId98" Type="http://schemas.openxmlformats.org/officeDocument/2006/relationships/hyperlink" Target="https://docs.google.com/spreadsheets/d/1cdAyIuV3KTqwcGe6-vyb1X20cPPkDOOJQy9lqzxxIlg/edit" TargetMode="External"/><Relationship Id="rId91" Type="http://schemas.openxmlformats.org/officeDocument/2006/relationships/hyperlink" Target="https://docs.google.com/spreadsheets/d/1cdAyIuV3KTqwcGe6-vyb1X20cPPkDOOJQy9lqzxxIlg/edit" TargetMode="External"/><Relationship Id="rId90" Type="http://schemas.openxmlformats.org/officeDocument/2006/relationships/hyperlink" Target="https://docs.google.com/spreadsheets/d/1cdAyIuV3KTqwcGe6-vyb1X20cPPkDOOJQy9lqzxxIlg/edit" TargetMode="External"/><Relationship Id="rId93" Type="http://schemas.openxmlformats.org/officeDocument/2006/relationships/hyperlink" Target="https://docs.google.com/spreadsheets/d/1cdAyIuV3KTqwcGe6-vyb1X20cPPkDOOJQy9lqzxxIlg/edit" TargetMode="External"/><Relationship Id="rId92" Type="http://schemas.openxmlformats.org/officeDocument/2006/relationships/hyperlink" Target="https://docs.google.com/spreadsheets/d/1cdAyIuV3KTqwcGe6-vyb1X20cPPkDOOJQy9lqzxxIlg/edit" TargetMode="External"/><Relationship Id="rId118" Type="http://schemas.openxmlformats.org/officeDocument/2006/relationships/hyperlink" Target="https://docs.google.com/spreadsheets/d/1LGiIsREyb4-GdMHXfNtTTkfBPXxtYy4zobyDWot7xQA/edit" TargetMode="External"/><Relationship Id="rId117" Type="http://schemas.openxmlformats.org/officeDocument/2006/relationships/hyperlink" Target="https://docs.google.com/spreadsheets/d/1LGiIsREyb4-GdMHXfNtTTkfBPXxtYy4zobyDWot7xQA/edit" TargetMode="External"/><Relationship Id="rId359" Type="http://schemas.openxmlformats.org/officeDocument/2006/relationships/hyperlink" Target="https://docs.google.com/spreadsheets/d/1cdAyIuV3KTqwcGe6-vyb1X20cPPkDOOJQy9lqzxxIlg/edit" TargetMode="External"/><Relationship Id="rId116" Type="http://schemas.openxmlformats.org/officeDocument/2006/relationships/hyperlink" Target="https://docs.google.com/spreadsheets/d/1LGiIsREyb4-GdMHXfNtTTkfBPXxtYy4zobyDWot7xQA/edit" TargetMode="External"/><Relationship Id="rId358" Type="http://schemas.openxmlformats.org/officeDocument/2006/relationships/hyperlink" Target="https://docs.google.com/spreadsheets/d/1cdAyIuV3KTqwcGe6-vyb1X20cPPkDOOJQy9lqzxxIlg/edit" TargetMode="External"/><Relationship Id="rId115" Type="http://schemas.openxmlformats.org/officeDocument/2006/relationships/hyperlink" Target="https://docs.google.com/spreadsheets/d/1LGiIsREyb4-GdMHXfNtTTkfBPXxtYy4zobyDWot7xQA/edit" TargetMode="External"/><Relationship Id="rId357" Type="http://schemas.openxmlformats.org/officeDocument/2006/relationships/hyperlink" Target="https://docs.google.com/spreadsheets/d/1cdAyIuV3KTqwcGe6-vyb1X20cPPkDOOJQy9lqzxxIlg/edit" TargetMode="External"/><Relationship Id="rId599" Type="http://schemas.openxmlformats.org/officeDocument/2006/relationships/hyperlink" Target="https://docs.google.com/spreadsheets/d/1cdAyIuV3KTqwcGe6-vyb1X20cPPkDOOJQy9lqzxxIlg/edit" TargetMode="External"/><Relationship Id="rId119" Type="http://schemas.openxmlformats.org/officeDocument/2006/relationships/hyperlink" Target="https://docs.google.com/spreadsheets/d/1LGiIsREyb4-GdMHXfNtTTkfBPXxtYy4zobyDWot7xQA/edit" TargetMode="External"/><Relationship Id="rId110" Type="http://schemas.openxmlformats.org/officeDocument/2006/relationships/hyperlink" Target="https://docs.google.com/spreadsheets/d/1LGiIsREyb4-GdMHXfNtTTkfBPXxtYy4zobyDWot7xQA/edit" TargetMode="External"/><Relationship Id="rId352" Type="http://schemas.openxmlformats.org/officeDocument/2006/relationships/hyperlink" Target="https://docs.google.com/spreadsheets/d/1cdAyIuV3KTqwcGe6-vyb1X20cPPkDOOJQy9lqzxxIlg/edit" TargetMode="External"/><Relationship Id="rId594" Type="http://schemas.openxmlformats.org/officeDocument/2006/relationships/hyperlink" Target="https://docs.google.com/spreadsheets/d/1cdAyIuV3KTqwcGe6-vyb1X20cPPkDOOJQy9lqzxxIlg/edit" TargetMode="External"/><Relationship Id="rId351" Type="http://schemas.openxmlformats.org/officeDocument/2006/relationships/hyperlink" Target="https://docs.google.com/spreadsheets/d/1cdAyIuV3KTqwcGe6-vyb1X20cPPkDOOJQy9lqzxxIlg/edit" TargetMode="External"/><Relationship Id="rId593" Type="http://schemas.openxmlformats.org/officeDocument/2006/relationships/hyperlink" Target="https://docs.google.com/spreadsheets/d/1cdAyIuV3KTqwcGe6-vyb1X20cPPkDOOJQy9lqzxxIlg/edit" TargetMode="External"/><Relationship Id="rId350" Type="http://schemas.openxmlformats.org/officeDocument/2006/relationships/hyperlink" Target="https://docs.google.com/spreadsheets/d/1cdAyIuV3KTqwcGe6-vyb1X20cPPkDOOJQy9lqzxxIlg/edit" TargetMode="External"/><Relationship Id="rId592" Type="http://schemas.openxmlformats.org/officeDocument/2006/relationships/hyperlink" Target="https://docs.google.com/spreadsheets/d/1cdAyIuV3KTqwcGe6-vyb1X20cPPkDOOJQy9lqzxxIlg/edit" TargetMode="External"/><Relationship Id="rId591" Type="http://schemas.openxmlformats.org/officeDocument/2006/relationships/hyperlink" Target="https://docs.google.com/spreadsheets/d/1cdAyIuV3KTqwcGe6-vyb1X20cPPkDOOJQy9lqzxxIlg/edit" TargetMode="External"/><Relationship Id="rId114" Type="http://schemas.openxmlformats.org/officeDocument/2006/relationships/hyperlink" Target="https://docs.google.com/spreadsheets/d/1LGiIsREyb4-GdMHXfNtTTkfBPXxtYy4zobyDWot7xQA/edit" TargetMode="External"/><Relationship Id="rId356" Type="http://schemas.openxmlformats.org/officeDocument/2006/relationships/hyperlink" Target="https://docs.google.com/spreadsheets/d/1cdAyIuV3KTqwcGe6-vyb1X20cPPkDOOJQy9lqzxxIlg/edit" TargetMode="External"/><Relationship Id="rId598" Type="http://schemas.openxmlformats.org/officeDocument/2006/relationships/hyperlink" Target="https://docs.google.com/spreadsheets/d/1cdAyIuV3KTqwcGe6-vyb1X20cPPkDOOJQy9lqzxxIlg/edit" TargetMode="External"/><Relationship Id="rId113" Type="http://schemas.openxmlformats.org/officeDocument/2006/relationships/hyperlink" Target="https://docs.google.com/spreadsheets/d/1LGiIsREyb4-GdMHXfNtTTkfBPXxtYy4zobyDWot7xQA/edit" TargetMode="External"/><Relationship Id="rId355" Type="http://schemas.openxmlformats.org/officeDocument/2006/relationships/hyperlink" Target="https://docs.google.com/spreadsheets/d/1cdAyIuV3KTqwcGe6-vyb1X20cPPkDOOJQy9lqzxxIlg/edit" TargetMode="External"/><Relationship Id="rId597" Type="http://schemas.openxmlformats.org/officeDocument/2006/relationships/hyperlink" Target="https://docs.google.com/spreadsheets/d/1cdAyIuV3KTqwcGe6-vyb1X20cPPkDOOJQy9lqzxxIlg/edit" TargetMode="External"/><Relationship Id="rId112" Type="http://schemas.openxmlformats.org/officeDocument/2006/relationships/hyperlink" Target="https://docs.google.com/spreadsheets/d/1LGiIsREyb4-GdMHXfNtTTkfBPXxtYy4zobyDWot7xQA/edit" TargetMode="External"/><Relationship Id="rId354" Type="http://schemas.openxmlformats.org/officeDocument/2006/relationships/hyperlink" Target="https://docs.google.com/spreadsheets/d/1cdAyIuV3KTqwcGe6-vyb1X20cPPkDOOJQy9lqzxxIlg/edit" TargetMode="External"/><Relationship Id="rId596" Type="http://schemas.openxmlformats.org/officeDocument/2006/relationships/hyperlink" Target="https://docs.google.com/spreadsheets/d/1cdAyIuV3KTqwcGe6-vyb1X20cPPkDOOJQy9lqzxxIlg/edit" TargetMode="External"/><Relationship Id="rId111" Type="http://schemas.openxmlformats.org/officeDocument/2006/relationships/hyperlink" Target="https://docs.google.com/spreadsheets/d/1LGiIsREyb4-GdMHXfNtTTkfBPXxtYy4zobyDWot7xQA/edit" TargetMode="External"/><Relationship Id="rId353" Type="http://schemas.openxmlformats.org/officeDocument/2006/relationships/hyperlink" Target="https://docs.google.com/spreadsheets/d/1cdAyIuV3KTqwcGe6-vyb1X20cPPkDOOJQy9lqzxxIlg/edit" TargetMode="External"/><Relationship Id="rId595" Type="http://schemas.openxmlformats.org/officeDocument/2006/relationships/hyperlink" Target="https://docs.google.com/spreadsheets/d/1cdAyIuV3KTqwcGe6-vyb1X20cPPkDOOJQy9lqzxxIlg/edit" TargetMode="External"/><Relationship Id="rId305" Type="http://schemas.openxmlformats.org/officeDocument/2006/relationships/hyperlink" Target="https://docs.google.com/spreadsheets/d/1LGiIsREyb4-GdMHXfNtTTkfBPXxtYy4zobyDWot7xQA/edit" TargetMode="External"/><Relationship Id="rId547" Type="http://schemas.openxmlformats.org/officeDocument/2006/relationships/hyperlink" Target="https://docs.google.com/spreadsheets/d/1cdAyIuV3KTqwcGe6-vyb1X20cPPkDOOJQy9lqzxxIlg/edit" TargetMode="External"/><Relationship Id="rId789" Type="http://schemas.openxmlformats.org/officeDocument/2006/relationships/hyperlink" Target="https://docs.google.com/spreadsheets/d/1NiLWC2P93vOYhLmUW_D3xnNV-9HJraVhA0DrW4_m5jo/edit" TargetMode="External"/><Relationship Id="rId304" Type="http://schemas.openxmlformats.org/officeDocument/2006/relationships/hyperlink" Target="https://docs.google.com/spreadsheets/d/1LGiIsREyb4-GdMHXfNtTTkfBPXxtYy4zobyDWot7xQA/edit" TargetMode="External"/><Relationship Id="rId546" Type="http://schemas.openxmlformats.org/officeDocument/2006/relationships/hyperlink" Target="https://docs.google.com/spreadsheets/d/1cdAyIuV3KTqwcGe6-vyb1X20cPPkDOOJQy9lqzxxIlg/edit" TargetMode="External"/><Relationship Id="rId788" Type="http://schemas.openxmlformats.org/officeDocument/2006/relationships/hyperlink" Target="https://docs.google.com/spreadsheets/d/1NiLWC2P93vOYhLmUW_D3xnNV-9HJraVhA0DrW4_m5jo/edit" TargetMode="External"/><Relationship Id="rId303" Type="http://schemas.openxmlformats.org/officeDocument/2006/relationships/hyperlink" Target="https://docs.google.com/spreadsheets/d/1LGiIsREyb4-GdMHXfNtTTkfBPXxtYy4zobyDWot7xQA/edit" TargetMode="External"/><Relationship Id="rId545" Type="http://schemas.openxmlformats.org/officeDocument/2006/relationships/hyperlink" Target="https://docs.google.com/spreadsheets/d/1cdAyIuV3KTqwcGe6-vyb1X20cPPkDOOJQy9lqzxxIlg/edit" TargetMode="External"/><Relationship Id="rId787" Type="http://schemas.openxmlformats.org/officeDocument/2006/relationships/hyperlink" Target="https://docs.google.com/spreadsheets/d/1NiLWC2P93vOYhLmUW_D3xnNV-9HJraVhA0DrW4_m5jo/edit" TargetMode="External"/><Relationship Id="rId302" Type="http://schemas.openxmlformats.org/officeDocument/2006/relationships/hyperlink" Target="https://docs.google.com/spreadsheets/d/1LGiIsREyb4-GdMHXfNtTTkfBPXxtYy4zobyDWot7xQA/edit" TargetMode="External"/><Relationship Id="rId544" Type="http://schemas.openxmlformats.org/officeDocument/2006/relationships/hyperlink" Target="https://docs.google.com/spreadsheets/d/1cdAyIuV3KTqwcGe6-vyb1X20cPPkDOOJQy9lqzxxIlg/edit" TargetMode="External"/><Relationship Id="rId786" Type="http://schemas.openxmlformats.org/officeDocument/2006/relationships/hyperlink" Target="https://docs.google.com/spreadsheets/d/1NiLWC2P93vOYhLmUW_D3xnNV-9HJraVhA0DrW4_m5jo/edit" TargetMode="External"/><Relationship Id="rId309" Type="http://schemas.openxmlformats.org/officeDocument/2006/relationships/hyperlink" Target="https://docs.google.com/spreadsheets/d/1LGiIsREyb4-GdMHXfNtTTkfBPXxtYy4zobyDWot7xQA/edit" TargetMode="External"/><Relationship Id="rId308" Type="http://schemas.openxmlformats.org/officeDocument/2006/relationships/hyperlink" Target="https://docs.google.com/spreadsheets/d/1LGiIsREyb4-GdMHXfNtTTkfBPXxtYy4zobyDWot7xQA/edit" TargetMode="External"/><Relationship Id="rId307" Type="http://schemas.openxmlformats.org/officeDocument/2006/relationships/hyperlink" Target="https://docs.google.com/spreadsheets/d/1LGiIsREyb4-GdMHXfNtTTkfBPXxtYy4zobyDWot7xQA/edit" TargetMode="External"/><Relationship Id="rId549" Type="http://schemas.openxmlformats.org/officeDocument/2006/relationships/hyperlink" Target="https://docs.google.com/spreadsheets/d/1cdAyIuV3KTqwcGe6-vyb1X20cPPkDOOJQy9lqzxxIlg/edit" TargetMode="External"/><Relationship Id="rId306" Type="http://schemas.openxmlformats.org/officeDocument/2006/relationships/hyperlink" Target="https://docs.google.com/spreadsheets/d/1LGiIsREyb4-GdMHXfNtTTkfBPXxtYy4zobyDWot7xQA/edit" TargetMode="External"/><Relationship Id="rId548" Type="http://schemas.openxmlformats.org/officeDocument/2006/relationships/hyperlink" Target="https://docs.google.com/spreadsheets/d/1cdAyIuV3KTqwcGe6-vyb1X20cPPkDOOJQy9lqzxxIlg/edit" TargetMode="External"/><Relationship Id="rId781" Type="http://schemas.openxmlformats.org/officeDocument/2006/relationships/hyperlink" Target="https://docs.google.com/spreadsheets/d/1NiLWC2P93vOYhLmUW_D3xnNV-9HJraVhA0DrW4_m5jo/edit" TargetMode="External"/><Relationship Id="rId780" Type="http://schemas.openxmlformats.org/officeDocument/2006/relationships/hyperlink" Target="https://docs.google.com/spreadsheets/d/1NiLWC2P93vOYhLmUW_D3xnNV-9HJraVhA0DrW4_m5jo/edit" TargetMode="External"/><Relationship Id="rId301" Type="http://schemas.openxmlformats.org/officeDocument/2006/relationships/hyperlink" Target="https://docs.google.com/spreadsheets/d/1LGiIsREyb4-GdMHXfNtTTkfBPXxtYy4zobyDWot7xQA/edit" TargetMode="External"/><Relationship Id="rId543" Type="http://schemas.openxmlformats.org/officeDocument/2006/relationships/hyperlink" Target="https://docs.google.com/spreadsheets/d/1cdAyIuV3KTqwcGe6-vyb1X20cPPkDOOJQy9lqzxxIlg/edit" TargetMode="External"/><Relationship Id="rId785" Type="http://schemas.openxmlformats.org/officeDocument/2006/relationships/hyperlink" Target="https://docs.google.com/spreadsheets/d/1NiLWC2P93vOYhLmUW_D3xnNV-9HJraVhA0DrW4_m5jo/edit" TargetMode="External"/><Relationship Id="rId300" Type="http://schemas.openxmlformats.org/officeDocument/2006/relationships/hyperlink" Target="https://docs.google.com/spreadsheets/d/1LGiIsREyb4-GdMHXfNtTTkfBPXxtYy4zobyDWot7xQA/edit" TargetMode="External"/><Relationship Id="rId542" Type="http://schemas.openxmlformats.org/officeDocument/2006/relationships/hyperlink" Target="https://docs.google.com/spreadsheets/d/1cdAyIuV3KTqwcGe6-vyb1X20cPPkDOOJQy9lqzxxIlg/edit" TargetMode="External"/><Relationship Id="rId784" Type="http://schemas.openxmlformats.org/officeDocument/2006/relationships/hyperlink" Target="https://docs.google.com/spreadsheets/d/1NiLWC2P93vOYhLmUW_D3xnNV-9HJraVhA0DrW4_m5jo/edit" TargetMode="External"/><Relationship Id="rId541" Type="http://schemas.openxmlformats.org/officeDocument/2006/relationships/hyperlink" Target="https://docs.google.com/spreadsheets/d/1cdAyIuV3KTqwcGe6-vyb1X20cPPkDOOJQy9lqzxxIlg/edit" TargetMode="External"/><Relationship Id="rId783" Type="http://schemas.openxmlformats.org/officeDocument/2006/relationships/hyperlink" Target="https://docs.google.com/spreadsheets/d/1NiLWC2P93vOYhLmUW_D3xnNV-9HJraVhA0DrW4_m5jo/edit" TargetMode="External"/><Relationship Id="rId540" Type="http://schemas.openxmlformats.org/officeDocument/2006/relationships/hyperlink" Target="https://docs.google.com/spreadsheets/d/1cdAyIuV3KTqwcGe6-vyb1X20cPPkDOOJQy9lqzxxIlg/edit" TargetMode="External"/><Relationship Id="rId782" Type="http://schemas.openxmlformats.org/officeDocument/2006/relationships/hyperlink" Target="https://docs.google.com/spreadsheets/d/1NiLWC2P93vOYhLmUW_D3xnNV-9HJraVhA0DrW4_m5jo/edit" TargetMode="External"/><Relationship Id="rId536" Type="http://schemas.openxmlformats.org/officeDocument/2006/relationships/hyperlink" Target="https://docs.google.com/spreadsheets/d/1cdAyIuV3KTqwcGe6-vyb1X20cPPkDOOJQy9lqzxxIlg/edit" TargetMode="External"/><Relationship Id="rId778" Type="http://schemas.openxmlformats.org/officeDocument/2006/relationships/hyperlink" Target="https://docs.google.com/spreadsheets/d/1NiLWC2P93vOYhLmUW_D3xnNV-9HJraVhA0DrW4_m5jo/edit" TargetMode="External"/><Relationship Id="rId535" Type="http://schemas.openxmlformats.org/officeDocument/2006/relationships/hyperlink" Target="https://docs.google.com/spreadsheets/d/1cdAyIuV3KTqwcGe6-vyb1X20cPPkDOOJQy9lqzxxIlg/edit" TargetMode="External"/><Relationship Id="rId777" Type="http://schemas.openxmlformats.org/officeDocument/2006/relationships/hyperlink" Target="https://docs.google.com/spreadsheets/d/1NiLWC2P93vOYhLmUW_D3xnNV-9HJraVhA0DrW4_m5jo/edit" TargetMode="External"/><Relationship Id="rId534" Type="http://schemas.openxmlformats.org/officeDocument/2006/relationships/hyperlink" Target="https://docs.google.com/spreadsheets/d/1cdAyIuV3KTqwcGe6-vyb1X20cPPkDOOJQy9lqzxxIlg/edit" TargetMode="External"/><Relationship Id="rId776" Type="http://schemas.openxmlformats.org/officeDocument/2006/relationships/hyperlink" Target="https://docs.google.com/spreadsheets/d/1NiLWC2P93vOYhLmUW_D3xnNV-9HJraVhA0DrW4_m5jo/edit" TargetMode="External"/><Relationship Id="rId533" Type="http://schemas.openxmlformats.org/officeDocument/2006/relationships/hyperlink" Target="https://docs.google.com/spreadsheets/d/1cdAyIuV3KTqwcGe6-vyb1X20cPPkDOOJQy9lqzxxIlg/edit" TargetMode="External"/><Relationship Id="rId775" Type="http://schemas.openxmlformats.org/officeDocument/2006/relationships/hyperlink" Target="https://docs.google.com/spreadsheets/d/1NiLWC2P93vOYhLmUW_D3xnNV-9HJraVhA0DrW4_m5jo/edit" TargetMode="External"/><Relationship Id="rId539" Type="http://schemas.openxmlformats.org/officeDocument/2006/relationships/hyperlink" Target="https://docs.google.com/spreadsheets/d/1cdAyIuV3KTqwcGe6-vyb1X20cPPkDOOJQy9lqzxxIlg/edit" TargetMode="External"/><Relationship Id="rId538" Type="http://schemas.openxmlformats.org/officeDocument/2006/relationships/hyperlink" Target="https://docs.google.com/spreadsheets/d/1cdAyIuV3KTqwcGe6-vyb1X20cPPkDOOJQy9lqzxxIlg/edit" TargetMode="External"/><Relationship Id="rId537" Type="http://schemas.openxmlformats.org/officeDocument/2006/relationships/hyperlink" Target="https://docs.google.com/spreadsheets/d/1cdAyIuV3KTqwcGe6-vyb1X20cPPkDOOJQy9lqzxxIlg/edit" TargetMode="External"/><Relationship Id="rId779" Type="http://schemas.openxmlformats.org/officeDocument/2006/relationships/hyperlink" Target="https://docs.google.com/spreadsheets/d/1NiLWC2P93vOYhLmUW_D3xnNV-9HJraVhA0DrW4_m5jo/edit" TargetMode="External"/><Relationship Id="rId770" Type="http://schemas.openxmlformats.org/officeDocument/2006/relationships/hyperlink" Target="https://docs.google.com/spreadsheets/d/1yTBWEM4qeN7cMsdZosoLoINbcnjIbiM09amCGs1O-XI/edit" TargetMode="External"/><Relationship Id="rId532" Type="http://schemas.openxmlformats.org/officeDocument/2006/relationships/hyperlink" Target="https://docs.google.com/spreadsheets/d/1cdAyIuV3KTqwcGe6-vyb1X20cPPkDOOJQy9lqzxxIlg/edit" TargetMode="External"/><Relationship Id="rId774" Type="http://schemas.openxmlformats.org/officeDocument/2006/relationships/hyperlink" Target="https://docs.google.com/spreadsheets/d/1NiLWC2P93vOYhLmUW_D3xnNV-9HJraVhA0DrW4_m5jo/edit" TargetMode="External"/><Relationship Id="rId531" Type="http://schemas.openxmlformats.org/officeDocument/2006/relationships/hyperlink" Target="https://docs.google.com/spreadsheets/d/1cdAyIuV3KTqwcGe6-vyb1X20cPPkDOOJQy9lqzxxIlg/edit" TargetMode="External"/><Relationship Id="rId773" Type="http://schemas.openxmlformats.org/officeDocument/2006/relationships/hyperlink" Target="https://docs.google.com/spreadsheets/d/1NiLWC2P93vOYhLmUW_D3xnNV-9HJraVhA0DrW4_m5jo/edit" TargetMode="External"/><Relationship Id="rId530" Type="http://schemas.openxmlformats.org/officeDocument/2006/relationships/hyperlink" Target="https://docs.google.com/spreadsheets/d/1cdAyIuV3KTqwcGe6-vyb1X20cPPkDOOJQy9lqzxxIlg/edit" TargetMode="External"/><Relationship Id="rId772" Type="http://schemas.openxmlformats.org/officeDocument/2006/relationships/hyperlink" Target="https://docs.google.com/spreadsheets/d/1NiLWC2P93vOYhLmUW_D3xnNV-9HJraVhA0DrW4_m5jo/edit" TargetMode="External"/><Relationship Id="rId771" Type="http://schemas.openxmlformats.org/officeDocument/2006/relationships/hyperlink" Target="https://docs.google.com/spreadsheets/d/1yTBWEM4qeN7cMsdZosoLoINbcnjIbiM09amCGs1O-XI/edit" TargetMode="External"/><Relationship Id="rId327" Type="http://schemas.openxmlformats.org/officeDocument/2006/relationships/hyperlink" Target="https://docs.google.com/spreadsheets/d/1LGiIsREyb4-GdMHXfNtTTkfBPXxtYy4zobyDWot7xQA/edit" TargetMode="External"/><Relationship Id="rId569" Type="http://schemas.openxmlformats.org/officeDocument/2006/relationships/hyperlink" Target="https://docs.google.com/spreadsheets/d/1cdAyIuV3KTqwcGe6-vyb1X20cPPkDOOJQy9lqzxxIlg/edit" TargetMode="External"/><Relationship Id="rId326" Type="http://schemas.openxmlformats.org/officeDocument/2006/relationships/hyperlink" Target="https://docs.google.com/spreadsheets/d/1LGiIsREyb4-GdMHXfNtTTkfBPXxtYy4zobyDWot7xQA/edit" TargetMode="External"/><Relationship Id="rId568" Type="http://schemas.openxmlformats.org/officeDocument/2006/relationships/hyperlink" Target="https://docs.google.com/spreadsheets/d/1cdAyIuV3KTqwcGe6-vyb1X20cPPkDOOJQy9lqzxxIlg/edit" TargetMode="External"/><Relationship Id="rId325" Type="http://schemas.openxmlformats.org/officeDocument/2006/relationships/hyperlink" Target="https://docs.google.com/spreadsheets/d/1LGiIsREyb4-GdMHXfNtTTkfBPXxtYy4zobyDWot7xQA/edit" TargetMode="External"/><Relationship Id="rId567" Type="http://schemas.openxmlformats.org/officeDocument/2006/relationships/hyperlink" Target="https://docs.google.com/spreadsheets/d/1cdAyIuV3KTqwcGe6-vyb1X20cPPkDOOJQy9lqzxxIlg/edit" TargetMode="External"/><Relationship Id="rId324" Type="http://schemas.openxmlformats.org/officeDocument/2006/relationships/hyperlink" Target="https://docs.google.com/spreadsheets/d/1LGiIsREyb4-GdMHXfNtTTkfBPXxtYy4zobyDWot7xQA/edit" TargetMode="External"/><Relationship Id="rId566" Type="http://schemas.openxmlformats.org/officeDocument/2006/relationships/hyperlink" Target="https://docs.google.com/spreadsheets/d/1cdAyIuV3KTqwcGe6-vyb1X20cPPkDOOJQy9lqzxxIlg/edit" TargetMode="External"/><Relationship Id="rId329" Type="http://schemas.openxmlformats.org/officeDocument/2006/relationships/hyperlink" Target="https://docs.google.com/spreadsheets/d/1LGiIsREyb4-GdMHXfNtTTkfBPXxtYy4zobyDWot7xQA/edit" TargetMode="External"/><Relationship Id="rId328" Type="http://schemas.openxmlformats.org/officeDocument/2006/relationships/hyperlink" Target="https://docs.google.com/spreadsheets/d/1LGiIsREyb4-GdMHXfNtTTkfBPXxtYy4zobyDWot7xQA/edit" TargetMode="External"/><Relationship Id="rId561" Type="http://schemas.openxmlformats.org/officeDocument/2006/relationships/hyperlink" Target="https://docs.google.com/spreadsheets/d/1cdAyIuV3KTqwcGe6-vyb1X20cPPkDOOJQy9lqzxxIlg/edit" TargetMode="External"/><Relationship Id="rId560" Type="http://schemas.openxmlformats.org/officeDocument/2006/relationships/hyperlink" Target="https://docs.google.com/spreadsheets/d/1cdAyIuV3KTqwcGe6-vyb1X20cPPkDOOJQy9lqzxxIlg/edit" TargetMode="External"/><Relationship Id="rId323" Type="http://schemas.openxmlformats.org/officeDocument/2006/relationships/hyperlink" Target="https://docs.google.com/spreadsheets/d/1LGiIsREyb4-GdMHXfNtTTkfBPXxtYy4zobyDWot7xQA/edit" TargetMode="External"/><Relationship Id="rId565" Type="http://schemas.openxmlformats.org/officeDocument/2006/relationships/hyperlink" Target="https://docs.google.com/spreadsheets/d/1cdAyIuV3KTqwcGe6-vyb1X20cPPkDOOJQy9lqzxxIlg/edit" TargetMode="External"/><Relationship Id="rId322" Type="http://schemas.openxmlformats.org/officeDocument/2006/relationships/hyperlink" Target="https://docs.google.com/spreadsheets/d/1LGiIsREyb4-GdMHXfNtTTkfBPXxtYy4zobyDWot7xQA/edit" TargetMode="External"/><Relationship Id="rId564" Type="http://schemas.openxmlformats.org/officeDocument/2006/relationships/hyperlink" Target="https://docs.google.com/spreadsheets/d/1cdAyIuV3KTqwcGe6-vyb1X20cPPkDOOJQy9lqzxxIlg/edit" TargetMode="External"/><Relationship Id="rId321" Type="http://schemas.openxmlformats.org/officeDocument/2006/relationships/hyperlink" Target="https://docs.google.com/spreadsheets/d/1LGiIsREyb4-GdMHXfNtTTkfBPXxtYy4zobyDWot7xQA/edit" TargetMode="External"/><Relationship Id="rId563" Type="http://schemas.openxmlformats.org/officeDocument/2006/relationships/hyperlink" Target="https://docs.google.com/spreadsheets/d/1cdAyIuV3KTqwcGe6-vyb1X20cPPkDOOJQy9lqzxxIlg/edit" TargetMode="External"/><Relationship Id="rId320" Type="http://schemas.openxmlformats.org/officeDocument/2006/relationships/hyperlink" Target="https://docs.google.com/spreadsheets/d/1LGiIsREyb4-GdMHXfNtTTkfBPXxtYy4zobyDWot7xQA/edit" TargetMode="External"/><Relationship Id="rId562" Type="http://schemas.openxmlformats.org/officeDocument/2006/relationships/hyperlink" Target="https://docs.google.com/spreadsheets/d/1cdAyIuV3KTqwcGe6-vyb1X20cPPkDOOJQy9lqzxxIlg/edit" TargetMode="External"/><Relationship Id="rId316" Type="http://schemas.openxmlformats.org/officeDocument/2006/relationships/hyperlink" Target="https://docs.google.com/spreadsheets/d/1LGiIsREyb4-GdMHXfNtTTkfBPXxtYy4zobyDWot7xQA/edit" TargetMode="External"/><Relationship Id="rId558" Type="http://schemas.openxmlformats.org/officeDocument/2006/relationships/hyperlink" Target="https://docs.google.com/spreadsheets/d/1cdAyIuV3KTqwcGe6-vyb1X20cPPkDOOJQy9lqzxxIlg/edit" TargetMode="External"/><Relationship Id="rId315" Type="http://schemas.openxmlformats.org/officeDocument/2006/relationships/hyperlink" Target="https://docs.google.com/spreadsheets/d/1LGiIsREyb4-GdMHXfNtTTkfBPXxtYy4zobyDWot7xQA/edit" TargetMode="External"/><Relationship Id="rId557" Type="http://schemas.openxmlformats.org/officeDocument/2006/relationships/hyperlink" Target="https://docs.google.com/spreadsheets/d/1cdAyIuV3KTqwcGe6-vyb1X20cPPkDOOJQy9lqzxxIlg/edit" TargetMode="External"/><Relationship Id="rId799" Type="http://schemas.openxmlformats.org/officeDocument/2006/relationships/hyperlink" Target="https://docs.google.com/spreadsheets/d/1qGsXBQA7UK_C9LOomu1EW4PbhsRPWpCf9o9ByaiP77Y/edit" TargetMode="External"/><Relationship Id="rId314" Type="http://schemas.openxmlformats.org/officeDocument/2006/relationships/hyperlink" Target="https://docs.google.com/spreadsheets/d/1LGiIsREyb4-GdMHXfNtTTkfBPXxtYy4zobyDWot7xQA/edit" TargetMode="External"/><Relationship Id="rId556" Type="http://schemas.openxmlformats.org/officeDocument/2006/relationships/hyperlink" Target="https://docs.google.com/spreadsheets/d/1cdAyIuV3KTqwcGe6-vyb1X20cPPkDOOJQy9lqzxxIlg/edit" TargetMode="External"/><Relationship Id="rId798" Type="http://schemas.openxmlformats.org/officeDocument/2006/relationships/hyperlink" Target="https://docs.google.com/spreadsheets/d/1qGsXBQA7UK_C9LOomu1EW4PbhsRPWpCf9o9ByaiP77Y/edit" TargetMode="External"/><Relationship Id="rId313" Type="http://schemas.openxmlformats.org/officeDocument/2006/relationships/hyperlink" Target="https://docs.google.com/spreadsheets/d/1LGiIsREyb4-GdMHXfNtTTkfBPXxtYy4zobyDWot7xQA/edit" TargetMode="External"/><Relationship Id="rId555" Type="http://schemas.openxmlformats.org/officeDocument/2006/relationships/hyperlink" Target="https://docs.google.com/spreadsheets/d/1cdAyIuV3KTqwcGe6-vyb1X20cPPkDOOJQy9lqzxxIlg/edit" TargetMode="External"/><Relationship Id="rId797" Type="http://schemas.openxmlformats.org/officeDocument/2006/relationships/hyperlink" Target="https://docs.google.com/spreadsheets/d/1qGsXBQA7UK_C9LOomu1EW4PbhsRPWpCf9o9ByaiP77Y/edit" TargetMode="External"/><Relationship Id="rId319" Type="http://schemas.openxmlformats.org/officeDocument/2006/relationships/hyperlink" Target="https://docs.google.com/spreadsheets/d/1LGiIsREyb4-GdMHXfNtTTkfBPXxtYy4zobyDWot7xQA/edit" TargetMode="External"/><Relationship Id="rId318" Type="http://schemas.openxmlformats.org/officeDocument/2006/relationships/hyperlink" Target="https://docs.google.com/spreadsheets/d/1LGiIsREyb4-GdMHXfNtTTkfBPXxtYy4zobyDWot7xQA/edit" TargetMode="External"/><Relationship Id="rId317" Type="http://schemas.openxmlformats.org/officeDocument/2006/relationships/hyperlink" Target="https://docs.google.com/spreadsheets/d/1LGiIsREyb4-GdMHXfNtTTkfBPXxtYy4zobyDWot7xQA/edit" TargetMode="External"/><Relationship Id="rId559" Type="http://schemas.openxmlformats.org/officeDocument/2006/relationships/hyperlink" Target="https://docs.google.com/spreadsheets/d/1cdAyIuV3KTqwcGe6-vyb1X20cPPkDOOJQy9lqzxxIlg/edit" TargetMode="External"/><Relationship Id="rId550" Type="http://schemas.openxmlformats.org/officeDocument/2006/relationships/hyperlink" Target="https://docs.google.com/spreadsheets/d/1cdAyIuV3KTqwcGe6-vyb1X20cPPkDOOJQy9lqzxxIlg/edit" TargetMode="External"/><Relationship Id="rId792" Type="http://schemas.openxmlformats.org/officeDocument/2006/relationships/hyperlink" Target="https://docs.google.com/spreadsheets/d/1qGsXBQA7UK_C9LOomu1EW4PbhsRPWpCf9o9ByaiP77Y/edit" TargetMode="External"/><Relationship Id="rId791" Type="http://schemas.openxmlformats.org/officeDocument/2006/relationships/hyperlink" Target="https://docs.google.com/spreadsheets/d/1qGsXBQA7UK_C9LOomu1EW4PbhsRPWpCf9o9ByaiP77Y/edit" TargetMode="External"/><Relationship Id="rId790" Type="http://schemas.openxmlformats.org/officeDocument/2006/relationships/hyperlink" Target="https://docs.google.com/spreadsheets/d/1NiLWC2P93vOYhLmUW_D3xnNV-9HJraVhA0DrW4_m5jo/edit" TargetMode="External"/><Relationship Id="rId312" Type="http://schemas.openxmlformats.org/officeDocument/2006/relationships/hyperlink" Target="https://docs.google.com/spreadsheets/d/1LGiIsREyb4-GdMHXfNtTTkfBPXxtYy4zobyDWot7xQA/edit" TargetMode="External"/><Relationship Id="rId554" Type="http://schemas.openxmlformats.org/officeDocument/2006/relationships/hyperlink" Target="https://docs.google.com/spreadsheets/d/1cdAyIuV3KTqwcGe6-vyb1X20cPPkDOOJQy9lqzxxIlg/edit" TargetMode="External"/><Relationship Id="rId796" Type="http://schemas.openxmlformats.org/officeDocument/2006/relationships/hyperlink" Target="https://docs.google.com/spreadsheets/d/1qGsXBQA7UK_C9LOomu1EW4PbhsRPWpCf9o9ByaiP77Y/edit" TargetMode="External"/><Relationship Id="rId311" Type="http://schemas.openxmlformats.org/officeDocument/2006/relationships/hyperlink" Target="https://docs.google.com/spreadsheets/d/1LGiIsREyb4-GdMHXfNtTTkfBPXxtYy4zobyDWot7xQA/edit" TargetMode="External"/><Relationship Id="rId553" Type="http://schemas.openxmlformats.org/officeDocument/2006/relationships/hyperlink" Target="https://docs.google.com/spreadsheets/d/1cdAyIuV3KTqwcGe6-vyb1X20cPPkDOOJQy9lqzxxIlg/edit" TargetMode="External"/><Relationship Id="rId795" Type="http://schemas.openxmlformats.org/officeDocument/2006/relationships/hyperlink" Target="https://docs.google.com/spreadsheets/d/1qGsXBQA7UK_C9LOomu1EW4PbhsRPWpCf9o9ByaiP77Y/edit" TargetMode="External"/><Relationship Id="rId310" Type="http://schemas.openxmlformats.org/officeDocument/2006/relationships/hyperlink" Target="https://docs.google.com/spreadsheets/d/1LGiIsREyb4-GdMHXfNtTTkfBPXxtYy4zobyDWot7xQA/edit" TargetMode="External"/><Relationship Id="rId552" Type="http://schemas.openxmlformats.org/officeDocument/2006/relationships/hyperlink" Target="https://docs.google.com/spreadsheets/d/1cdAyIuV3KTqwcGe6-vyb1X20cPPkDOOJQy9lqzxxIlg/edit" TargetMode="External"/><Relationship Id="rId794" Type="http://schemas.openxmlformats.org/officeDocument/2006/relationships/hyperlink" Target="https://docs.google.com/spreadsheets/d/1qGsXBQA7UK_C9LOomu1EW4PbhsRPWpCf9o9ByaiP77Y/edit" TargetMode="External"/><Relationship Id="rId551" Type="http://schemas.openxmlformats.org/officeDocument/2006/relationships/hyperlink" Target="https://docs.google.com/spreadsheets/d/1cdAyIuV3KTqwcGe6-vyb1X20cPPkDOOJQy9lqzxxIlg/edit" TargetMode="External"/><Relationship Id="rId793" Type="http://schemas.openxmlformats.org/officeDocument/2006/relationships/hyperlink" Target="https://docs.google.com/spreadsheets/d/1qGsXBQA7UK_C9LOomu1EW4PbhsRPWpCf9o9ByaiP77Y/edit" TargetMode="External"/><Relationship Id="rId297" Type="http://schemas.openxmlformats.org/officeDocument/2006/relationships/hyperlink" Target="https://docs.google.com/spreadsheets/d/1LGiIsREyb4-GdMHXfNtTTkfBPXxtYy4zobyDWot7xQA/edit" TargetMode="External"/><Relationship Id="rId296" Type="http://schemas.openxmlformats.org/officeDocument/2006/relationships/hyperlink" Target="https://docs.google.com/spreadsheets/d/1LGiIsREyb4-GdMHXfNtTTkfBPXxtYy4zobyDWot7xQA/edit" TargetMode="External"/><Relationship Id="rId295" Type="http://schemas.openxmlformats.org/officeDocument/2006/relationships/hyperlink" Target="https://docs.google.com/spreadsheets/d/1LGiIsREyb4-GdMHXfNtTTkfBPXxtYy4zobyDWot7xQA/edit" TargetMode="External"/><Relationship Id="rId294" Type="http://schemas.openxmlformats.org/officeDocument/2006/relationships/hyperlink" Target="https://docs.google.com/spreadsheets/d/1LGiIsREyb4-GdMHXfNtTTkfBPXxtYy4zobyDWot7xQA/edit" TargetMode="External"/><Relationship Id="rId299" Type="http://schemas.openxmlformats.org/officeDocument/2006/relationships/hyperlink" Target="https://docs.google.com/spreadsheets/d/1LGiIsREyb4-GdMHXfNtTTkfBPXxtYy4zobyDWot7xQA/edit" TargetMode="External"/><Relationship Id="rId298" Type="http://schemas.openxmlformats.org/officeDocument/2006/relationships/hyperlink" Target="https://docs.google.com/spreadsheets/d/1LGiIsREyb4-GdMHXfNtTTkfBPXxtYy4zobyDWot7xQA/edit" TargetMode="External"/><Relationship Id="rId271" Type="http://schemas.openxmlformats.org/officeDocument/2006/relationships/hyperlink" Target="https://docs.google.com/spreadsheets/d/1LGiIsREyb4-GdMHXfNtTTkfBPXxtYy4zobyDWot7xQA/edit" TargetMode="External"/><Relationship Id="rId270" Type="http://schemas.openxmlformats.org/officeDocument/2006/relationships/hyperlink" Target="https://docs.google.com/spreadsheets/d/1LGiIsREyb4-GdMHXfNtTTkfBPXxtYy4zobyDWot7xQA/edit" TargetMode="External"/><Relationship Id="rId269" Type="http://schemas.openxmlformats.org/officeDocument/2006/relationships/hyperlink" Target="https://docs.google.com/spreadsheets/d/1LGiIsREyb4-GdMHXfNtTTkfBPXxtYy4zobyDWot7xQA/edit" TargetMode="External"/><Relationship Id="rId264" Type="http://schemas.openxmlformats.org/officeDocument/2006/relationships/hyperlink" Target="https://docs.google.com/spreadsheets/d/1LGiIsREyb4-GdMHXfNtTTkfBPXxtYy4zobyDWot7xQA/edit" TargetMode="External"/><Relationship Id="rId263" Type="http://schemas.openxmlformats.org/officeDocument/2006/relationships/hyperlink" Target="https://docs.google.com/spreadsheets/d/1LGiIsREyb4-GdMHXfNtTTkfBPXxtYy4zobyDWot7xQA/edit" TargetMode="External"/><Relationship Id="rId262" Type="http://schemas.openxmlformats.org/officeDocument/2006/relationships/hyperlink" Target="https://docs.google.com/spreadsheets/d/1LGiIsREyb4-GdMHXfNtTTkfBPXxtYy4zobyDWot7xQA/edit" TargetMode="External"/><Relationship Id="rId261" Type="http://schemas.openxmlformats.org/officeDocument/2006/relationships/hyperlink" Target="https://docs.google.com/spreadsheets/d/1LGiIsREyb4-GdMHXfNtTTkfBPXxtYy4zobyDWot7xQA/edit" TargetMode="External"/><Relationship Id="rId268" Type="http://schemas.openxmlformats.org/officeDocument/2006/relationships/hyperlink" Target="https://docs.google.com/spreadsheets/d/1LGiIsREyb4-GdMHXfNtTTkfBPXxtYy4zobyDWot7xQA/edit" TargetMode="External"/><Relationship Id="rId267" Type="http://schemas.openxmlformats.org/officeDocument/2006/relationships/hyperlink" Target="https://docs.google.com/spreadsheets/d/1LGiIsREyb4-GdMHXfNtTTkfBPXxtYy4zobyDWot7xQA/edit" TargetMode="External"/><Relationship Id="rId266" Type="http://schemas.openxmlformats.org/officeDocument/2006/relationships/hyperlink" Target="https://docs.google.com/spreadsheets/d/1LGiIsREyb4-GdMHXfNtTTkfBPXxtYy4zobyDWot7xQA/edit" TargetMode="External"/><Relationship Id="rId265" Type="http://schemas.openxmlformats.org/officeDocument/2006/relationships/hyperlink" Target="https://docs.google.com/spreadsheets/d/1LGiIsREyb4-GdMHXfNtTTkfBPXxtYy4zobyDWot7xQA/edit" TargetMode="External"/><Relationship Id="rId260" Type="http://schemas.openxmlformats.org/officeDocument/2006/relationships/hyperlink" Target="https://docs.google.com/spreadsheets/d/1LGiIsREyb4-GdMHXfNtTTkfBPXxtYy4zobyDWot7xQA/edit" TargetMode="External"/><Relationship Id="rId259" Type="http://schemas.openxmlformats.org/officeDocument/2006/relationships/hyperlink" Target="https://docs.google.com/spreadsheets/d/1LGiIsREyb4-GdMHXfNtTTkfBPXxtYy4zobyDWot7xQA/edit" TargetMode="External"/><Relationship Id="rId258" Type="http://schemas.openxmlformats.org/officeDocument/2006/relationships/hyperlink" Target="https://docs.google.com/spreadsheets/d/1LGiIsREyb4-GdMHXfNtTTkfBPXxtYy4zobyDWot7xQA/edit" TargetMode="External"/><Relationship Id="rId253" Type="http://schemas.openxmlformats.org/officeDocument/2006/relationships/hyperlink" Target="https://docs.google.com/spreadsheets/d/1LGiIsREyb4-GdMHXfNtTTkfBPXxtYy4zobyDWot7xQA/edit" TargetMode="External"/><Relationship Id="rId495" Type="http://schemas.openxmlformats.org/officeDocument/2006/relationships/hyperlink" Target="https://docs.google.com/spreadsheets/d/1cdAyIuV3KTqwcGe6-vyb1X20cPPkDOOJQy9lqzxxIlg/edit" TargetMode="External"/><Relationship Id="rId252" Type="http://schemas.openxmlformats.org/officeDocument/2006/relationships/hyperlink" Target="https://docs.google.com/spreadsheets/d/1LGiIsREyb4-GdMHXfNtTTkfBPXxtYy4zobyDWot7xQA/edit" TargetMode="External"/><Relationship Id="rId494" Type="http://schemas.openxmlformats.org/officeDocument/2006/relationships/hyperlink" Target="https://docs.google.com/spreadsheets/d/1cdAyIuV3KTqwcGe6-vyb1X20cPPkDOOJQy9lqzxxIlg/edit" TargetMode="External"/><Relationship Id="rId251" Type="http://schemas.openxmlformats.org/officeDocument/2006/relationships/hyperlink" Target="https://docs.google.com/spreadsheets/d/1LGiIsREyb4-GdMHXfNtTTkfBPXxtYy4zobyDWot7xQA/edit" TargetMode="External"/><Relationship Id="rId493" Type="http://schemas.openxmlformats.org/officeDocument/2006/relationships/hyperlink" Target="https://docs.google.com/spreadsheets/d/1cdAyIuV3KTqwcGe6-vyb1X20cPPkDOOJQy9lqzxxIlg/edit" TargetMode="External"/><Relationship Id="rId250" Type="http://schemas.openxmlformats.org/officeDocument/2006/relationships/hyperlink" Target="https://docs.google.com/spreadsheets/d/1LGiIsREyb4-GdMHXfNtTTkfBPXxtYy4zobyDWot7xQA/edit" TargetMode="External"/><Relationship Id="rId492" Type="http://schemas.openxmlformats.org/officeDocument/2006/relationships/hyperlink" Target="https://docs.google.com/spreadsheets/d/1cdAyIuV3KTqwcGe6-vyb1X20cPPkDOOJQy9lqzxxIlg/edit" TargetMode="External"/><Relationship Id="rId257" Type="http://schemas.openxmlformats.org/officeDocument/2006/relationships/hyperlink" Target="https://docs.google.com/spreadsheets/d/1LGiIsREyb4-GdMHXfNtTTkfBPXxtYy4zobyDWot7xQA/edit" TargetMode="External"/><Relationship Id="rId499" Type="http://schemas.openxmlformats.org/officeDocument/2006/relationships/hyperlink" Target="https://docs.google.com/spreadsheets/d/1cdAyIuV3KTqwcGe6-vyb1X20cPPkDOOJQy9lqzxxIlg/edit" TargetMode="External"/><Relationship Id="rId256" Type="http://schemas.openxmlformats.org/officeDocument/2006/relationships/hyperlink" Target="https://docs.google.com/spreadsheets/d/1LGiIsREyb4-GdMHXfNtTTkfBPXxtYy4zobyDWot7xQA/edit" TargetMode="External"/><Relationship Id="rId498" Type="http://schemas.openxmlformats.org/officeDocument/2006/relationships/hyperlink" Target="https://docs.google.com/spreadsheets/d/1cdAyIuV3KTqwcGe6-vyb1X20cPPkDOOJQy9lqzxxIlg/edit" TargetMode="External"/><Relationship Id="rId255" Type="http://schemas.openxmlformats.org/officeDocument/2006/relationships/hyperlink" Target="https://docs.google.com/spreadsheets/d/1LGiIsREyb4-GdMHXfNtTTkfBPXxtYy4zobyDWot7xQA/edit" TargetMode="External"/><Relationship Id="rId497" Type="http://schemas.openxmlformats.org/officeDocument/2006/relationships/hyperlink" Target="https://docs.google.com/spreadsheets/d/1cdAyIuV3KTqwcGe6-vyb1X20cPPkDOOJQy9lqzxxIlg/edit" TargetMode="External"/><Relationship Id="rId254" Type="http://schemas.openxmlformats.org/officeDocument/2006/relationships/hyperlink" Target="https://docs.google.com/spreadsheets/d/1LGiIsREyb4-GdMHXfNtTTkfBPXxtYy4zobyDWot7xQA/edit" TargetMode="External"/><Relationship Id="rId496" Type="http://schemas.openxmlformats.org/officeDocument/2006/relationships/hyperlink" Target="https://docs.google.com/spreadsheets/d/1cdAyIuV3KTqwcGe6-vyb1X20cPPkDOOJQy9lqzxxIlg/edit" TargetMode="External"/><Relationship Id="rId293" Type="http://schemas.openxmlformats.org/officeDocument/2006/relationships/hyperlink" Target="https://docs.google.com/spreadsheets/d/1LGiIsREyb4-GdMHXfNtTTkfBPXxtYy4zobyDWot7xQA/edit" TargetMode="External"/><Relationship Id="rId292" Type="http://schemas.openxmlformats.org/officeDocument/2006/relationships/hyperlink" Target="https://docs.google.com/spreadsheets/d/1LGiIsREyb4-GdMHXfNtTTkfBPXxtYy4zobyDWot7xQA/edit" TargetMode="External"/><Relationship Id="rId291" Type="http://schemas.openxmlformats.org/officeDocument/2006/relationships/hyperlink" Target="https://docs.google.com/spreadsheets/d/1LGiIsREyb4-GdMHXfNtTTkfBPXxtYy4zobyDWot7xQA/edit" TargetMode="External"/><Relationship Id="rId290" Type="http://schemas.openxmlformats.org/officeDocument/2006/relationships/hyperlink" Target="https://docs.google.com/spreadsheets/d/1LGiIsREyb4-GdMHXfNtTTkfBPXxtYy4zobyDWot7xQA/edit" TargetMode="External"/><Relationship Id="rId286" Type="http://schemas.openxmlformats.org/officeDocument/2006/relationships/hyperlink" Target="https://docs.google.com/spreadsheets/d/1LGiIsREyb4-GdMHXfNtTTkfBPXxtYy4zobyDWot7xQA/edit" TargetMode="External"/><Relationship Id="rId285" Type="http://schemas.openxmlformats.org/officeDocument/2006/relationships/hyperlink" Target="https://docs.google.com/spreadsheets/d/1LGiIsREyb4-GdMHXfNtTTkfBPXxtYy4zobyDWot7xQA/edit" TargetMode="External"/><Relationship Id="rId284" Type="http://schemas.openxmlformats.org/officeDocument/2006/relationships/hyperlink" Target="https://docs.google.com/spreadsheets/d/1LGiIsREyb4-GdMHXfNtTTkfBPXxtYy4zobyDWot7xQA/edit" TargetMode="External"/><Relationship Id="rId283" Type="http://schemas.openxmlformats.org/officeDocument/2006/relationships/hyperlink" Target="https://docs.google.com/spreadsheets/d/1LGiIsREyb4-GdMHXfNtTTkfBPXxtYy4zobyDWot7xQA/edit" TargetMode="External"/><Relationship Id="rId289" Type="http://schemas.openxmlformats.org/officeDocument/2006/relationships/hyperlink" Target="https://docs.google.com/spreadsheets/d/1LGiIsREyb4-GdMHXfNtTTkfBPXxtYy4zobyDWot7xQA/edit" TargetMode="External"/><Relationship Id="rId288" Type="http://schemas.openxmlformats.org/officeDocument/2006/relationships/hyperlink" Target="https://docs.google.com/spreadsheets/d/1LGiIsREyb4-GdMHXfNtTTkfBPXxtYy4zobyDWot7xQA/edit" TargetMode="External"/><Relationship Id="rId287" Type="http://schemas.openxmlformats.org/officeDocument/2006/relationships/hyperlink" Target="https://docs.google.com/spreadsheets/d/1LGiIsREyb4-GdMHXfNtTTkfBPXxtYy4zobyDWot7xQA/edit" TargetMode="External"/><Relationship Id="rId282" Type="http://schemas.openxmlformats.org/officeDocument/2006/relationships/hyperlink" Target="https://docs.google.com/spreadsheets/d/1LGiIsREyb4-GdMHXfNtTTkfBPXxtYy4zobyDWot7xQA/edit" TargetMode="External"/><Relationship Id="rId281" Type="http://schemas.openxmlformats.org/officeDocument/2006/relationships/hyperlink" Target="https://docs.google.com/spreadsheets/d/1LGiIsREyb4-GdMHXfNtTTkfBPXxtYy4zobyDWot7xQA/edit" TargetMode="External"/><Relationship Id="rId280" Type="http://schemas.openxmlformats.org/officeDocument/2006/relationships/hyperlink" Target="https://docs.google.com/spreadsheets/d/1LGiIsREyb4-GdMHXfNtTTkfBPXxtYy4zobyDWot7xQA/edit" TargetMode="External"/><Relationship Id="rId275" Type="http://schemas.openxmlformats.org/officeDocument/2006/relationships/hyperlink" Target="https://docs.google.com/spreadsheets/d/1LGiIsREyb4-GdMHXfNtTTkfBPXxtYy4zobyDWot7xQA/edit" TargetMode="External"/><Relationship Id="rId274" Type="http://schemas.openxmlformats.org/officeDocument/2006/relationships/hyperlink" Target="https://docs.google.com/spreadsheets/d/1LGiIsREyb4-GdMHXfNtTTkfBPXxtYy4zobyDWot7xQA/edit" TargetMode="External"/><Relationship Id="rId273" Type="http://schemas.openxmlformats.org/officeDocument/2006/relationships/hyperlink" Target="https://docs.google.com/spreadsheets/d/1LGiIsREyb4-GdMHXfNtTTkfBPXxtYy4zobyDWot7xQA/edit" TargetMode="External"/><Relationship Id="rId272" Type="http://schemas.openxmlformats.org/officeDocument/2006/relationships/hyperlink" Target="https://docs.google.com/spreadsheets/d/1LGiIsREyb4-GdMHXfNtTTkfBPXxtYy4zobyDWot7xQA/edit" TargetMode="External"/><Relationship Id="rId279" Type="http://schemas.openxmlformats.org/officeDocument/2006/relationships/hyperlink" Target="https://docs.google.com/spreadsheets/d/1LGiIsREyb4-GdMHXfNtTTkfBPXxtYy4zobyDWot7xQA/edit" TargetMode="External"/><Relationship Id="rId278" Type="http://schemas.openxmlformats.org/officeDocument/2006/relationships/hyperlink" Target="https://docs.google.com/spreadsheets/d/1LGiIsREyb4-GdMHXfNtTTkfBPXxtYy4zobyDWot7xQA/edit" TargetMode="External"/><Relationship Id="rId277" Type="http://schemas.openxmlformats.org/officeDocument/2006/relationships/hyperlink" Target="https://docs.google.com/spreadsheets/d/1LGiIsREyb4-GdMHXfNtTTkfBPXxtYy4zobyDWot7xQA/edit" TargetMode="External"/><Relationship Id="rId276" Type="http://schemas.openxmlformats.org/officeDocument/2006/relationships/hyperlink" Target="https://docs.google.com/spreadsheets/d/1LGiIsREyb4-GdMHXfNtTTkfBPXxtYy4zobyDWot7xQA/edit" TargetMode="External"/><Relationship Id="rId629" Type="http://schemas.openxmlformats.org/officeDocument/2006/relationships/hyperlink" Target="https://docs.google.com/spreadsheets/d/1cdAyIuV3KTqwcGe6-vyb1X20cPPkDOOJQy9lqzxxIlg/edit" TargetMode="External"/><Relationship Id="rId624" Type="http://schemas.openxmlformats.org/officeDocument/2006/relationships/hyperlink" Target="https://docs.google.com/spreadsheets/d/1cdAyIuV3KTqwcGe6-vyb1X20cPPkDOOJQy9lqzxxIlg/edit" TargetMode="External"/><Relationship Id="rId623" Type="http://schemas.openxmlformats.org/officeDocument/2006/relationships/hyperlink" Target="https://docs.google.com/spreadsheets/d/1cdAyIuV3KTqwcGe6-vyb1X20cPPkDOOJQy9lqzxxIlg/edit" TargetMode="External"/><Relationship Id="rId622" Type="http://schemas.openxmlformats.org/officeDocument/2006/relationships/hyperlink" Target="https://docs.google.com/spreadsheets/d/1cdAyIuV3KTqwcGe6-vyb1X20cPPkDOOJQy9lqzxxIlg/edit" TargetMode="External"/><Relationship Id="rId621" Type="http://schemas.openxmlformats.org/officeDocument/2006/relationships/hyperlink" Target="https://docs.google.com/spreadsheets/d/1cdAyIuV3KTqwcGe6-vyb1X20cPPkDOOJQy9lqzxxIlg/edit" TargetMode="External"/><Relationship Id="rId628" Type="http://schemas.openxmlformats.org/officeDocument/2006/relationships/hyperlink" Target="https://docs.google.com/spreadsheets/d/1cdAyIuV3KTqwcGe6-vyb1X20cPPkDOOJQy9lqzxxIlg/edit" TargetMode="External"/><Relationship Id="rId627" Type="http://schemas.openxmlformats.org/officeDocument/2006/relationships/hyperlink" Target="https://docs.google.com/spreadsheets/d/1cdAyIuV3KTqwcGe6-vyb1X20cPPkDOOJQy9lqzxxIlg/edit" TargetMode="External"/><Relationship Id="rId626" Type="http://schemas.openxmlformats.org/officeDocument/2006/relationships/hyperlink" Target="https://docs.google.com/spreadsheets/d/1cdAyIuV3KTqwcGe6-vyb1X20cPPkDOOJQy9lqzxxIlg/edit" TargetMode="External"/><Relationship Id="rId625" Type="http://schemas.openxmlformats.org/officeDocument/2006/relationships/hyperlink" Target="https://docs.google.com/spreadsheets/d/1cdAyIuV3KTqwcGe6-vyb1X20cPPkDOOJQy9lqzxxIlg/edit" TargetMode="External"/><Relationship Id="rId620" Type="http://schemas.openxmlformats.org/officeDocument/2006/relationships/hyperlink" Target="https://docs.google.com/spreadsheets/d/1cdAyIuV3KTqwcGe6-vyb1X20cPPkDOOJQy9lqzxxIlg/edit" TargetMode="External"/><Relationship Id="rId619" Type="http://schemas.openxmlformats.org/officeDocument/2006/relationships/hyperlink" Target="https://docs.google.com/spreadsheets/d/1cdAyIuV3KTqwcGe6-vyb1X20cPPkDOOJQy9lqzxxIlg/edit" TargetMode="External"/><Relationship Id="rId618" Type="http://schemas.openxmlformats.org/officeDocument/2006/relationships/hyperlink" Target="https://docs.google.com/spreadsheets/d/1cdAyIuV3KTqwcGe6-vyb1X20cPPkDOOJQy9lqzxxIlg/edit" TargetMode="External"/><Relationship Id="rId613" Type="http://schemas.openxmlformats.org/officeDocument/2006/relationships/hyperlink" Target="https://docs.google.com/spreadsheets/d/1cdAyIuV3KTqwcGe6-vyb1X20cPPkDOOJQy9lqzxxIlg/edit" TargetMode="External"/><Relationship Id="rId612" Type="http://schemas.openxmlformats.org/officeDocument/2006/relationships/hyperlink" Target="https://docs.google.com/spreadsheets/d/1cdAyIuV3KTqwcGe6-vyb1X20cPPkDOOJQy9lqzxxIlg/edit" TargetMode="External"/><Relationship Id="rId611" Type="http://schemas.openxmlformats.org/officeDocument/2006/relationships/hyperlink" Target="https://docs.google.com/spreadsheets/d/1cdAyIuV3KTqwcGe6-vyb1X20cPPkDOOJQy9lqzxxIlg/edit" TargetMode="External"/><Relationship Id="rId610" Type="http://schemas.openxmlformats.org/officeDocument/2006/relationships/hyperlink" Target="https://docs.google.com/spreadsheets/d/1cdAyIuV3KTqwcGe6-vyb1X20cPPkDOOJQy9lqzxxIlg/edit" TargetMode="External"/><Relationship Id="rId617" Type="http://schemas.openxmlformats.org/officeDocument/2006/relationships/hyperlink" Target="https://docs.google.com/spreadsheets/d/1cdAyIuV3KTqwcGe6-vyb1X20cPPkDOOJQy9lqzxxIlg/edit" TargetMode="External"/><Relationship Id="rId616" Type="http://schemas.openxmlformats.org/officeDocument/2006/relationships/hyperlink" Target="https://docs.google.com/spreadsheets/d/1cdAyIuV3KTqwcGe6-vyb1X20cPPkDOOJQy9lqzxxIlg/edit" TargetMode="External"/><Relationship Id="rId615" Type="http://schemas.openxmlformats.org/officeDocument/2006/relationships/hyperlink" Target="https://docs.google.com/spreadsheets/d/1cdAyIuV3KTqwcGe6-vyb1X20cPPkDOOJQy9lqzxxIlg/edit" TargetMode="External"/><Relationship Id="rId614" Type="http://schemas.openxmlformats.org/officeDocument/2006/relationships/hyperlink" Target="https://docs.google.com/spreadsheets/d/1cdAyIuV3KTqwcGe6-vyb1X20cPPkDOOJQy9lqzxxIlg/edit" TargetMode="External"/><Relationship Id="rId409" Type="http://schemas.openxmlformats.org/officeDocument/2006/relationships/hyperlink" Target="https://docs.google.com/spreadsheets/d/1cdAyIuV3KTqwcGe6-vyb1X20cPPkDOOJQy9lqzxxIlg/edit" TargetMode="External"/><Relationship Id="rId404" Type="http://schemas.openxmlformats.org/officeDocument/2006/relationships/hyperlink" Target="https://docs.google.com/spreadsheets/d/1cdAyIuV3KTqwcGe6-vyb1X20cPPkDOOJQy9lqzxxIlg/edit" TargetMode="External"/><Relationship Id="rId646" Type="http://schemas.openxmlformats.org/officeDocument/2006/relationships/hyperlink" Target="https://docs.google.com/spreadsheets/d/1cdAyIuV3KTqwcGe6-vyb1X20cPPkDOOJQy9lqzxxIlg/edit" TargetMode="External"/><Relationship Id="rId403" Type="http://schemas.openxmlformats.org/officeDocument/2006/relationships/hyperlink" Target="https://docs.google.com/spreadsheets/d/1cdAyIuV3KTqwcGe6-vyb1X20cPPkDOOJQy9lqzxxIlg/edit" TargetMode="External"/><Relationship Id="rId645" Type="http://schemas.openxmlformats.org/officeDocument/2006/relationships/hyperlink" Target="https://docs.google.com/spreadsheets/d/1cdAyIuV3KTqwcGe6-vyb1X20cPPkDOOJQy9lqzxxIlg/edit" TargetMode="External"/><Relationship Id="rId402" Type="http://schemas.openxmlformats.org/officeDocument/2006/relationships/hyperlink" Target="https://docs.google.com/spreadsheets/d/1cdAyIuV3KTqwcGe6-vyb1X20cPPkDOOJQy9lqzxxIlg/edit" TargetMode="External"/><Relationship Id="rId644" Type="http://schemas.openxmlformats.org/officeDocument/2006/relationships/hyperlink" Target="https://docs.google.com/spreadsheets/d/1cdAyIuV3KTqwcGe6-vyb1X20cPPkDOOJQy9lqzxxIlg/edit" TargetMode="External"/><Relationship Id="rId401" Type="http://schemas.openxmlformats.org/officeDocument/2006/relationships/hyperlink" Target="https://docs.google.com/spreadsheets/d/1cdAyIuV3KTqwcGe6-vyb1X20cPPkDOOJQy9lqzxxIlg/edit" TargetMode="External"/><Relationship Id="rId643" Type="http://schemas.openxmlformats.org/officeDocument/2006/relationships/hyperlink" Target="https://docs.google.com/spreadsheets/d/1cdAyIuV3KTqwcGe6-vyb1X20cPPkDOOJQy9lqzxxIlg/edit" TargetMode="External"/><Relationship Id="rId408" Type="http://schemas.openxmlformats.org/officeDocument/2006/relationships/hyperlink" Target="https://docs.google.com/spreadsheets/d/1cdAyIuV3KTqwcGe6-vyb1X20cPPkDOOJQy9lqzxxIlg/edit" TargetMode="External"/><Relationship Id="rId407" Type="http://schemas.openxmlformats.org/officeDocument/2006/relationships/hyperlink" Target="https://docs.google.com/spreadsheets/d/1cdAyIuV3KTqwcGe6-vyb1X20cPPkDOOJQy9lqzxxIlg/edit" TargetMode="External"/><Relationship Id="rId649" Type="http://schemas.openxmlformats.org/officeDocument/2006/relationships/hyperlink" Target="https://docs.google.com/spreadsheets/d/1cdAyIuV3KTqwcGe6-vyb1X20cPPkDOOJQy9lqzxxIlg/edit" TargetMode="External"/><Relationship Id="rId406" Type="http://schemas.openxmlformats.org/officeDocument/2006/relationships/hyperlink" Target="https://docs.google.com/spreadsheets/d/1cdAyIuV3KTqwcGe6-vyb1X20cPPkDOOJQy9lqzxxIlg/edit" TargetMode="External"/><Relationship Id="rId648" Type="http://schemas.openxmlformats.org/officeDocument/2006/relationships/hyperlink" Target="https://docs.google.com/spreadsheets/d/1cdAyIuV3KTqwcGe6-vyb1X20cPPkDOOJQy9lqzxxIlg/edit" TargetMode="External"/><Relationship Id="rId405" Type="http://schemas.openxmlformats.org/officeDocument/2006/relationships/hyperlink" Target="https://docs.google.com/spreadsheets/d/1cdAyIuV3KTqwcGe6-vyb1X20cPPkDOOJQy9lqzxxIlg/edit" TargetMode="External"/><Relationship Id="rId647" Type="http://schemas.openxmlformats.org/officeDocument/2006/relationships/hyperlink" Target="https://docs.google.com/spreadsheets/d/1cdAyIuV3KTqwcGe6-vyb1X20cPPkDOOJQy9lqzxxIlg/edit" TargetMode="External"/><Relationship Id="rId400" Type="http://schemas.openxmlformats.org/officeDocument/2006/relationships/hyperlink" Target="https://docs.google.com/spreadsheets/d/1cdAyIuV3KTqwcGe6-vyb1X20cPPkDOOJQy9lqzxxIlg/edit" TargetMode="External"/><Relationship Id="rId642" Type="http://schemas.openxmlformats.org/officeDocument/2006/relationships/hyperlink" Target="https://docs.google.com/spreadsheets/d/1cdAyIuV3KTqwcGe6-vyb1X20cPPkDOOJQy9lqzxxIlg/edit" TargetMode="External"/><Relationship Id="rId641" Type="http://schemas.openxmlformats.org/officeDocument/2006/relationships/hyperlink" Target="https://docs.google.com/spreadsheets/d/1cdAyIuV3KTqwcGe6-vyb1X20cPPkDOOJQy9lqzxxIlg/edit" TargetMode="External"/><Relationship Id="rId640" Type="http://schemas.openxmlformats.org/officeDocument/2006/relationships/hyperlink" Target="https://docs.google.com/spreadsheets/d/1cdAyIuV3KTqwcGe6-vyb1X20cPPkDOOJQy9lqzxxIlg/edit" TargetMode="External"/><Relationship Id="rId635" Type="http://schemas.openxmlformats.org/officeDocument/2006/relationships/hyperlink" Target="https://docs.google.com/spreadsheets/d/1cdAyIuV3KTqwcGe6-vyb1X20cPPkDOOJQy9lqzxxIlg/edit" TargetMode="External"/><Relationship Id="rId634" Type="http://schemas.openxmlformats.org/officeDocument/2006/relationships/hyperlink" Target="https://docs.google.com/spreadsheets/d/1cdAyIuV3KTqwcGe6-vyb1X20cPPkDOOJQy9lqzxxIlg/edit" TargetMode="External"/><Relationship Id="rId633" Type="http://schemas.openxmlformats.org/officeDocument/2006/relationships/hyperlink" Target="https://docs.google.com/spreadsheets/d/1cdAyIuV3KTqwcGe6-vyb1X20cPPkDOOJQy9lqzxxIlg/edit" TargetMode="External"/><Relationship Id="rId632" Type="http://schemas.openxmlformats.org/officeDocument/2006/relationships/hyperlink" Target="https://docs.google.com/spreadsheets/d/1cdAyIuV3KTqwcGe6-vyb1X20cPPkDOOJQy9lqzxxIlg/edit" TargetMode="External"/><Relationship Id="rId639" Type="http://schemas.openxmlformats.org/officeDocument/2006/relationships/hyperlink" Target="https://docs.google.com/spreadsheets/d/1cdAyIuV3KTqwcGe6-vyb1X20cPPkDOOJQy9lqzxxIlg/edit" TargetMode="External"/><Relationship Id="rId638" Type="http://schemas.openxmlformats.org/officeDocument/2006/relationships/hyperlink" Target="https://docs.google.com/spreadsheets/d/1cdAyIuV3KTqwcGe6-vyb1X20cPPkDOOJQy9lqzxxIlg/edit" TargetMode="External"/><Relationship Id="rId637" Type="http://schemas.openxmlformats.org/officeDocument/2006/relationships/hyperlink" Target="https://docs.google.com/spreadsheets/d/1cdAyIuV3KTqwcGe6-vyb1X20cPPkDOOJQy9lqzxxIlg/edit" TargetMode="External"/><Relationship Id="rId636" Type="http://schemas.openxmlformats.org/officeDocument/2006/relationships/hyperlink" Target="https://docs.google.com/spreadsheets/d/1cdAyIuV3KTqwcGe6-vyb1X20cPPkDOOJQy9lqzxxIlg/edit" TargetMode="External"/><Relationship Id="rId631" Type="http://schemas.openxmlformats.org/officeDocument/2006/relationships/hyperlink" Target="https://docs.google.com/spreadsheets/d/1cdAyIuV3KTqwcGe6-vyb1X20cPPkDOOJQy9lqzxxIlg/edit" TargetMode="External"/><Relationship Id="rId630" Type="http://schemas.openxmlformats.org/officeDocument/2006/relationships/hyperlink" Target="https://docs.google.com/spreadsheets/d/1cdAyIuV3KTqwcGe6-vyb1X20cPPkDOOJQy9lqzxxIlg/edit" TargetMode="External"/><Relationship Id="rId818" Type="http://schemas.openxmlformats.org/officeDocument/2006/relationships/drawing" Target="../drawings/drawing6.xml"/><Relationship Id="rId817" Type="http://schemas.openxmlformats.org/officeDocument/2006/relationships/hyperlink" Target="https://docs.google.com/spreadsheets/d/1qGsXBQA7UK_C9LOomu1EW4PbhsRPWpCf9o9ByaiP77Y/edit" TargetMode="External"/><Relationship Id="rId816" Type="http://schemas.openxmlformats.org/officeDocument/2006/relationships/hyperlink" Target="https://docs.google.com/spreadsheets/d/1qGsXBQA7UK_C9LOomu1EW4PbhsRPWpCf9o9ByaiP77Y/edit" TargetMode="External"/><Relationship Id="rId811" Type="http://schemas.openxmlformats.org/officeDocument/2006/relationships/hyperlink" Target="https://docs.google.com/spreadsheets/d/1qGsXBQA7UK_C9LOomu1EW4PbhsRPWpCf9o9ByaiP77Y/edit" TargetMode="External"/><Relationship Id="rId810" Type="http://schemas.openxmlformats.org/officeDocument/2006/relationships/hyperlink" Target="https://docs.google.com/spreadsheets/d/1qGsXBQA7UK_C9LOomu1EW4PbhsRPWpCf9o9ByaiP77Y/edit" TargetMode="External"/><Relationship Id="rId815" Type="http://schemas.openxmlformats.org/officeDocument/2006/relationships/hyperlink" Target="https://docs.google.com/spreadsheets/d/1qGsXBQA7UK_C9LOomu1EW4PbhsRPWpCf9o9ByaiP77Y/edit" TargetMode="External"/><Relationship Id="rId814" Type="http://schemas.openxmlformats.org/officeDocument/2006/relationships/hyperlink" Target="https://docs.google.com/spreadsheets/d/1qGsXBQA7UK_C9LOomu1EW4PbhsRPWpCf9o9ByaiP77Y/edit" TargetMode="External"/><Relationship Id="rId813" Type="http://schemas.openxmlformats.org/officeDocument/2006/relationships/hyperlink" Target="https://docs.google.com/spreadsheets/d/1qGsXBQA7UK_C9LOomu1EW4PbhsRPWpCf9o9ByaiP77Y/edit" TargetMode="External"/><Relationship Id="rId812" Type="http://schemas.openxmlformats.org/officeDocument/2006/relationships/hyperlink" Target="https://docs.google.com/spreadsheets/d/1qGsXBQA7UK_C9LOomu1EW4PbhsRPWpCf9o9ByaiP77Y/edit" TargetMode="External"/><Relationship Id="rId609" Type="http://schemas.openxmlformats.org/officeDocument/2006/relationships/hyperlink" Target="https://docs.google.com/spreadsheets/d/1cdAyIuV3KTqwcGe6-vyb1X20cPPkDOOJQy9lqzxxIlg/edit" TargetMode="External"/><Relationship Id="rId608" Type="http://schemas.openxmlformats.org/officeDocument/2006/relationships/hyperlink" Target="https://docs.google.com/spreadsheets/d/1cdAyIuV3KTqwcGe6-vyb1X20cPPkDOOJQy9lqzxxIlg/edit" TargetMode="External"/><Relationship Id="rId607" Type="http://schemas.openxmlformats.org/officeDocument/2006/relationships/hyperlink" Target="https://docs.google.com/spreadsheets/d/1cdAyIuV3KTqwcGe6-vyb1X20cPPkDOOJQy9lqzxxIlg/edit" TargetMode="External"/><Relationship Id="rId602" Type="http://schemas.openxmlformats.org/officeDocument/2006/relationships/hyperlink" Target="https://docs.google.com/spreadsheets/d/1cdAyIuV3KTqwcGe6-vyb1X20cPPkDOOJQy9lqzxxIlg/edit" TargetMode="External"/><Relationship Id="rId601" Type="http://schemas.openxmlformats.org/officeDocument/2006/relationships/hyperlink" Target="https://docs.google.com/spreadsheets/d/1cdAyIuV3KTqwcGe6-vyb1X20cPPkDOOJQy9lqzxxIlg/edit" TargetMode="External"/><Relationship Id="rId600" Type="http://schemas.openxmlformats.org/officeDocument/2006/relationships/hyperlink" Target="https://docs.google.com/spreadsheets/d/1cdAyIuV3KTqwcGe6-vyb1X20cPPkDOOJQy9lqzxxIlg/edit" TargetMode="External"/><Relationship Id="rId606" Type="http://schemas.openxmlformats.org/officeDocument/2006/relationships/hyperlink" Target="https://docs.google.com/spreadsheets/d/1cdAyIuV3KTqwcGe6-vyb1X20cPPkDOOJQy9lqzxxIlg/edit" TargetMode="External"/><Relationship Id="rId605" Type="http://schemas.openxmlformats.org/officeDocument/2006/relationships/hyperlink" Target="https://docs.google.com/spreadsheets/d/1cdAyIuV3KTqwcGe6-vyb1X20cPPkDOOJQy9lqzxxIlg/edit" TargetMode="External"/><Relationship Id="rId604" Type="http://schemas.openxmlformats.org/officeDocument/2006/relationships/hyperlink" Target="https://docs.google.com/spreadsheets/d/1cdAyIuV3KTqwcGe6-vyb1X20cPPkDOOJQy9lqzxxIlg/edit" TargetMode="External"/><Relationship Id="rId603" Type="http://schemas.openxmlformats.org/officeDocument/2006/relationships/hyperlink" Target="https://docs.google.com/spreadsheets/d/1cdAyIuV3KTqwcGe6-vyb1X20cPPkDOOJQy9lqzxxIlg/edit" TargetMode="External"/><Relationship Id="rId228" Type="http://schemas.openxmlformats.org/officeDocument/2006/relationships/hyperlink" Target="https://docs.google.com/spreadsheets/d/1LGiIsREyb4-GdMHXfNtTTkfBPXxtYy4zobyDWot7xQA/edit" TargetMode="External"/><Relationship Id="rId227" Type="http://schemas.openxmlformats.org/officeDocument/2006/relationships/hyperlink" Target="https://docs.google.com/spreadsheets/d/1LGiIsREyb4-GdMHXfNtTTkfBPXxtYy4zobyDWot7xQA/edit" TargetMode="External"/><Relationship Id="rId469" Type="http://schemas.openxmlformats.org/officeDocument/2006/relationships/hyperlink" Target="https://docs.google.com/spreadsheets/d/1cdAyIuV3KTqwcGe6-vyb1X20cPPkDOOJQy9lqzxxIlg/edit" TargetMode="External"/><Relationship Id="rId226" Type="http://schemas.openxmlformats.org/officeDocument/2006/relationships/hyperlink" Target="https://docs.google.com/spreadsheets/d/1LGiIsREyb4-GdMHXfNtTTkfBPXxtYy4zobyDWot7xQA/edit" TargetMode="External"/><Relationship Id="rId468" Type="http://schemas.openxmlformats.org/officeDocument/2006/relationships/hyperlink" Target="https://docs.google.com/spreadsheets/d/1cdAyIuV3KTqwcGe6-vyb1X20cPPkDOOJQy9lqzxxIlg/edit" TargetMode="External"/><Relationship Id="rId225" Type="http://schemas.openxmlformats.org/officeDocument/2006/relationships/hyperlink" Target="https://docs.google.com/spreadsheets/d/1LGiIsREyb4-GdMHXfNtTTkfBPXxtYy4zobyDWot7xQA/edit" TargetMode="External"/><Relationship Id="rId467" Type="http://schemas.openxmlformats.org/officeDocument/2006/relationships/hyperlink" Target="https://docs.google.com/spreadsheets/d/1cdAyIuV3KTqwcGe6-vyb1X20cPPkDOOJQy9lqzxxIlg/edit" TargetMode="External"/><Relationship Id="rId229" Type="http://schemas.openxmlformats.org/officeDocument/2006/relationships/hyperlink" Target="https://docs.google.com/spreadsheets/d/1LGiIsREyb4-GdMHXfNtTTkfBPXxtYy4zobyDWot7xQA/edit" TargetMode="External"/><Relationship Id="rId220" Type="http://schemas.openxmlformats.org/officeDocument/2006/relationships/hyperlink" Target="https://docs.google.com/spreadsheets/d/1LGiIsREyb4-GdMHXfNtTTkfBPXxtYy4zobyDWot7xQA/edit" TargetMode="External"/><Relationship Id="rId462" Type="http://schemas.openxmlformats.org/officeDocument/2006/relationships/hyperlink" Target="https://docs.google.com/spreadsheets/d/1cdAyIuV3KTqwcGe6-vyb1X20cPPkDOOJQy9lqzxxIlg/edit" TargetMode="External"/><Relationship Id="rId461" Type="http://schemas.openxmlformats.org/officeDocument/2006/relationships/hyperlink" Target="https://docs.google.com/spreadsheets/d/1cdAyIuV3KTqwcGe6-vyb1X20cPPkDOOJQy9lqzxxIlg/edit" TargetMode="External"/><Relationship Id="rId460" Type="http://schemas.openxmlformats.org/officeDocument/2006/relationships/hyperlink" Target="https://docs.google.com/spreadsheets/d/1cdAyIuV3KTqwcGe6-vyb1X20cPPkDOOJQy9lqzxxIlg/edit" TargetMode="External"/><Relationship Id="rId224" Type="http://schemas.openxmlformats.org/officeDocument/2006/relationships/hyperlink" Target="https://docs.google.com/spreadsheets/d/1LGiIsREyb4-GdMHXfNtTTkfBPXxtYy4zobyDWot7xQA/edit" TargetMode="External"/><Relationship Id="rId466" Type="http://schemas.openxmlformats.org/officeDocument/2006/relationships/hyperlink" Target="https://docs.google.com/spreadsheets/d/1cdAyIuV3KTqwcGe6-vyb1X20cPPkDOOJQy9lqzxxIlg/edit" TargetMode="External"/><Relationship Id="rId223" Type="http://schemas.openxmlformats.org/officeDocument/2006/relationships/hyperlink" Target="https://docs.google.com/spreadsheets/d/1LGiIsREyb4-GdMHXfNtTTkfBPXxtYy4zobyDWot7xQA/edit" TargetMode="External"/><Relationship Id="rId465" Type="http://schemas.openxmlformats.org/officeDocument/2006/relationships/hyperlink" Target="https://docs.google.com/spreadsheets/d/1cdAyIuV3KTqwcGe6-vyb1X20cPPkDOOJQy9lqzxxIlg/edit" TargetMode="External"/><Relationship Id="rId222" Type="http://schemas.openxmlformats.org/officeDocument/2006/relationships/hyperlink" Target="https://docs.google.com/spreadsheets/d/1LGiIsREyb4-GdMHXfNtTTkfBPXxtYy4zobyDWot7xQA/edit" TargetMode="External"/><Relationship Id="rId464" Type="http://schemas.openxmlformats.org/officeDocument/2006/relationships/hyperlink" Target="https://docs.google.com/spreadsheets/d/1cdAyIuV3KTqwcGe6-vyb1X20cPPkDOOJQy9lqzxxIlg/edit" TargetMode="External"/><Relationship Id="rId221" Type="http://schemas.openxmlformats.org/officeDocument/2006/relationships/hyperlink" Target="https://docs.google.com/spreadsheets/d/1LGiIsREyb4-GdMHXfNtTTkfBPXxtYy4zobyDWot7xQA/edit" TargetMode="External"/><Relationship Id="rId463" Type="http://schemas.openxmlformats.org/officeDocument/2006/relationships/hyperlink" Target="https://docs.google.com/spreadsheets/d/1cdAyIuV3KTqwcGe6-vyb1X20cPPkDOOJQy9lqzxxIlg/edit" TargetMode="External"/><Relationship Id="rId217" Type="http://schemas.openxmlformats.org/officeDocument/2006/relationships/hyperlink" Target="https://docs.google.com/spreadsheets/d/1LGiIsREyb4-GdMHXfNtTTkfBPXxtYy4zobyDWot7xQA/edit" TargetMode="External"/><Relationship Id="rId459" Type="http://schemas.openxmlformats.org/officeDocument/2006/relationships/hyperlink" Target="https://docs.google.com/spreadsheets/d/1cdAyIuV3KTqwcGe6-vyb1X20cPPkDOOJQy9lqzxxIlg/edit" TargetMode="External"/><Relationship Id="rId216" Type="http://schemas.openxmlformats.org/officeDocument/2006/relationships/hyperlink" Target="https://docs.google.com/spreadsheets/d/1LGiIsREyb4-GdMHXfNtTTkfBPXxtYy4zobyDWot7xQA/edit" TargetMode="External"/><Relationship Id="rId458" Type="http://schemas.openxmlformats.org/officeDocument/2006/relationships/hyperlink" Target="https://docs.google.com/spreadsheets/d/1cdAyIuV3KTqwcGe6-vyb1X20cPPkDOOJQy9lqzxxIlg/edit" TargetMode="External"/><Relationship Id="rId215" Type="http://schemas.openxmlformats.org/officeDocument/2006/relationships/hyperlink" Target="https://docs.google.com/spreadsheets/d/1LGiIsREyb4-GdMHXfNtTTkfBPXxtYy4zobyDWot7xQA/edit" TargetMode="External"/><Relationship Id="rId457" Type="http://schemas.openxmlformats.org/officeDocument/2006/relationships/hyperlink" Target="https://docs.google.com/spreadsheets/d/1cdAyIuV3KTqwcGe6-vyb1X20cPPkDOOJQy9lqzxxIlg/edit" TargetMode="External"/><Relationship Id="rId699" Type="http://schemas.openxmlformats.org/officeDocument/2006/relationships/hyperlink" Target="https://docs.google.com/spreadsheets/d/1cdAyIuV3KTqwcGe6-vyb1X20cPPkDOOJQy9lqzxxIlg/edit" TargetMode="External"/><Relationship Id="rId214" Type="http://schemas.openxmlformats.org/officeDocument/2006/relationships/hyperlink" Target="https://docs.google.com/spreadsheets/d/1LGiIsREyb4-GdMHXfNtTTkfBPXxtYy4zobyDWot7xQA/edit" TargetMode="External"/><Relationship Id="rId456" Type="http://schemas.openxmlformats.org/officeDocument/2006/relationships/hyperlink" Target="https://docs.google.com/spreadsheets/d/1cdAyIuV3KTqwcGe6-vyb1X20cPPkDOOJQy9lqzxxIlg/edit" TargetMode="External"/><Relationship Id="rId698" Type="http://schemas.openxmlformats.org/officeDocument/2006/relationships/hyperlink" Target="https://docs.google.com/spreadsheets/d/1cdAyIuV3KTqwcGe6-vyb1X20cPPkDOOJQy9lqzxxIlg/edit" TargetMode="External"/><Relationship Id="rId219" Type="http://schemas.openxmlformats.org/officeDocument/2006/relationships/hyperlink" Target="https://docs.google.com/spreadsheets/d/1LGiIsREyb4-GdMHXfNtTTkfBPXxtYy4zobyDWot7xQA/edit" TargetMode="External"/><Relationship Id="rId218" Type="http://schemas.openxmlformats.org/officeDocument/2006/relationships/hyperlink" Target="https://docs.google.com/spreadsheets/d/1LGiIsREyb4-GdMHXfNtTTkfBPXxtYy4zobyDWot7xQA/edit" TargetMode="External"/><Relationship Id="rId451" Type="http://schemas.openxmlformats.org/officeDocument/2006/relationships/hyperlink" Target="https://docs.google.com/spreadsheets/d/1cdAyIuV3KTqwcGe6-vyb1X20cPPkDOOJQy9lqzxxIlg/edit" TargetMode="External"/><Relationship Id="rId693" Type="http://schemas.openxmlformats.org/officeDocument/2006/relationships/hyperlink" Target="https://docs.google.com/spreadsheets/d/1cdAyIuV3KTqwcGe6-vyb1X20cPPkDOOJQy9lqzxxIlg/edit" TargetMode="External"/><Relationship Id="rId450" Type="http://schemas.openxmlformats.org/officeDocument/2006/relationships/hyperlink" Target="https://docs.google.com/spreadsheets/d/1cdAyIuV3KTqwcGe6-vyb1X20cPPkDOOJQy9lqzxxIlg/edit" TargetMode="External"/><Relationship Id="rId692" Type="http://schemas.openxmlformats.org/officeDocument/2006/relationships/hyperlink" Target="https://docs.google.com/spreadsheets/d/1cdAyIuV3KTqwcGe6-vyb1X20cPPkDOOJQy9lqzxxIlg/edit" TargetMode="External"/><Relationship Id="rId691" Type="http://schemas.openxmlformats.org/officeDocument/2006/relationships/hyperlink" Target="https://docs.google.com/spreadsheets/d/1cdAyIuV3KTqwcGe6-vyb1X20cPPkDOOJQy9lqzxxIlg/edit" TargetMode="External"/><Relationship Id="rId690" Type="http://schemas.openxmlformats.org/officeDocument/2006/relationships/hyperlink" Target="https://docs.google.com/spreadsheets/d/1cdAyIuV3KTqwcGe6-vyb1X20cPPkDOOJQy9lqzxxIlg/edit" TargetMode="External"/><Relationship Id="rId213" Type="http://schemas.openxmlformats.org/officeDocument/2006/relationships/hyperlink" Target="https://docs.google.com/spreadsheets/d/1LGiIsREyb4-GdMHXfNtTTkfBPXxtYy4zobyDWot7xQA/edit" TargetMode="External"/><Relationship Id="rId455" Type="http://schemas.openxmlformats.org/officeDocument/2006/relationships/hyperlink" Target="https://docs.google.com/spreadsheets/d/1cdAyIuV3KTqwcGe6-vyb1X20cPPkDOOJQy9lqzxxIlg/edit" TargetMode="External"/><Relationship Id="rId697" Type="http://schemas.openxmlformats.org/officeDocument/2006/relationships/hyperlink" Target="https://docs.google.com/spreadsheets/d/1cdAyIuV3KTqwcGe6-vyb1X20cPPkDOOJQy9lqzxxIlg/edit" TargetMode="External"/><Relationship Id="rId212" Type="http://schemas.openxmlformats.org/officeDocument/2006/relationships/hyperlink" Target="https://docs.google.com/spreadsheets/d/1LGiIsREyb4-GdMHXfNtTTkfBPXxtYy4zobyDWot7xQA/edit" TargetMode="External"/><Relationship Id="rId454" Type="http://schemas.openxmlformats.org/officeDocument/2006/relationships/hyperlink" Target="https://docs.google.com/spreadsheets/d/1cdAyIuV3KTqwcGe6-vyb1X20cPPkDOOJQy9lqzxxIlg/edit" TargetMode="External"/><Relationship Id="rId696" Type="http://schemas.openxmlformats.org/officeDocument/2006/relationships/hyperlink" Target="https://docs.google.com/spreadsheets/d/1cdAyIuV3KTqwcGe6-vyb1X20cPPkDOOJQy9lqzxxIlg/edit" TargetMode="External"/><Relationship Id="rId211" Type="http://schemas.openxmlformats.org/officeDocument/2006/relationships/hyperlink" Target="https://docs.google.com/spreadsheets/d/1LGiIsREyb4-GdMHXfNtTTkfBPXxtYy4zobyDWot7xQA/edit" TargetMode="External"/><Relationship Id="rId453" Type="http://schemas.openxmlformats.org/officeDocument/2006/relationships/hyperlink" Target="https://docs.google.com/spreadsheets/d/1cdAyIuV3KTqwcGe6-vyb1X20cPPkDOOJQy9lqzxxIlg/edit" TargetMode="External"/><Relationship Id="rId695" Type="http://schemas.openxmlformats.org/officeDocument/2006/relationships/hyperlink" Target="https://docs.google.com/spreadsheets/d/1cdAyIuV3KTqwcGe6-vyb1X20cPPkDOOJQy9lqzxxIlg/edit" TargetMode="External"/><Relationship Id="rId210" Type="http://schemas.openxmlformats.org/officeDocument/2006/relationships/hyperlink" Target="https://docs.google.com/spreadsheets/d/1LGiIsREyb4-GdMHXfNtTTkfBPXxtYy4zobyDWot7xQA/edit" TargetMode="External"/><Relationship Id="rId452" Type="http://schemas.openxmlformats.org/officeDocument/2006/relationships/hyperlink" Target="https://docs.google.com/spreadsheets/d/1cdAyIuV3KTqwcGe6-vyb1X20cPPkDOOJQy9lqzxxIlg/edit" TargetMode="External"/><Relationship Id="rId694" Type="http://schemas.openxmlformats.org/officeDocument/2006/relationships/hyperlink" Target="https://docs.google.com/spreadsheets/d/1cdAyIuV3KTqwcGe6-vyb1X20cPPkDOOJQy9lqzxxIlg/edit" TargetMode="External"/><Relationship Id="rId491" Type="http://schemas.openxmlformats.org/officeDocument/2006/relationships/hyperlink" Target="https://docs.google.com/spreadsheets/d/1cdAyIuV3KTqwcGe6-vyb1X20cPPkDOOJQy9lqzxxIlg/edit" TargetMode="External"/><Relationship Id="rId490" Type="http://schemas.openxmlformats.org/officeDocument/2006/relationships/hyperlink" Target="https://docs.google.com/spreadsheets/d/1cdAyIuV3KTqwcGe6-vyb1X20cPPkDOOJQy9lqzxxIlg/edit" TargetMode="External"/><Relationship Id="rId249" Type="http://schemas.openxmlformats.org/officeDocument/2006/relationships/hyperlink" Target="https://docs.google.com/spreadsheets/d/1LGiIsREyb4-GdMHXfNtTTkfBPXxtYy4zobyDWot7xQA/edit" TargetMode="External"/><Relationship Id="rId248" Type="http://schemas.openxmlformats.org/officeDocument/2006/relationships/hyperlink" Target="https://docs.google.com/spreadsheets/d/1LGiIsREyb4-GdMHXfNtTTkfBPXxtYy4zobyDWot7xQA/edit" TargetMode="External"/><Relationship Id="rId247" Type="http://schemas.openxmlformats.org/officeDocument/2006/relationships/hyperlink" Target="https://docs.google.com/spreadsheets/d/1LGiIsREyb4-GdMHXfNtTTkfBPXxtYy4zobyDWot7xQA/edit" TargetMode="External"/><Relationship Id="rId489" Type="http://schemas.openxmlformats.org/officeDocument/2006/relationships/hyperlink" Target="https://docs.google.com/spreadsheets/d/1cdAyIuV3KTqwcGe6-vyb1X20cPPkDOOJQy9lqzxxIlg/edit" TargetMode="External"/><Relationship Id="rId242" Type="http://schemas.openxmlformats.org/officeDocument/2006/relationships/hyperlink" Target="https://docs.google.com/spreadsheets/d/1LGiIsREyb4-GdMHXfNtTTkfBPXxtYy4zobyDWot7xQA/edit" TargetMode="External"/><Relationship Id="rId484" Type="http://schemas.openxmlformats.org/officeDocument/2006/relationships/hyperlink" Target="https://docs.google.com/spreadsheets/d/1cdAyIuV3KTqwcGe6-vyb1X20cPPkDOOJQy9lqzxxIlg/edit" TargetMode="External"/><Relationship Id="rId241" Type="http://schemas.openxmlformats.org/officeDocument/2006/relationships/hyperlink" Target="https://docs.google.com/spreadsheets/d/1LGiIsREyb4-GdMHXfNtTTkfBPXxtYy4zobyDWot7xQA/edit" TargetMode="External"/><Relationship Id="rId483" Type="http://schemas.openxmlformats.org/officeDocument/2006/relationships/hyperlink" Target="https://docs.google.com/spreadsheets/d/1cdAyIuV3KTqwcGe6-vyb1X20cPPkDOOJQy9lqzxxIlg/edit" TargetMode="External"/><Relationship Id="rId240" Type="http://schemas.openxmlformats.org/officeDocument/2006/relationships/hyperlink" Target="https://docs.google.com/spreadsheets/d/1LGiIsREyb4-GdMHXfNtTTkfBPXxtYy4zobyDWot7xQA/edit" TargetMode="External"/><Relationship Id="rId482" Type="http://schemas.openxmlformats.org/officeDocument/2006/relationships/hyperlink" Target="https://docs.google.com/spreadsheets/d/1cdAyIuV3KTqwcGe6-vyb1X20cPPkDOOJQy9lqzxxIlg/edit" TargetMode="External"/><Relationship Id="rId481" Type="http://schemas.openxmlformats.org/officeDocument/2006/relationships/hyperlink" Target="https://docs.google.com/spreadsheets/d/1cdAyIuV3KTqwcGe6-vyb1X20cPPkDOOJQy9lqzxxIlg/edit" TargetMode="External"/><Relationship Id="rId246" Type="http://schemas.openxmlformats.org/officeDocument/2006/relationships/hyperlink" Target="https://docs.google.com/spreadsheets/d/1LGiIsREyb4-GdMHXfNtTTkfBPXxtYy4zobyDWot7xQA/edit" TargetMode="External"/><Relationship Id="rId488" Type="http://schemas.openxmlformats.org/officeDocument/2006/relationships/hyperlink" Target="https://docs.google.com/spreadsheets/d/1cdAyIuV3KTqwcGe6-vyb1X20cPPkDOOJQy9lqzxxIlg/edit" TargetMode="External"/><Relationship Id="rId245" Type="http://schemas.openxmlformats.org/officeDocument/2006/relationships/hyperlink" Target="https://docs.google.com/spreadsheets/d/1LGiIsREyb4-GdMHXfNtTTkfBPXxtYy4zobyDWot7xQA/edit" TargetMode="External"/><Relationship Id="rId487" Type="http://schemas.openxmlformats.org/officeDocument/2006/relationships/hyperlink" Target="https://docs.google.com/spreadsheets/d/1cdAyIuV3KTqwcGe6-vyb1X20cPPkDOOJQy9lqzxxIlg/edit" TargetMode="External"/><Relationship Id="rId244" Type="http://schemas.openxmlformats.org/officeDocument/2006/relationships/hyperlink" Target="https://docs.google.com/spreadsheets/d/1LGiIsREyb4-GdMHXfNtTTkfBPXxtYy4zobyDWot7xQA/edit" TargetMode="External"/><Relationship Id="rId486" Type="http://schemas.openxmlformats.org/officeDocument/2006/relationships/hyperlink" Target="https://docs.google.com/spreadsheets/d/1cdAyIuV3KTqwcGe6-vyb1X20cPPkDOOJQy9lqzxxIlg/edit" TargetMode="External"/><Relationship Id="rId243" Type="http://schemas.openxmlformats.org/officeDocument/2006/relationships/hyperlink" Target="https://docs.google.com/spreadsheets/d/1LGiIsREyb4-GdMHXfNtTTkfBPXxtYy4zobyDWot7xQA/edit" TargetMode="External"/><Relationship Id="rId485" Type="http://schemas.openxmlformats.org/officeDocument/2006/relationships/hyperlink" Target="https://docs.google.com/spreadsheets/d/1cdAyIuV3KTqwcGe6-vyb1X20cPPkDOOJQy9lqzxxIlg/edit" TargetMode="External"/><Relationship Id="rId480" Type="http://schemas.openxmlformats.org/officeDocument/2006/relationships/hyperlink" Target="https://docs.google.com/spreadsheets/d/1cdAyIuV3KTqwcGe6-vyb1X20cPPkDOOJQy9lqzxxIlg/edit" TargetMode="External"/><Relationship Id="rId239" Type="http://schemas.openxmlformats.org/officeDocument/2006/relationships/hyperlink" Target="https://docs.google.com/spreadsheets/d/1LGiIsREyb4-GdMHXfNtTTkfBPXxtYy4zobyDWot7xQA/edit" TargetMode="External"/><Relationship Id="rId238" Type="http://schemas.openxmlformats.org/officeDocument/2006/relationships/hyperlink" Target="https://docs.google.com/spreadsheets/d/1LGiIsREyb4-GdMHXfNtTTkfBPXxtYy4zobyDWot7xQA/edit" TargetMode="External"/><Relationship Id="rId237" Type="http://schemas.openxmlformats.org/officeDocument/2006/relationships/hyperlink" Target="https://docs.google.com/spreadsheets/d/1LGiIsREyb4-GdMHXfNtTTkfBPXxtYy4zobyDWot7xQA/edit" TargetMode="External"/><Relationship Id="rId479" Type="http://schemas.openxmlformats.org/officeDocument/2006/relationships/hyperlink" Target="https://docs.google.com/spreadsheets/d/1cdAyIuV3KTqwcGe6-vyb1X20cPPkDOOJQy9lqzxxIlg/edit" TargetMode="External"/><Relationship Id="rId236" Type="http://schemas.openxmlformats.org/officeDocument/2006/relationships/hyperlink" Target="https://docs.google.com/spreadsheets/d/1LGiIsREyb4-GdMHXfNtTTkfBPXxtYy4zobyDWot7xQA/edit" TargetMode="External"/><Relationship Id="rId478" Type="http://schemas.openxmlformats.org/officeDocument/2006/relationships/hyperlink" Target="https://docs.google.com/spreadsheets/d/1cdAyIuV3KTqwcGe6-vyb1X20cPPkDOOJQy9lqzxxIlg/edit" TargetMode="External"/><Relationship Id="rId231" Type="http://schemas.openxmlformats.org/officeDocument/2006/relationships/hyperlink" Target="https://docs.google.com/spreadsheets/d/1LGiIsREyb4-GdMHXfNtTTkfBPXxtYy4zobyDWot7xQA/edit" TargetMode="External"/><Relationship Id="rId473" Type="http://schemas.openxmlformats.org/officeDocument/2006/relationships/hyperlink" Target="https://docs.google.com/spreadsheets/d/1cdAyIuV3KTqwcGe6-vyb1X20cPPkDOOJQy9lqzxxIlg/edit" TargetMode="External"/><Relationship Id="rId230" Type="http://schemas.openxmlformats.org/officeDocument/2006/relationships/hyperlink" Target="https://docs.google.com/spreadsheets/d/1LGiIsREyb4-GdMHXfNtTTkfBPXxtYy4zobyDWot7xQA/edit" TargetMode="External"/><Relationship Id="rId472" Type="http://schemas.openxmlformats.org/officeDocument/2006/relationships/hyperlink" Target="https://docs.google.com/spreadsheets/d/1cdAyIuV3KTqwcGe6-vyb1X20cPPkDOOJQy9lqzxxIlg/edit" TargetMode="External"/><Relationship Id="rId471" Type="http://schemas.openxmlformats.org/officeDocument/2006/relationships/hyperlink" Target="https://docs.google.com/spreadsheets/d/1cdAyIuV3KTqwcGe6-vyb1X20cPPkDOOJQy9lqzxxIlg/edit" TargetMode="External"/><Relationship Id="rId470" Type="http://schemas.openxmlformats.org/officeDocument/2006/relationships/hyperlink" Target="https://docs.google.com/spreadsheets/d/1cdAyIuV3KTqwcGe6-vyb1X20cPPkDOOJQy9lqzxxIlg/edit" TargetMode="External"/><Relationship Id="rId235" Type="http://schemas.openxmlformats.org/officeDocument/2006/relationships/hyperlink" Target="https://docs.google.com/spreadsheets/d/1LGiIsREyb4-GdMHXfNtTTkfBPXxtYy4zobyDWot7xQA/edit" TargetMode="External"/><Relationship Id="rId477" Type="http://schemas.openxmlformats.org/officeDocument/2006/relationships/hyperlink" Target="https://docs.google.com/spreadsheets/d/1cdAyIuV3KTqwcGe6-vyb1X20cPPkDOOJQy9lqzxxIlg/edit" TargetMode="External"/><Relationship Id="rId234" Type="http://schemas.openxmlformats.org/officeDocument/2006/relationships/hyperlink" Target="https://docs.google.com/spreadsheets/d/1LGiIsREyb4-GdMHXfNtTTkfBPXxtYy4zobyDWot7xQA/edit" TargetMode="External"/><Relationship Id="rId476" Type="http://schemas.openxmlformats.org/officeDocument/2006/relationships/hyperlink" Target="https://docs.google.com/spreadsheets/d/1cdAyIuV3KTqwcGe6-vyb1X20cPPkDOOJQy9lqzxxIlg/edit" TargetMode="External"/><Relationship Id="rId233" Type="http://schemas.openxmlformats.org/officeDocument/2006/relationships/hyperlink" Target="https://docs.google.com/spreadsheets/d/1LGiIsREyb4-GdMHXfNtTTkfBPXxtYy4zobyDWot7xQA/edit" TargetMode="External"/><Relationship Id="rId475" Type="http://schemas.openxmlformats.org/officeDocument/2006/relationships/hyperlink" Target="https://docs.google.com/spreadsheets/d/1cdAyIuV3KTqwcGe6-vyb1X20cPPkDOOJQy9lqzxxIlg/edit" TargetMode="External"/><Relationship Id="rId232" Type="http://schemas.openxmlformats.org/officeDocument/2006/relationships/hyperlink" Target="https://docs.google.com/spreadsheets/d/1LGiIsREyb4-GdMHXfNtTTkfBPXxtYy4zobyDWot7xQA/edit" TargetMode="External"/><Relationship Id="rId474" Type="http://schemas.openxmlformats.org/officeDocument/2006/relationships/hyperlink" Target="https://docs.google.com/spreadsheets/d/1cdAyIuV3KTqwcGe6-vyb1X20cPPkDOOJQy9lqzxxIlg/edit" TargetMode="External"/><Relationship Id="rId426" Type="http://schemas.openxmlformats.org/officeDocument/2006/relationships/hyperlink" Target="https://docs.google.com/spreadsheets/d/1cdAyIuV3KTqwcGe6-vyb1X20cPPkDOOJQy9lqzxxIlg/edit" TargetMode="External"/><Relationship Id="rId668" Type="http://schemas.openxmlformats.org/officeDocument/2006/relationships/hyperlink" Target="https://docs.google.com/spreadsheets/d/1cdAyIuV3KTqwcGe6-vyb1X20cPPkDOOJQy9lqzxxIlg/edit" TargetMode="External"/><Relationship Id="rId425" Type="http://schemas.openxmlformats.org/officeDocument/2006/relationships/hyperlink" Target="https://docs.google.com/spreadsheets/d/1cdAyIuV3KTqwcGe6-vyb1X20cPPkDOOJQy9lqzxxIlg/edit" TargetMode="External"/><Relationship Id="rId667" Type="http://schemas.openxmlformats.org/officeDocument/2006/relationships/hyperlink" Target="https://docs.google.com/spreadsheets/d/1cdAyIuV3KTqwcGe6-vyb1X20cPPkDOOJQy9lqzxxIlg/edit" TargetMode="External"/><Relationship Id="rId424" Type="http://schemas.openxmlformats.org/officeDocument/2006/relationships/hyperlink" Target="https://docs.google.com/spreadsheets/d/1cdAyIuV3KTqwcGe6-vyb1X20cPPkDOOJQy9lqzxxIlg/edit" TargetMode="External"/><Relationship Id="rId666" Type="http://schemas.openxmlformats.org/officeDocument/2006/relationships/hyperlink" Target="https://docs.google.com/spreadsheets/d/1cdAyIuV3KTqwcGe6-vyb1X20cPPkDOOJQy9lqzxxIlg/edit" TargetMode="External"/><Relationship Id="rId423" Type="http://schemas.openxmlformats.org/officeDocument/2006/relationships/hyperlink" Target="https://docs.google.com/spreadsheets/d/1cdAyIuV3KTqwcGe6-vyb1X20cPPkDOOJQy9lqzxxIlg/edit" TargetMode="External"/><Relationship Id="rId665" Type="http://schemas.openxmlformats.org/officeDocument/2006/relationships/hyperlink" Target="https://docs.google.com/spreadsheets/d/1cdAyIuV3KTqwcGe6-vyb1X20cPPkDOOJQy9lqzxxIlg/edit" TargetMode="External"/><Relationship Id="rId429" Type="http://schemas.openxmlformats.org/officeDocument/2006/relationships/hyperlink" Target="https://docs.google.com/spreadsheets/d/1cdAyIuV3KTqwcGe6-vyb1X20cPPkDOOJQy9lqzxxIlg/edit" TargetMode="External"/><Relationship Id="rId428" Type="http://schemas.openxmlformats.org/officeDocument/2006/relationships/hyperlink" Target="https://docs.google.com/spreadsheets/d/1cdAyIuV3KTqwcGe6-vyb1X20cPPkDOOJQy9lqzxxIlg/edit" TargetMode="External"/><Relationship Id="rId427" Type="http://schemas.openxmlformats.org/officeDocument/2006/relationships/hyperlink" Target="https://docs.google.com/spreadsheets/d/1cdAyIuV3KTqwcGe6-vyb1X20cPPkDOOJQy9lqzxxIlg/edit" TargetMode="External"/><Relationship Id="rId669" Type="http://schemas.openxmlformats.org/officeDocument/2006/relationships/hyperlink" Target="https://docs.google.com/spreadsheets/d/1cdAyIuV3KTqwcGe6-vyb1X20cPPkDOOJQy9lqzxxIlg/edit" TargetMode="External"/><Relationship Id="rId660" Type="http://schemas.openxmlformats.org/officeDocument/2006/relationships/hyperlink" Target="https://docs.google.com/spreadsheets/d/1cdAyIuV3KTqwcGe6-vyb1X20cPPkDOOJQy9lqzxxIlg/edit" TargetMode="External"/><Relationship Id="rId422" Type="http://schemas.openxmlformats.org/officeDocument/2006/relationships/hyperlink" Target="https://docs.google.com/spreadsheets/d/1cdAyIuV3KTqwcGe6-vyb1X20cPPkDOOJQy9lqzxxIlg/edit" TargetMode="External"/><Relationship Id="rId664" Type="http://schemas.openxmlformats.org/officeDocument/2006/relationships/hyperlink" Target="https://docs.google.com/spreadsheets/d/1cdAyIuV3KTqwcGe6-vyb1X20cPPkDOOJQy9lqzxxIlg/edit" TargetMode="External"/><Relationship Id="rId421" Type="http://schemas.openxmlformats.org/officeDocument/2006/relationships/hyperlink" Target="https://docs.google.com/spreadsheets/d/1cdAyIuV3KTqwcGe6-vyb1X20cPPkDOOJQy9lqzxxIlg/edit" TargetMode="External"/><Relationship Id="rId663" Type="http://schemas.openxmlformats.org/officeDocument/2006/relationships/hyperlink" Target="https://docs.google.com/spreadsheets/d/1cdAyIuV3KTqwcGe6-vyb1X20cPPkDOOJQy9lqzxxIlg/edit" TargetMode="External"/><Relationship Id="rId420" Type="http://schemas.openxmlformats.org/officeDocument/2006/relationships/hyperlink" Target="https://docs.google.com/spreadsheets/d/1cdAyIuV3KTqwcGe6-vyb1X20cPPkDOOJQy9lqzxxIlg/edit" TargetMode="External"/><Relationship Id="rId662" Type="http://schemas.openxmlformats.org/officeDocument/2006/relationships/hyperlink" Target="https://docs.google.com/spreadsheets/d/1cdAyIuV3KTqwcGe6-vyb1X20cPPkDOOJQy9lqzxxIlg/edit" TargetMode="External"/><Relationship Id="rId661" Type="http://schemas.openxmlformats.org/officeDocument/2006/relationships/hyperlink" Target="https://docs.google.com/spreadsheets/d/1cdAyIuV3KTqwcGe6-vyb1X20cPPkDOOJQy9lqzxxIlg/edit" TargetMode="External"/><Relationship Id="rId415" Type="http://schemas.openxmlformats.org/officeDocument/2006/relationships/hyperlink" Target="https://docs.google.com/spreadsheets/d/1cdAyIuV3KTqwcGe6-vyb1X20cPPkDOOJQy9lqzxxIlg/edit" TargetMode="External"/><Relationship Id="rId657" Type="http://schemas.openxmlformats.org/officeDocument/2006/relationships/hyperlink" Target="https://docs.google.com/spreadsheets/d/1cdAyIuV3KTqwcGe6-vyb1X20cPPkDOOJQy9lqzxxIlg/edit" TargetMode="External"/><Relationship Id="rId414" Type="http://schemas.openxmlformats.org/officeDocument/2006/relationships/hyperlink" Target="https://docs.google.com/spreadsheets/d/1cdAyIuV3KTqwcGe6-vyb1X20cPPkDOOJQy9lqzxxIlg/edit" TargetMode="External"/><Relationship Id="rId656" Type="http://schemas.openxmlformats.org/officeDocument/2006/relationships/hyperlink" Target="https://docs.google.com/spreadsheets/d/1cdAyIuV3KTqwcGe6-vyb1X20cPPkDOOJQy9lqzxxIlg/edit" TargetMode="External"/><Relationship Id="rId413" Type="http://schemas.openxmlformats.org/officeDocument/2006/relationships/hyperlink" Target="https://docs.google.com/spreadsheets/d/1cdAyIuV3KTqwcGe6-vyb1X20cPPkDOOJQy9lqzxxIlg/edit" TargetMode="External"/><Relationship Id="rId655" Type="http://schemas.openxmlformats.org/officeDocument/2006/relationships/hyperlink" Target="https://docs.google.com/spreadsheets/d/1cdAyIuV3KTqwcGe6-vyb1X20cPPkDOOJQy9lqzxxIlg/edit" TargetMode="External"/><Relationship Id="rId412" Type="http://schemas.openxmlformats.org/officeDocument/2006/relationships/hyperlink" Target="https://docs.google.com/spreadsheets/d/1cdAyIuV3KTqwcGe6-vyb1X20cPPkDOOJQy9lqzxxIlg/edit" TargetMode="External"/><Relationship Id="rId654" Type="http://schemas.openxmlformats.org/officeDocument/2006/relationships/hyperlink" Target="https://docs.google.com/spreadsheets/d/1cdAyIuV3KTqwcGe6-vyb1X20cPPkDOOJQy9lqzxxIlg/edit" TargetMode="External"/><Relationship Id="rId419" Type="http://schemas.openxmlformats.org/officeDocument/2006/relationships/hyperlink" Target="https://docs.google.com/spreadsheets/d/1cdAyIuV3KTqwcGe6-vyb1X20cPPkDOOJQy9lqzxxIlg/edit" TargetMode="External"/><Relationship Id="rId418" Type="http://schemas.openxmlformats.org/officeDocument/2006/relationships/hyperlink" Target="https://docs.google.com/spreadsheets/d/1cdAyIuV3KTqwcGe6-vyb1X20cPPkDOOJQy9lqzxxIlg/edit" TargetMode="External"/><Relationship Id="rId417" Type="http://schemas.openxmlformats.org/officeDocument/2006/relationships/hyperlink" Target="https://docs.google.com/spreadsheets/d/1cdAyIuV3KTqwcGe6-vyb1X20cPPkDOOJQy9lqzxxIlg/edit" TargetMode="External"/><Relationship Id="rId659" Type="http://schemas.openxmlformats.org/officeDocument/2006/relationships/hyperlink" Target="https://docs.google.com/spreadsheets/d/1cdAyIuV3KTqwcGe6-vyb1X20cPPkDOOJQy9lqzxxIlg/edit" TargetMode="External"/><Relationship Id="rId416" Type="http://schemas.openxmlformats.org/officeDocument/2006/relationships/hyperlink" Target="https://docs.google.com/spreadsheets/d/1cdAyIuV3KTqwcGe6-vyb1X20cPPkDOOJQy9lqzxxIlg/edit" TargetMode="External"/><Relationship Id="rId658" Type="http://schemas.openxmlformats.org/officeDocument/2006/relationships/hyperlink" Target="https://docs.google.com/spreadsheets/d/1cdAyIuV3KTqwcGe6-vyb1X20cPPkDOOJQy9lqzxxIlg/edit" TargetMode="External"/><Relationship Id="rId411" Type="http://schemas.openxmlformats.org/officeDocument/2006/relationships/hyperlink" Target="https://docs.google.com/spreadsheets/d/1cdAyIuV3KTqwcGe6-vyb1X20cPPkDOOJQy9lqzxxIlg/edit" TargetMode="External"/><Relationship Id="rId653" Type="http://schemas.openxmlformats.org/officeDocument/2006/relationships/hyperlink" Target="https://docs.google.com/spreadsheets/d/1cdAyIuV3KTqwcGe6-vyb1X20cPPkDOOJQy9lqzxxIlg/edit" TargetMode="External"/><Relationship Id="rId410" Type="http://schemas.openxmlformats.org/officeDocument/2006/relationships/hyperlink" Target="https://docs.google.com/spreadsheets/d/1cdAyIuV3KTqwcGe6-vyb1X20cPPkDOOJQy9lqzxxIlg/edit" TargetMode="External"/><Relationship Id="rId652" Type="http://schemas.openxmlformats.org/officeDocument/2006/relationships/hyperlink" Target="https://docs.google.com/spreadsheets/d/1cdAyIuV3KTqwcGe6-vyb1X20cPPkDOOJQy9lqzxxIlg/edit" TargetMode="External"/><Relationship Id="rId651" Type="http://schemas.openxmlformats.org/officeDocument/2006/relationships/hyperlink" Target="https://docs.google.com/spreadsheets/d/1cdAyIuV3KTqwcGe6-vyb1X20cPPkDOOJQy9lqzxxIlg/edit" TargetMode="External"/><Relationship Id="rId650" Type="http://schemas.openxmlformats.org/officeDocument/2006/relationships/hyperlink" Target="https://docs.google.com/spreadsheets/d/1cdAyIuV3KTqwcGe6-vyb1X20cPPkDOOJQy9lqzxxIlg/edit" TargetMode="External"/><Relationship Id="rId206" Type="http://schemas.openxmlformats.org/officeDocument/2006/relationships/hyperlink" Target="https://docs.google.com/spreadsheets/d/1LGiIsREyb4-GdMHXfNtTTkfBPXxtYy4zobyDWot7xQA/edit" TargetMode="External"/><Relationship Id="rId448" Type="http://schemas.openxmlformats.org/officeDocument/2006/relationships/hyperlink" Target="https://docs.google.com/spreadsheets/d/1cdAyIuV3KTqwcGe6-vyb1X20cPPkDOOJQy9lqzxxIlg/edit" TargetMode="External"/><Relationship Id="rId205" Type="http://schemas.openxmlformats.org/officeDocument/2006/relationships/hyperlink" Target="https://docs.google.com/spreadsheets/d/1LGiIsREyb4-GdMHXfNtTTkfBPXxtYy4zobyDWot7xQA/edit" TargetMode="External"/><Relationship Id="rId447" Type="http://schemas.openxmlformats.org/officeDocument/2006/relationships/hyperlink" Target="https://docs.google.com/spreadsheets/d/1cdAyIuV3KTqwcGe6-vyb1X20cPPkDOOJQy9lqzxxIlg/edit" TargetMode="External"/><Relationship Id="rId689" Type="http://schemas.openxmlformats.org/officeDocument/2006/relationships/hyperlink" Target="https://docs.google.com/spreadsheets/d/1cdAyIuV3KTqwcGe6-vyb1X20cPPkDOOJQy9lqzxxIlg/edit" TargetMode="External"/><Relationship Id="rId204" Type="http://schemas.openxmlformats.org/officeDocument/2006/relationships/hyperlink" Target="https://docs.google.com/spreadsheets/d/1LGiIsREyb4-GdMHXfNtTTkfBPXxtYy4zobyDWot7xQA/edit" TargetMode="External"/><Relationship Id="rId446" Type="http://schemas.openxmlformats.org/officeDocument/2006/relationships/hyperlink" Target="https://docs.google.com/spreadsheets/d/1cdAyIuV3KTqwcGe6-vyb1X20cPPkDOOJQy9lqzxxIlg/edit" TargetMode="External"/><Relationship Id="rId688" Type="http://schemas.openxmlformats.org/officeDocument/2006/relationships/hyperlink" Target="https://docs.google.com/spreadsheets/d/1cdAyIuV3KTqwcGe6-vyb1X20cPPkDOOJQy9lqzxxIlg/edit" TargetMode="External"/><Relationship Id="rId203" Type="http://schemas.openxmlformats.org/officeDocument/2006/relationships/hyperlink" Target="https://docs.google.com/spreadsheets/d/1LGiIsREyb4-GdMHXfNtTTkfBPXxtYy4zobyDWot7xQA/edit" TargetMode="External"/><Relationship Id="rId445" Type="http://schemas.openxmlformats.org/officeDocument/2006/relationships/hyperlink" Target="https://docs.google.com/spreadsheets/d/1cdAyIuV3KTqwcGe6-vyb1X20cPPkDOOJQy9lqzxxIlg/edit" TargetMode="External"/><Relationship Id="rId687" Type="http://schemas.openxmlformats.org/officeDocument/2006/relationships/hyperlink" Target="https://docs.google.com/spreadsheets/d/1cdAyIuV3KTqwcGe6-vyb1X20cPPkDOOJQy9lqzxxIlg/edit" TargetMode="External"/><Relationship Id="rId209" Type="http://schemas.openxmlformats.org/officeDocument/2006/relationships/hyperlink" Target="https://docs.google.com/spreadsheets/d/1LGiIsREyb4-GdMHXfNtTTkfBPXxtYy4zobyDWot7xQA/edit" TargetMode="External"/><Relationship Id="rId208" Type="http://schemas.openxmlformats.org/officeDocument/2006/relationships/hyperlink" Target="https://docs.google.com/spreadsheets/d/1LGiIsREyb4-GdMHXfNtTTkfBPXxtYy4zobyDWot7xQA/edit" TargetMode="External"/><Relationship Id="rId207" Type="http://schemas.openxmlformats.org/officeDocument/2006/relationships/hyperlink" Target="https://docs.google.com/spreadsheets/d/1LGiIsREyb4-GdMHXfNtTTkfBPXxtYy4zobyDWot7xQA/edit" TargetMode="External"/><Relationship Id="rId449" Type="http://schemas.openxmlformats.org/officeDocument/2006/relationships/hyperlink" Target="https://docs.google.com/spreadsheets/d/1cdAyIuV3KTqwcGe6-vyb1X20cPPkDOOJQy9lqzxxIlg/edit" TargetMode="External"/><Relationship Id="rId440" Type="http://schemas.openxmlformats.org/officeDocument/2006/relationships/hyperlink" Target="https://docs.google.com/spreadsheets/d/1cdAyIuV3KTqwcGe6-vyb1X20cPPkDOOJQy9lqzxxIlg/edit" TargetMode="External"/><Relationship Id="rId682" Type="http://schemas.openxmlformats.org/officeDocument/2006/relationships/hyperlink" Target="https://docs.google.com/spreadsheets/d/1cdAyIuV3KTqwcGe6-vyb1X20cPPkDOOJQy9lqzxxIlg/edit" TargetMode="External"/><Relationship Id="rId681" Type="http://schemas.openxmlformats.org/officeDocument/2006/relationships/hyperlink" Target="https://docs.google.com/spreadsheets/d/1cdAyIuV3KTqwcGe6-vyb1X20cPPkDOOJQy9lqzxxIlg/edit" TargetMode="External"/><Relationship Id="rId680" Type="http://schemas.openxmlformats.org/officeDocument/2006/relationships/hyperlink" Target="https://docs.google.com/spreadsheets/d/1cdAyIuV3KTqwcGe6-vyb1X20cPPkDOOJQy9lqzxxIlg/edit" TargetMode="External"/><Relationship Id="rId202" Type="http://schemas.openxmlformats.org/officeDocument/2006/relationships/hyperlink" Target="https://docs.google.com/spreadsheets/d/1LGiIsREyb4-GdMHXfNtTTkfBPXxtYy4zobyDWot7xQA/edit" TargetMode="External"/><Relationship Id="rId444" Type="http://schemas.openxmlformats.org/officeDocument/2006/relationships/hyperlink" Target="https://docs.google.com/spreadsheets/d/1cdAyIuV3KTqwcGe6-vyb1X20cPPkDOOJQy9lqzxxIlg/edit" TargetMode="External"/><Relationship Id="rId686" Type="http://schemas.openxmlformats.org/officeDocument/2006/relationships/hyperlink" Target="https://docs.google.com/spreadsheets/d/1cdAyIuV3KTqwcGe6-vyb1X20cPPkDOOJQy9lqzxxIlg/edit" TargetMode="External"/><Relationship Id="rId201" Type="http://schemas.openxmlformats.org/officeDocument/2006/relationships/hyperlink" Target="https://docs.google.com/spreadsheets/d/1LGiIsREyb4-GdMHXfNtTTkfBPXxtYy4zobyDWot7xQA/edit" TargetMode="External"/><Relationship Id="rId443" Type="http://schemas.openxmlformats.org/officeDocument/2006/relationships/hyperlink" Target="https://docs.google.com/spreadsheets/d/1cdAyIuV3KTqwcGe6-vyb1X20cPPkDOOJQy9lqzxxIlg/edit" TargetMode="External"/><Relationship Id="rId685" Type="http://schemas.openxmlformats.org/officeDocument/2006/relationships/hyperlink" Target="https://docs.google.com/spreadsheets/d/1cdAyIuV3KTqwcGe6-vyb1X20cPPkDOOJQy9lqzxxIlg/edit" TargetMode="External"/><Relationship Id="rId200" Type="http://schemas.openxmlformats.org/officeDocument/2006/relationships/hyperlink" Target="https://docs.google.com/spreadsheets/d/1LGiIsREyb4-GdMHXfNtTTkfBPXxtYy4zobyDWot7xQA/edit" TargetMode="External"/><Relationship Id="rId442" Type="http://schemas.openxmlformats.org/officeDocument/2006/relationships/hyperlink" Target="https://docs.google.com/spreadsheets/d/1cdAyIuV3KTqwcGe6-vyb1X20cPPkDOOJQy9lqzxxIlg/edit" TargetMode="External"/><Relationship Id="rId684" Type="http://schemas.openxmlformats.org/officeDocument/2006/relationships/hyperlink" Target="https://docs.google.com/spreadsheets/d/1cdAyIuV3KTqwcGe6-vyb1X20cPPkDOOJQy9lqzxxIlg/edit" TargetMode="External"/><Relationship Id="rId441" Type="http://schemas.openxmlformats.org/officeDocument/2006/relationships/hyperlink" Target="https://docs.google.com/spreadsheets/d/1cdAyIuV3KTqwcGe6-vyb1X20cPPkDOOJQy9lqzxxIlg/edit" TargetMode="External"/><Relationship Id="rId683" Type="http://schemas.openxmlformats.org/officeDocument/2006/relationships/hyperlink" Target="https://docs.google.com/spreadsheets/d/1cdAyIuV3KTqwcGe6-vyb1X20cPPkDOOJQy9lqzxxIlg/edit" TargetMode="External"/><Relationship Id="rId437" Type="http://schemas.openxmlformats.org/officeDocument/2006/relationships/hyperlink" Target="https://docs.google.com/spreadsheets/d/1cdAyIuV3KTqwcGe6-vyb1X20cPPkDOOJQy9lqzxxIlg/edit" TargetMode="External"/><Relationship Id="rId679" Type="http://schemas.openxmlformats.org/officeDocument/2006/relationships/hyperlink" Target="https://docs.google.com/spreadsheets/d/1cdAyIuV3KTqwcGe6-vyb1X20cPPkDOOJQy9lqzxxIlg/edit" TargetMode="External"/><Relationship Id="rId436" Type="http://schemas.openxmlformats.org/officeDocument/2006/relationships/hyperlink" Target="https://docs.google.com/spreadsheets/d/1cdAyIuV3KTqwcGe6-vyb1X20cPPkDOOJQy9lqzxxIlg/edit" TargetMode="External"/><Relationship Id="rId678" Type="http://schemas.openxmlformats.org/officeDocument/2006/relationships/hyperlink" Target="https://docs.google.com/spreadsheets/d/1cdAyIuV3KTqwcGe6-vyb1X20cPPkDOOJQy9lqzxxIlg/edit" TargetMode="External"/><Relationship Id="rId435" Type="http://schemas.openxmlformats.org/officeDocument/2006/relationships/hyperlink" Target="https://docs.google.com/spreadsheets/d/1cdAyIuV3KTqwcGe6-vyb1X20cPPkDOOJQy9lqzxxIlg/edit" TargetMode="External"/><Relationship Id="rId677" Type="http://schemas.openxmlformats.org/officeDocument/2006/relationships/hyperlink" Target="https://docs.google.com/spreadsheets/d/1cdAyIuV3KTqwcGe6-vyb1X20cPPkDOOJQy9lqzxxIlg/edit" TargetMode="External"/><Relationship Id="rId434" Type="http://schemas.openxmlformats.org/officeDocument/2006/relationships/hyperlink" Target="https://docs.google.com/spreadsheets/d/1cdAyIuV3KTqwcGe6-vyb1X20cPPkDOOJQy9lqzxxIlg/edit" TargetMode="External"/><Relationship Id="rId676" Type="http://schemas.openxmlformats.org/officeDocument/2006/relationships/hyperlink" Target="https://docs.google.com/spreadsheets/d/1cdAyIuV3KTqwcGe6-vyb1X20cPPkDOOJQy9lqzxxIlg/edit" TargetMode="External"/><Relationship Id="rId439" Type="http://schemas.openxmlformats.org/officeDocument/2006/relationships/hyperlink" Target="https://docs.google.com/spreadsheets/d/1cdAyIuV3KTqwcGe6-vyb1X20cPPkDOOJQy9lqzxxIlg/edit" TargetMode="External"/><Relationship Id="rId438" Type="http://schemas.openxmlformats.org/officeDocument/2006/relationships/hyperlink" Target="https://docs.google.com/spreadsheets/d/1cdAyIuV3KTqwcGe6-vyb1X20cPPkDOOJQy9lqzxxIlg/edit" TargetMode="External"/><Relationship Id="rId671" Type="http://schemas.openxmlformats.org/officeDocument/2006/relationships/hyperlink" Target="https://docs.google.com/spreadsheets/d/1cdAyIuV3KTqwcGe6-vyb1X20cPPkDOOJQy9lqzxxIlg/edit" TargetMode="External"/><Relationship Id="rId670" Type="http://schemas.openxmlformats.org/officeDocument/2006/relationships/hyperlink" Target="https://docs.google.com/spreadsheets/d/1cdAyIuV3KTqwcGe6-vyb1X20cPPkDOOJQy9lqzxxIlg/edit" TargetMode="External"/><Relationship Id="rId433" Type="http://schemas.openxmlformats.org/officeDocument/2006/relationships/hyperlink" Target="https://docs.google.com/spreadsheets/d/1cdAyIuV3KTqwcGe6-vyb1X20cPPkDOOJQy9lqzxxIlg/edit" TargetMode="External"/><Relationship Id="rId675" Type="http://schemas.openxmlformats.org/officeDocument/2006/relationships/hyperlink" Target="https://docs.google.com/spreadsheets/d/1cdAyIuV3KTqwcGe6-vyb1X20cPPkDOOJQy9lqzxxIlg/edit" TargetMode="External"/><Relationship Id="rId432" Type="http://schemas.openxmlformats.org/officeDocument/2006/relationships/hyperlink" Target="https://docs.google.com/spreadsheets/d/1cdAyIuV3KTqwcGe6-vyb1X20cPPkDOOJQy9lqzxxIlg/edit" TargetMode="External"/><Relationship Id="rId674" Type="http://schemas.openxmlformats.org/officeDocument/2006/relationships/hyperlink" Target="https://docs.google.com/spreadsheets/d/1cdAyIuV3KTqwcGe6-vyb1X20cPPkDOOJQy9lqzxxIlg/edit" TargetMode="External"/><Relationship Id="rId431" Type="http://schemas.openxmlformats.org/officeDocument/2006/relationships/hyperlink" Target="https://docs.google.com/spreadsheets/d/1cdAyIuV3KTqwcGe6-vyb1X20cPPkDOOJQy9lqzxxIlg/edit" TargetMode="External"/><Relationship Id="rId673" Type="http://schemas.openxmlformats.org/officeDocument/2006/relationships/hyperlink" Target="https://docs.google.com/spreadsheets/d/1cdAyIuV3KTqwcGe6-vyb1X20cPPkDOOJQy9lqzxxIlg/edit" TargetMode="External"/><Relationship Id="rId430" Type="http://schemas.openxmlformats.org/officeDocument/2006/relationships/hyperlink" Target="https://docs.google.com/spreadsheets/d/1cdAyIuV3KTqwcGe6-vyb1X20cPPkDOOJQy9lqzxxIlg/edit" TargetMode="External"/><Relationship Id="rId672" Type="http://schemas.openxmlformats.org/officeDocument/2006/relationships/hyperlink" Target="https://docs.google.com/spreadsheets/d/1cdAyIuV3KTqwcGe6-vyb1X20cPPkDOOJQy9lqzxxIlg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88"/>
    <col customWidth="1" min="2" max="2" width="27.63"/>
    <col customWidth="1" min="3" max="14" width="11.75"/>
    <col customWidth="1" min="15" max="15" width="11.88"/>
    <col customWidth="1" min="16" max="16" width="14.0"/>
    <col customWidth="1" min="17" max="17" width="13.0"/>
  </cols>
  <sheetData>
    <row r="1" ht="21.0" customHeight="1">
      <c r="A1" s="1"/>
      <c r="B1" s="2">
        <v>2024.0</v>
      </c>
      <c r="C1" s="3" t="s">
        <v>0</v>
      </c>
      <c r="Q1" s="4"/>
    </row>
    <row r="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5" t="s">
        <v>17</v>
      </c>
    </row>
    <row r="3" ht="25.5" customHeight="1">
      <c r="A3" s="8" t="s">
        <v>18</v>
      </c>
      <c r="B3" s="9" t="s">
        <v>19</v>
      </c>
      <c r="C3" s="10">
        <f t="shared" ref="C3:N3" si="1">sum(C4:C5)</f>
        <v>11.8</v>
      </c>
      <c r="D3" s="10">
        <f t="shared" si="1"/>
        <v>28.5</v>
      </c>
      <c r="E3" s="10">
        <f t="shared" si="1"/>
        <v>21.5</v>
      </c>
      <c r="F3" s="10">
        <f t="shared" si="1"/>
        <v>24.85</v>
      </c>
      <c r="G3" s="10">
        <f t="shared" si="1"/>
        <v>27.15</v>
      </c>
      <c r="H3" s="10">
        <f t="shared" si="1"/>
        <v>35.8</v>
      </c>
      <c r="I3" s="10">
        <f t="shared" si="1"/>
        <v>918.514</v>
      </c>
      <c r="J3" s="10">
        <f t="shared" si="1"/>
        <v>3.65</v>
      </c>
      <c r="K3" s="10">
        <f t="shared" si="1"/>
        <v>2277.9</v>
      </c>
      <c r="L3" s="10">
        <f t="shared" si="1"/>
        <v>30.5</v>
      </c>
      <c r="M3" s="10">
        <f t="shared" si="1"/>
        <v>507.7</v>
      </c>
      <c r="N3" s="10">
        <f t="shared" si="1"/>
        <v>47.55</v>
      </c>
      <c r="O3" s="10">
        <f t="shared" ref="O3:O15" si="2">sum(C3:N3)</f>
        <v>3935.414</v>
      </c>
      <c r="P3" s="10">
        <f>SUM(P4:P5)</f>
        <v>3700</v>
      </c>
      <c r="Q3" s="11">
        <f t="shared" ref="Q3:Q13" si="3">O3/P3</f>
        <v>1.063625405</v>
      </c>
    </row>
    <row r="4" ht="25.5" customHeight="1">
      <c r="A4" s="12"/>
      <c r="B4" s="13" t="str">
        <f>hyperlink("https://docs.google.com/spreadsheets/d/17IwNqscaZ1nfXkCtx3V_0MEnuLIAYueeNI-uEmyeYNc/edit#gid=0","- Trung tâm PMXD")</f>
        <v>- Trung tâm PMXD</v>
      </c>
      <c r="C4" s="14">
        <v>8.3</v>
      </c>
      <c r="D4" s="14">
        <v>21.5</v>
      </c>
      <c r="E4" s="14">
        <v>11.0</v>
      </c>
      <c r="F4" s="14">
        <v>7.5</v>
      </c>
      <c r="G4" s="14">
        <v>14.1</v>
      </c>
      <c r="H4" s="14">
        <v>6.3</v>
      </c>
      <c r="I4" s="14">
        <v>900.514</v>
      </c>
      <c r="J4" s="14">
        <v>2.3</v>
      </c>
      <c r="K4" s="14">
        <v>2266.8</v>
      </c>
      <c r="L4" s="14">
        <v>28.5</v>
      </c>
      <c r="M4" s="14">
        <v>507.7</v>
      </c>
      <c r="N4" s="14">
        <v>42.2</v>
      </c>
      <c r="O4" s="15">
        <f t="shared" si="2"/>
        <v>3816.714</v>
      </c>
      <c r="P4" s="14">
        <f>IFERROR(__xludf.DUMMYFUNCTION("IMPORTRANGE(""1KQzbP_ErWqmWNgKzTyNE7LhnRtstc2D4GJ4FhZuHCZQ"", ""Kế hoạch 2024!b28"")"),3500.0)</f>
        <v>3500</v>
      </c>
      <c r="Q4" s="16">
        <f t="shared" si="3"/>
        <v>1.090489714</v>
      </c>
    </row>
    <row r="5" ht="25.5" customHeight="1">
      <c r="A5" s="12"/>
      <c r="B5" s="13" t="str">
        <f>hyperlink("https://docs.google.com/spreadsheets/d/1cdAyIuV3KTqwcGe6-vyb1X20cPPkDOOJQy9lqzxxIlg/edit#gid=0","- Chi nhánh")</f>
        <v>- Chi nhánh</v>
      </c>
      <c r="C5" s="17">
        <v>3.5</v>
      </c>
      <c r="D5" s="14">
        <v>7.0</v>
      </c>
      <c r="E5" s="14">
        <v>10.5</v>
      </c>
      <c r="F5" s="14">
        <v>17.35</v>
      </c>
      <c r="G5" s="14">
        <v>13.05</v>
      </c>
      <c r="H5" s="14">
        <v>29.5</v>
      </c>
      <c r="I5" s="14">
        <v>18.0</v>
      </c>
      <c r="J5" s="14">
        <v>1.35</v>
      </c>
      <c r="K5" s="14">
        <v>11.1</v>
      </c>
      <c r="L5" s="14">
        <v>2.0</v>
      </c>
      <c r="M5" s="14">
        <v>0.0</v>
      </c>
      <c r="N5" s="14">
        <v>5.35</v>
      </c>
      <c r="O5" s="15">
        <f t="shared" si="2"/>
        <v>118.7</v>
      </c>
      <c r="P5" s="14">
        <v>200.0</v>
      </c>
      <c r="Q5" s="16">
        <f t="shared" si="3"/>
        <v>0.5935</v>
      </c>
    </row>
    <row r="6" ht="25.5" customHeight="1">
      <c r="A6" s="8" t="s">
        <v>20</v>
      </c>
      <c r="B6" s="9" t="s">
        <v>21</v>
      </c>
      <c r="C6" s="10">
        <f t="shared" ref="C6:N6" si="4">SUM(C7:C8)</f>
        <v>4015.2385</v>
      </c>
      <c r="D6" s="10">
        <f t="shared" si="4"/>
        <v>2556.0568</v>
      </c>
      <c r="E6" s="10">
        <f t="shared" si="4"/>
        <v>17648.75</v>
      </c>
      <c r="F6" s="10">
        <f t="shared" si="4"/>
        <v>8456.9691</v>
      </c>
      <c r="G6" s="10">
        <f t="shared" si="4"/>
        <v>14984.84084</v>
      </c>
      <c r="H6" s="10">
        <f t="shared" si="4"/>
        <v>10850.09477</v>
      </c>
      <c r="I6" s="10">
        <f t="shared" si="4"/>
        <v>6353.27947</v>
      </c>
      <c r="J6" s="10">
        <f t="shared" si="4"/>
        <v>5228.407</v>
      </c>
      <c r="K6" s="10">
        <f t="shared" si="4"/>
        <v>8061.855</v>
      </c>
      <c r="L6" s="10">
        <f t="shared" si="4"/>
        <v>9977.85427</v>
      </c>
      <c r="M6" s="10">
        <f t="shared" si="4"/>
        <v>3320.6906</v>
      </c>
      <c r="N6" s="10">
        <f t="shared" si="4"/>
        <v>16032.65919</v>
      </c>
      <c r="O6" s="10">
        <f t="shared" si="2"/>
        <v>107486.6955</v>
      </c>
      <c r="P6" s="10">
        <f>P8+P7</f>
        <v>76800</v>
      </c>
      <c r="Q6" s="11">
        <f t="shared" si="3"/>
        <v>1.399566348</v>
      </c>
    </row>
    <row r="7" ht="25.5" customHeight="1">
      <c r="A7" s="12"/>
      <c r="B7" s="13" t="str">
        <f>hyperlink("https://docs.google.com/spreadsheets/d/1LGiIsREyb4-GdMHXfNtTTkfBPXxtYy4zobyDWot7xQA/edit#gid=0","- Trung tâm DCS")</f>
        <v>- Trung tâm DCS</v>
      </c>
      <c r="C7" s="14">
        <v>1095.977</v>
      </c>
      <c r="D7" s="14">
        <v>1360.683</v>
      </c>
      <c r="E7" s="14">
        <v>14241.118</v>
      </c>
      <c r="F7" s="14">
        <v>2998.714</v>
      </c>
      <c r="G7" s="14">
        <v>4546.73134</v>
      </c>
      <c r="H7" s="14">
        <v>4516.385</v>
      </c>
      <c r="I7" s="14">
        <v>2936.0645</v>
      </c>
      <c r="J7" s="14">
        <v>2288.4363</v>
      </c>
      <c r="K7" s="14">
        <v>4704.18</v>
      </c>
      <c r="L7" s="14">
        <v>2021.10427</v>
      </c>
      <c r="M7" s="14">
        <v>2301.799</v>
      </c>
      <c r="N7" s="14">
        <v>11101.075083</v>
      </c>
      <c r="O7" s="15">
        <f t="shared" si="2"/>
        <v>54112.26749</v>
      </c>
      <c r="P7" s="14">
        <f>IFERROR(__xludf.DUMMYFUNCTION("IMPORTRANGE(""1KQzbP_ErWqmWNgKzTyNE7LhnRtstc2D4GJ4FhZuHCZQ"", ""Kế hoạch 2024!c28"")"),35000.0)</f>
        <v>35000</v>
      </c>
      <c r="Q7" s="16">
        <f t="shared" si="3"/>
        <v>1.546064786</v>
      </c>
    </row>
    <row r="8" ht="25.5" customHeight="1">
      <c r="A8" s="12"/>
      <c r="B8" s="13" t="str">
        <f>hyperlink("https://docs.google.com/spreadsheets/d/1cdAyIuV3KTqwcGe6-vyb1X20cPPkDOOJQy9lqzxxIlg/edit#gid=0","- Chi nhánh")</f>
        <v>- Chi nhánh</v>
      </c>
      <c r="C8" s="14">
        <v>2919.2615</v>
      </c>
      <c r="D8" s="14">
        <v>1195.3738</v>
      </c>
      <c r="E8" s="14">
        <v>3407.632</v>
      </c>
      <c r="F8" s="18">
        <v>5458.2551</v>
      </c>
      <c r="G8" s="19">
        <v>10438.1095</v>
      </c>
      <c r="H8" s="19">
        <v>6333.70977</v>
      </c>
      <c r="I8" s="19">
        <v>3417.21497</v>
      </c>
      <c r="J8" s="19">
        <v>2939.9707</v>
      </c>
      <c r="K8" s="19">
        <v>3357.675</v>
      </c>
      <c r="L8" s="19">
        <v>7956.75</v>
      </c>
      <c r="M8" s="19">
        <v>1018.8916</v>
      </c>
      <c r="N8" s="19">
        <v>4931.58411</v>
      </c>
      <c r="O8" s="15">
        <f t="shared" si="2"/>
        <v>53374.42805</v>
      </c>
      <c r="P8" s="14">
        <f>IFERROR(__xludf.DUMMYFUNCTION("IMPORTRANGE(""1KQzbP_ErWqmWNgKzTyNE7LhnRtstc2D4GJ4FhZuHCZQ"", ""Kế hoạch 2024!D28"")-P5"),41800.0)</f>
        <v>41800</v>
      </c>
      <c r="Q8" s="16">
        <f t="shared" si="3"/>
        <v>1.276900193</v>
      </c>
    </row>
    <row r="9" ht="25.5" customHeight="1">
      <c r="A9" s="8" t="s">
        <v>22</v>
      </c>
      <c r="B9" s="20" t="str">
        <f>hyperlink("https://docs.google.com/spreadsheets/d/17WRbCuo0DVepxTRtwozyxF08Zfve8uQViqsT2QSth8I/edit#gid=0","Trung tâm STC")</f>
        <v>Trung tâm STC</v>
      </c>
      <c r="C9" s="21">
        <v>815.639</v>
      </c>
      <c r="D9" s="21">
        <v>0.0</v>
      </c>
      <c r="E9" s="21">
        <v>361.175</v>
      </c>
      <c r="F9" s="21">
        <v>1242.0238</v>
      </c>
      <c r="G9" s="21">
        <v>942.34</v>
      </c>
      <c r="H9" s="21">
        <v>1709.394768</v>
      </c>
      <c r="I9" s="21">
        <v>1392.71814</v>
      </c>
      <c r="J9" s="21">
        <v>616.385</v>
      </c>
      <c r="K9" s="21">
        <v>5115.66075</v>
      </c>
      <c r="L9" s="21">
        <v>3077.41</v>
      </c>
      <c r="M9" s="21">
        <v>447.079</v>
      </c>
      <c r="N9" s="21">
        <v>12900.9</v>
      </c>
      <c r="O9" s="10">
        <f t="shared" si="2"/>
        <v>28620.72546</v>
      </c>
      <c r="P9" s="21">
        <f>IFERROR(__xludf.DUMMYFUNCTION("IMPORTRANGE(""1KQzbP_ErWqmWNgKzTyNE7LhnRtstc2D4GJ4FhZuHCZQ"", ""Kế hoạch 2024!e28"")"),31000.0)</f>
        <v>31000</v>
      </c>
      <c r="Q9" s="11">
        <f t="shared" si="3"/>
        <v>0.9232492083</v>
      </c>
    </row>
    <row r="10" ht="25.5" customHeight="1">
      <c r="A10" s="22" t="s">
        <v>23</v>
      </c>
      <c r="B10" s="23" t="str">
        <f>hyperlink("https://docs.google.com/spreadsheets/d/1yTBWEM4qeN7cMsdZosoLoINbcnjIbiM09amCGs1O-XI/edit#gid=0","Trung tâm TVDA")</f>
        <v>Trung tâm TVDA</v>
      </c>
      <c r="C10" s="21">
        <v>0.0</v>
      </c>
      <c r="D10" s="21">
        <v>0.0</v>
      </c>
      <c r="E10" s="21">
        <v>234.0</v>
      </c>
      <c r="F10" s="21">
        <v>234.0</v>
      </c>
      <c r="G10" s="21">
        <v>234.0</v>
      </c>
      <c r="H10" s="21">
        <v>6.6</v>
      </c>
      <c r="I10" s="21">
        <v>899.251</v>
      </c>
      <c r="J10" s="21">
        <v>0.0</v>
      </c>
      <c r="K10" s="21">
        <v>494.27</v>
      </c>
      <c r="L10" s="21">
        <v>741.871</v>
      </c>
      <c r="M10" s="21">
        <v>93.0</v>
      </c>
      <c r="N10" s="21">
        <v>25.815408</v>
      </c>
      <c r="O10" s="10">
        <f t="shared" si="2"/>
        <v>2962.807408</v>
      </c>
      <c r="P10" s="21">
        <f>IFERROR(__xludf.DUMMYFUNCTION("IMPORTRANGE(""1KQzbP_ErWqmWNgKzTyNE7LhnRtstc2D4GJ4FhZuHCZQ"", ""Kế hoạch 2024!f28"")"),1500.0)</f>
        <v>1500</v>
      </c>
      <c r="Q10" s="11">
        <f t="shared" si="3"/>
        <v>1.975204939</v>
      </c>
    </row>
    <row r="11" ht="25.5" customHeight="1">
      <c r="A11" s="22" t="s">
        <v>24</v>
      </c>
      <c r="B11" s="23" t="str">
        <f>hyperlink("https://docs.google.com/spreadsheets/d/1RHfET1y4R66vHlp6uC32W0Nz_3ubpd5g4n5dZxWkyaw/edit#gid=0","Trung tâm TVTK")</f>
        <v>Trung tâm TVTK</v>
      </c>
      <c r="C11" s="21">
        <v>0.0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0">
        <f t="shared" si="2"/>
        <v>0</v>
      </c>
      <c r="P11" s="21">
        <f>IFERROR(__xludf.DUMMYFUNCTION("IMPORTRANGE(""1KQzbP_ErWqmWNgKzTyNE7LhnRtstc2D4GJ4FhZuHCZQ"", ""Kế hoạch 2024!g28"")"),3000.0)</f>
        <v>3000</v>
      </c>
      <c r="Q11" s="11">
        <f t="shared" si="3"/>
        <v>0</v>
      </c>
    </row>
    <row r="12" ht="25.5" customHeight="1">
      <c r="A12" s="22" t="s">
        <v>23</v>
      </c>
      <c r="B12" s="24" t="str">
        <f>hyperlink("https://docs.google.com/spreadsheets/d/1NiLWC2P93vOYhLmUW_D3xnNV-9HJraVhA0DrW4_m5jo/edit#gid=0","Trung tâm TMB")</f>
        <v>Trung tâm TMB</v>
      </c>
      <c r="C12" s="21">
        <v>0.0</v>
      </c>
      <c r="D12" s="21"/>
      <c r="E12" s="21">
        <v>81.3</v>
      </c>
      <c r="F12" s="21">
        <v>170.43</v>
      </c>
      <c r="G12" s="21">
        <v>196.6</v>
      </c>
      <c r="H12" s="21">
        <v>1370.11</v>
      </c>
      <c r="I12" s="21">
        <v>116.84</v>
      </c>
      <c r="J12" s="21">
        <v>0.0</v>
      </c>
      <c r="K12" s="21">
        <v>237.25</v>
      </c>
      <c r="L12" s="21">
        <v>905.269</v>
      </c>
      <c r="M12" s="21">
        <v>0.0</v>
      </c>
      <c r="N12" s="21">
        <v>435.67</v>
      </c>
      <c r="O12" s="10">
        <f t="shared" si="2"/>
        <v>3513.469</v>
      </c>
      <c r="P12" s="21">
        <f>IFERROR(__xludf.DUMMYFUNCTION("IMPORTRANGE(""1KQzbP_ErWqmWNgKzTyNE7LhnRtstc2D4GJ4FhZuHCZQ"", ""Kế hoạch 2024!h28"")"),4000.0)</f>
        <v>4000</v>
      </c>
      <c r="Q12" s="11">
        <f t="shared" si="3"/>
        <v>0.87836725</v>
      </c>
    </row>
    <row r="13" ht="25.5" customHeight="1">
      <c r="A13" s="22" t="s">
        <v>25</v>
      </c>
      <c r="B13" s="24" t="str">
        <f>hyperlink("https://docs.google.com/spreadsheets/d/1qGsXBQA7UK_C9LOomu1EW4PbhsRPWpCf9o9ByaiP77Y/edit#gid=0","Trung tâm BIM")</f>
        <v>Trung tâm BIM</v>
      </c>
      <c r="C13" s="21">
        <v>0.0</v>
      </c>
      <c r="D13" s="21">
        <v>8889.9392</v>
      </c>
      <c r="E13" s="21">
        <v>270.0</v>
      </c>
      <c r="F13" s="21">
        <v>999.8821</v>
      </c>
      <c r="G13" s="21">
        <v>703.503</v>
      </c>
      <c r="H13" s="21">
        <v>0.0</v>
      </c>
      <c r="I13" s="21">
        <v>964.2799635454545</v>
      </c>
      <c r="J13" s="21">
        <v>615.0</v>
      </c>
      <c r="K13" s="21">
        <v>8165.8772</v>
      </c>
      <c r="L13" s="21">
        <v>1030.6</v>
      </c>
      <c r="M13" s="21">
        <v>0.0</v>
      </c>
      <c r="N13" s="21">
        <v>195.107782</v>
      </c>
      <c r="O13" s="10">
        <f t="shared" si="2"/>
        <v>21834.18925</v>
      </c>
      <c r="P13" s="21">
        <f>IFERROR(__xludf.DUMMYFUNCTION("IMPORTRANGE(""1KQzbP_ErWqmWNgKzTyNE7LhnRtstc2D4GJ4FhZuHCZQ"", ""Kế hoạch 2024!i28"")"),15000.0)</f>
        <v>15000</v>
      </c>
      <c r="Q13" s="11">
        <f t="shared" si="3"/>
        <v>1.455612616</v>
      </c>
    </row>
    <row r="14" ht="25.5" customHeight="1">
      <c r="A14" s="22" t="s">
        <v>26</v>
      </c>
      <c r="B14" s="25" t="str">
        <f>hyperlink("https://docs.google.com/spreadsheets/d/1TGKe-aBIfi6jlUkNz8gWl8ld-iWWsJOQj3t5hybOWtQ/edit#gid=0","Các lĩnh vực khác")</f>
        <v>Các lĩnh vực khác</v>
      </c>
      <c r="C14" s="21">
        <v>373.096</v>
      </c>
      <c r="D14" s="21"/>
      <c r="E14" s="10"/>
      <c r="F14" s="10"/>
      <c r="G14" s="21"/>
      <c r="H14" s="10"/>
      <c r="I14" s="10"/>
      <c r="J14" s="10"/>
      <c r="K14" s="10"/>
      <c r="L14" s="10"/>
      <c r="M14" s="10"/>
      <c r="N14" s="21"/>
      <c r="O14" s="10">
        <f t="shared" si="2"/>
        <v>373.096</v>
      </c>
      <c r="P14" s="21">
        <v>0.0</v>
      </c>
      <c r="Q14" s="11"/>
    </row>
    <row r="15" ht="25.5" customHeight="1">
      <c r="A15" s="22" t="s">
        <v>27</v>
      </c>
      <c r="B15" s="9" t="s">
        <v>28</v>
      </c>
      <c r="C15" s="26">
        <f t="shared" ref="C15:N15" si="5">SUM(C16:C17)</f>
        <v>5215.7735</v>
      </c>
      <c r="D15" s="27">
        <f t="shared" si="5"/>
        <v>11474.496</v>
      </c>
      <c r="E15" s="27">
        <f t="shared" si="5"/>
        <v>18616.725</v>
      </c>
      <c r="F15" s="27">
        <f t="shared" si="5"/>
        <v>11128.155</v>
      </c>
      <c r="G15" s="27">
        <f t="shared" si="5"/>
        <v>17088.43384</v>
      </c>
      <c r="H15" s="27">
        <f t="shared" si="5"/>
        <v>13971.99954</v>
      </c>
      <c r="I15" s="27">
        <f t="shared" si="5"/>
        <v>10644.88257</v>
      </c>
      <c r="J15" s="27">
        <f t="shared" si="5"/>
        <v>6463.442</v>
      </c>
      <c r="K15" s="27">
        <f t="shared" si="5"/>
        <v>24352.81295</v>
      </c>
      <c r="L15" s="27">
        <f t="shared" si="5"/>
        <v>15763.50427</v>
      </c>
      <c r="M15" s="27">
        <f t="shared" si="5"/>
        <v>4368.4696</v>
      </c>
      <c r="N15" s="27">
        <f t="shared" si="5"/>
        <v>29637.70238</v>
      </c>
      <c r="O15" s="28">
        <f t="shared" si="2"/>
        <v>168726.3967</v>
      </c>
      <c r="P15" s="10">
        <f>P17+P16</f>
        <v>135000</v>
      </c>
      <c r="Q15" s="11">
        <f t="shared" ref="Q15:Q17" si="7">O15/P15</f>
        <v>1.24982516</v>
      </c>
    </row>
    <row r="16" ht="25.5" customHeight="1">
      <c r="A16" s="29"/>
      <c r="B16" s="30" t="s">
        <v>29</v>
      </c>
      <c r="C16" s="31">
        <f t="shared" ref="C16:N16" si="6">C4+C7+C9+C10+C11+C12+C13+C14</f>
        <v>2293.012</v>
      </c>
      <c r="D16" s="31">
        <f t="shared" si="6"/>
        <v>10272.1222</v>
      </c>
      <c r="E16" s="31">
        <f t="shared" si="6"/>
        <v>15198.593</v>
      </c>
      <c r="F16" s="31">
        <f t="shared" si="6"/>
        <v>5652.5499</v>
      </c>
      <c r="G16" s="31">
        <f t="shared" si="6"/>
        <v>6637.27434</v>
      </c>
      <c r="H16" s="31">
        <f t="shared" si="6"/>
        <v>7608.789768</v>
      </c>
      <c r="I16" s="31">
        <f t="shared" si="6"/>
        <v>7209.667604</v>
      </c>
      <c r="J16" s="31">
        <f t="shared" si="6"/>
        <v>3522.1213</v>
      </c>
      <c r="K16" s="31">
        <f t="shared" si="6"/>
        <v>20984.03795</v>
      </c>
      <c r="L16" s="31">
        <f t="shared" si="6"/>
        <v>7804.75427</v>
      </c>
      <c r="M16" s="31">
        <f t="shared" si="6"/>
        <v>3349.578</v>
      </c>
      <c r="N16" s="31">
        <f t="shared" si="6"/>
        <v>24700.76827</v>
      </c>
      <c r="O16" s="31">
        <f t="shared" ref="O16:O18" si="9">SUM(C16:N16)</f>
        <v>115233.2686</v>
      </c>
      <c r="P16" s="31">
        <f>P4+P7+P9+P10+P11+P12+P13+P14</f>
        <v>93000</v>
      </c>
      <c r="Q16" s="16">
        <f t="shared" si="7"/>
        <v>1.239067404</v>
      </c>
    </row>
    <row r="17" ht="25.5" customHeight="1">
      <c r="A17" s="29"/>
      <c r="B17" s="30" t="s">
        <v>30</v>
      </c>
      <c r="C17" s="31">
        <f t="shared" ref="C17:N17" si="8">C5+C8</f>
        <v>2922.7615</v>
      </c>
      <c r="D17" s="31">
        <f t="shared" si="8"/>
        <v>1202.3738</v>
      </c>
      <c r="E17" s="31">
        <f t="shared" si="8"/>
        <v>3418.132</v>
      </c>
      <c r="F17" s="31">
        <f t="shared" si="8"/>
        <v>5475.6051</v>
      </c>
      <c r="G17" s="31">
        <f t="shared" si="8"/>
        <v>10451.1595</v>
      </c>
      <c r="H17" s="31">
        <f t="shared" si="8"/>
        <v>6363.20977</v>
      </c>
      <c r="I17" s="31">
        <f t="shared" si="8"/>
        <v>3435.21497</v>
      </c>
      <c r="J17" s="31">
        <f t="shared" si="8"/>
        <v>2941.3207</v>
      </c>
      <c r="K17" s="31">
        <f t="shared" si="8"/>
        <v>3368.775</v>
      </c>
      <c r="L17" s="31">
        <f t="shared" si="8"/>
        <v>7958.75</v>
      </c>
      <c r="M17" s="31">
        <f t="shared" si="8"/>
        <v>1018.8916</v>
      </c>
      <c r="N17" s="31">
        <f t="shared" si="8"/>
        <v>4936.93411</v>
      </c>
      <c r="O17" s="31">
        <f t="shared" si="9"/>
        <v>53493.12805</v>
      </c>
      <c r="P17" s="31">
        <f>P5+P8</f>
        <v>42000</v>
      </c>
      <c r="Q17" s="16">
        <f t="shared" si="7"/>
        <v>1.273645906</v>
      </c>
    </row>
    <row r="18" ht="25.5" customHeight="1">
      <c r="A18" s="32"/>
      <c r="B18" s="33" t="s">
        <v>31</v>
      </c>
      <c r="C18" s="34">
        <f>IFERROR(__xludf.DUMMYFUNCTION("IMPORTRANGE(""1mgk5_08R7QPyVWFUtyotwoussHVEv6Lz8ls-NcbSu3U"", ""Sản lượng ký kết!C14"")"),11490.2704)</f>
        <v>11490.2704</v>
      </c>
      <c r="D18" s="34">
        <f>IFERROR(__xludf.DUMMYFUNCTION("IMPORTRANGE(""1mgk5_08R7QPyVWFUtyotwoussHVEv6Lz8ls-NcbSu3U"", ""Sản lượng ký kết!D14"")"),5699.8243999999995)</f>
        <v>5699.8244</v>
      </c>
      <c r="E18" s="34">
        <f>IFERROR(__xludf.DUMMYFUNCTION("IMPORTRANGE(""1mgk5_08R7QPyVWFUtyotwoussHVEv6Lz8ls-NcbSu3U"", ""Sản lượng ký kết!E14"")"),20438.277033)</f>
        <v>20438.27703</v>
      </c>
      <c r="F18" s="34">
        <f>IFERROR(__xludf.DUMMYFUNCTION("IMPORTRANGE(""1mgk5_08R7QPyVWFUtyotwoussHVEv6Lz8ls-NcbSu3U"", ""Sản lượng ký kết!f14"")"),5046.9266)</f>
        <v>5046.9266</v>
      </c>
      <c r="G18" s="34">
        <f>IFERROR(__xludf.DUMMYFUNCTION("IMPORTRANGE(""1mgk5_08R7QPyVWFUtyotwoussHVEv6Lz8ls-NcbSu3U"", ""Sản lượng ký kết!g14"")"),14038.05417)</f>
        <v>14038.05417</v>
      </c>
      <c r="H18" s="34">
        <f>IFERROR(__xludf.DUMMYFUNCTION("IMPORTRANGE(""1mgk5_08R7QPyVWFUtyotwoussHVEv6Lz8ls-NcbSu3U"", ""Sản lượng ký kết!h14"")"),8081.563340000001)</f>
        <v>8081.56334</v>
      </c>
      <c r="I18" s="34">
        <f>IFERROR(__xludf.DUMMYFUNCTION("IMPORTRANGE(""1mgk5_08R7QPyVWFUtyotwoussHVEv6Lz8ls-NcbSu3U"", ""Sản lượng ký kết!i14"")"),5860.22579)</f>
        <v>5860.22579</v>
      </c>
      <c r="J18" s="34">
        <f>IFERROR(__xludf.DUMMYFUNCTION("IMPORTRANGE(""1mgk5_08R7QPyVWFUtyotwoussHVEv6Lz8ls-NcbSu3U"", ""Sản lượng ký kết!j14"")"),12673.0947)</f>
        <v>12673.0947</v>
      </c>
      <c r="K18" s="34">
        <f>IFERROR(__xludf.DUMMYFUNCTION("IMPORTRANGE(""1mgk5_08R7QPyVWFUtyotwoussHVEv6Lz8ls-NcbSu3U"", ""Sản lượng ký kết!k14"")"),20165.6312)</f>
        <v>20165.6312</v>
      </c>
      <c r="L18" s="34">
        <f>IFERROR(__xludf.DUMMYFUNCTION("IMPORTRANGE(""1mgk5_08R7QPyVWFUtyotwoussHVEv6Lz8ls-NcbSu3U"", ""Sản lượng ký kết!l14"")"),7385.805200000001)</f>
        <v>7385.8052</v>
      </c>
      <c r="M18" s="34">
        <f>IFERROR(__xludf.DUMMYFUNCTION("IMPORTRANGE(""1mgk5_08R7QPyVWFUtyotwoussHVEv6Lz8ls-NcbSu3U"", ""Sản lượng ký kết!m14"")"),14830.312137777777)</f>
        <v>14830.31214</v>
      </c>
      <c r="N18" s="34">
        <f>IFERROR(__xludf.DUMMYFUNCTION("IMPORTRANGE(""1mgk5_08R7QPyVWFUtyotwoussHVEv6Lz8ls-NcbSu3U"", ""Sản lượng ký kết!n14"")"),13046.15998)</f>
        <v>13046.15998</v>
      </c>
      <c r="O18" s="10">
        <f t="shared" si="9"/>
        <v>138756.145</v>
      </c>
      <c r="P18" s="35"/>
      <c r="Q18" s="11"/>
    </row>
    <row r="19" ht="25.5" customHeight="1">
      <c r="A19" s="32"/>
      <c r="B19" s="33" t="s">
        <v>32</v>
      </c>
      <c r="C19" s="11">
        <f t="shared" ref="C19:O19" si="10">C15/C18</f>
        <v>0.4539295698</v>
      </c>
      <c r="D19" s="11">
        <f t="shared" si="10"/>
        <v>2.013131492</v>
      </c>
      <c r="E19" s="11">
        <f t="shared" si="10"/>
        <v>0.9108754603</v>
      </c>
      <c r="F19" s="11">
        <f t="shared" si="10"/>
        <v>2.204936961</v>
      </c>
      <c r="G19" s="11">
        <f t="shared" si="10"/>
        <v>1.217293624</v>
      </c>
      <c r="H19" s="11">
        <f t="shared" si="10"/>
        <v>1.728873357</v>
      </c>
      <c r="I19" s="11">
        <f t="shared" si="10"/>
        <v>1.816462873</v>
      </c>
      <c r="J19" s="11">
        <f t="shared" si="10"/>
        <v>0.5100129174</v>
      </c>
      <c r="K19" s="11">
        <f t="shared" si="10"/>
        <v>1.207639508</v>
      </c>
      <c r="L19" s="11">
        <f t="shared" si="10"/>
        <v>2.134297323</v>
      </c>
      <c r="M19" s="11">
        <f t="shared" si="10"/>
        <v>0.2945635641</v>
      </c>
      <c r="N19" s="11">
        <f t="shared" si="10"/>
        <v>2.27175678</v>
      </c>
      <c r="O19" s="11">
        <f t="shared" si="10"/>
        <v>1.215992248</v>
      </c>
      <c r="P19" s="35"/>
      <c r="Q19" s="36"/>
    </row>
    <row r="20" ht="25.5" customHeight="1">
      <c r="A20" s="32"/>
      <c r="B20" s="9" t="s">
        <v>33</v>
      </c>
      <c r="C20" s="11"/>
      <c r="D20" s="11">
        <f t="shared" ref="D20:N20" si="11">sum($C15:D15)/sum($C18:D18)</f>
        <v>0.9709236449</v>
      </c>
      <c r="E20" s="11">
        <f t="shared" si="11"/>
        <v>0.9383077922</v>
      </c>
      <c r="F20" s="11">
        <f t="shared" si="11"/>
        <v>1.088103685</v>
      </c>
      <c r="G20" s="11">
        <f t="shared" si="11"/>
        <v>1.120081611</v>
      </c>
      <c r="H20" s="11">
        <f t="shared" si="11"/>
        <v>1.196013325</v>
      </c>
      <c r="I20" s="11">
        <f t="shared" si="11"/>
        <v>1.247474186</v>
      </c>
      <c r="J20" s="11">
        <f t="shared" si="11"/>
        <v>1.135316329</v>
      </c>
      <c r="K20" s="11">
        <f t="shared" si="11"/>
        <v>1.149408396</v>
      </c>
      <c r="L20" s="11">
        <f t="shared" si="11"/>
        <v>1.215012826</v>
      </c>
      <c r="M20" s="11">
        <f t="shared" si="11"/>
        <v>1.106425192</v>
      </c>
      <c r="N20" s="11">
        <f t="shared" si="11"/>
        <v>1.215992248</v>
      </c>
      <c r="O20" s="37" t="s">
        <v>34</v>
      </c>
      <c r="P20" s="38">
        <v>90000.0</v>
      </c>
      <c r="Q20" s="37">
        <f>O15/P20</f>
        <v>1.874737741</v>
      </c>
    </row>
  </sheetData>
  <mergeCells count="1">
    <mergeCell ref="C1:P1"/>
  </mergeCells>
  <conditionalFormatting sqref="C19:N20">
    <cfRule type="cellIs" dxfId="0" priority="1" operator="greaterThan">
      <formula>1</formula>
    </cfRule>
  </conditionalFormatting>
  <conditionalFormatting sqref="O19">
    <cfRule type="cellIs" dxfId="0" priority="2" operator="greaterThan">
      <formula>1</formula>
    </cfRule>
  </conditionalFormatting>
  <conditionalFormatting sqref="C19:N20">
    <cfRule type="cellIs" dxfId="1" priority="3" operator="lessThan">
      <formula>1</formula>
    </cfRule>
  </conditionalFormatting>
  <conditionalFormatting sqref="O19">
    <cfRule type="cellIs" dxfId="1" priority="4" operator="lessThan">
      <formula>1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88"/>
    <col customWidth="1" min="2" max="2" width="26.63"/>
    <col customWidth="1" min="3" max="14" width="11.75"/>
    <col customWidth="1" min="15" max="15" width="11.88"/>
    <col customWidth="1" min="16" max="16" width="14.0"/>
    <col customWidth="1" min="17" max="17" width="13.0"/>
  </cols>
  <sheetData>
    <row r="1" ht="21.0" customHeight="1">
      <c r="A1" s="39"/>
      <c r="B1" s="2">
        <f>'Sản lượng ký kết'!B1</f>
        <v>2024</v>
      </c>
      <c r="C1" s="3" t="s">
        <v>35</v>
      </c>
      <c r="Q1" s="4"/>
    </row>
    <row r="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5" t="s">
        <v>17</v>
      </c>
    </row>
    <row r="3" ht="25.5" customHeight="1">
      <c r="A3" s="8" t="s">
        <v>18</v>
      </c>
      <c r="B3" s="9" t="s">
        <v>19</v>
      </c>
      <c r="C3" s="10">
        <f t="shared" ref="C3:N3" si="1">sum(C4:C5)</f>
        <v>3.5</v>
      </c>
      <c r="D3" s="10">
        <f t="shared" si="1"/>
        <v>28.5</v>
      </c>
      <c r="E3" s="10">
        <f t="shared" si="1"/>
        <v>18.5</v>
      </c>
      <c r="F3" s="10">
        <f t="shared" si="1"/>
        <v>21.35</v>
      </c>
      <c r="G3" s="10">
        <f t="shared" si="1"/>
        <v>18.55</v>
      </c>
      <c r="H3" s="10">
        <f t="shared" si="1"/>
        <v>40.5</v>
      </c>
      <c r="I3" s="10">
        <f t="shared" si="1"/>
        <v>37.5</v>
      </c>
      <c r="J3" s="10">
        <f t="shared" si="1"/>
        <v>15.55</v>
      </c>
      <c r="K3" s="10">
        <f t="shared" si="1"/>
        <v>20.7</v>
      </c>
      <c r="L3" s="10">
        <f t="shared" si="1"/>
        <v>46.2</v>
      </c>
      <c r="M3" s="10">
        <f t="shared" si="1"/>
        <v>57.7</v>
      </c>
      <c r="N3" s="10">
        <f t="shared" si="1"/>
        <v>1880.124075</v>
      </c>
      <c r="O3" s="10">
        <f t="shared" ref="O3:O13" si="2">sum(C3:N3)</f>
        <v>2188.674075</v>
      </c>
      <c r="P3" s="10">
        <f>SUM(P4:P5)</f>
        <v>3460</v>
      </c>
      <c r="Q3" s="11">
        <f t="shared" ref="Q3:Q13" si="3">O3/P3</f>
        <v>0.6325647616</v>
      </c>
    </row>
    <row r="4" ht="25.5" customHeight="1">
      <c r="A4" s="12"/>
      <c r="B4" s="13" t="str">
        <f>hyperlink("https://docs.google.com/spreadsheets/d/17IwNqscaZ1nfXkCtx3V_0MEnuLIAYueeNI-uEmyeYNc/edit#gid=0","- Trung tâm PMXD")</f>
        <v>- Trung tâm PMXD</v>
      </c>
      <c r="C4" s="14"/>
      <c r="D4" s="14">
        <v>21.5</v>
      </c>
      <c r="E4" s="14">
        <v>8.0</v>
      </c>
      <c r="F4" s="14">
        <v>4.0</v>
      </c>
      <c r="G4" s="14">
        <v>10.5</v>
      </c>
      <c r="H4" s="14">
        <v>6.0</v>
      </c>
      <c r="I4" s="14">
        <v>19.5</v>
      </c>
      <c r="J4" s="14">
        <v>12.7</v>
      </c>
      <c r="K4" s="14">
        <v>11.1</v>
      </c>
      <c r="L4" s="14">
        <v>44.2</v>
      </c>
      <c r="M4" s="14">
        <v>57.7</v>
      </c>
      <c r="N4" s="14">
        <v>1876.124075</v>
      </c>
      <c r="O4" s="15">
        <f t="shared" si="2"/>
        <v>2071.324075</v>
      </c>
      <c r="P4" s="14">
        <f>IFERROR(__xludf.DUMMYFUNCTION("IMPORTRANGE(""1KQzbP_ErWqmWNgKzTyNE7LhnRtstc2D4GJ4FhZuHCZQ"", ""Kế hoạch 2024!b60"")"),3260.0)</f>
        <v>3260</v>
      </c>
      <c r="Q4" s="16">
        <f t="shared" si="3"/>
        <v>0.6353754831</v>
      </c>
    </row>
    <row r="5" ht="25.5" customHeight="1">
      <c r="A5" s="12"/>
      <c r="B5" s="13" t="str">
        <f>hyperlink("https://docs.google.com/spreadsheets/d/1cdAyIuV3KTqwcGe6-vyb1X20cPPkDOOJQy9lqzxxIlg/edit#gid=0","- Chi nhánh")</f>
        <v>- Chi nhánh</v>
      </c>
      <c r="C5" s="17">
        <v>3.5</v>
      </c>
      <c r="D5" s="14">
        <v>7.0</v>
      </c>
      <c r="E5" s="14">
        <v>10.5</v>
      </c>
      <c r="F5" s="14">
        <v>17.35</v>
      </c>
      <c r="G5" s="14">
        <v>8.05</v>
      </c>
      <c r="H5" s="14">
        <v>34.5</v>
      </c>
      <c r="I5" s="14">
        <v>18.0</v>
      </c>
      <c r="J5" s="14">
        <v>2.85</v>
      </c>
      <c r="K5" s="14">
        <v>9.6</v>
      </c>
      <c r="L5" s="14">
        <v>2.0</v>
      </c>
      <c r="M5" s="14"/>
      <c r="N5" s="14">
        <v>4.0</v>
      </c>
      <c r="O5" s="15">
        <f t="shared" si="2"/>
        <v>117.35</v>
      </c>
      <c r="P5" s="14">
        <v>200.0</v>
      </c>
      <c r="Q5" s="16">
        <f t="shared" si="3"/>
        <v>0.58675</v>
      </c>
    </row>
    <row r="6" ht="25.5" customHeight="1">
      <c r="A6" s="8" t="s">
        <v>20</v>
      </c>
      <c r="B6" s="9" t="s">
        <v>21</v>
      </c>
      <c r="C6" s="10">
        <f t="shared" ref="C6:N6" si="4">SUM(C7:C8)</f>
        <v>6004.068128</v>
      </c>
      <c r="D6" s="10">
        <f t="shared" si="4"/>
        <v>2605.21025</v>
      </c>
      <c r="E6" s="10">
        <f t="shared" si="4"/>
        <v>8152.75815</v>
      </c>
      <c r="F6" s="10">
        <f t="shared" si="4"/>
        <v>15700.77985</v>
      </c>
      <c r="G6" s="10">
        <f t="shared" si="4"/>
        <v>8197.1584</v>
      </c>
      <c r="H6" s="10">
        <f t="shared" si="4"/>
        <v>14530.08891</v>
      </c>
      <c r="I6" s="10">
        <f t="shared" si="4"/>
        <v>7326.600709</v>
      </c>
      <c r="J6" s="10">
        <f t="shared" si="4"/>
        <v>7928.501565</v>
      </c>
      <c r="K6" s="10">
        <f t="shared" si="4"/>
        <v>8251.0509</v>
      </c>
      <c r="L6" s="10">
        <f t="shared" si="4"/>
        <v>12925.50427</v>
      </c>
      <c r="M6" s="10">
        <f t="shared" si="4"/>
        <v>4654.7474</v>
      </c>
      <c r="N6" s="10">
        <f t="shared" si="4"/>
        <v>10196.03349</v>
      </c>
      <c r="O6" s="10">
        <f t="shared" si="2"/>
        <v>106472.502</v>
      </c>
      <c r="P6" s="10">
        <f>P8+P7</f>
        <v>71000</v>
      </c>
      <c r="Q6" s="11">
        <f t="shared" si="3"/>
        <v>1.499612705</v>
      </c>
    </row>
    <row r="7" ht="25.5" customHeight="1">
      <c r="A7" s="12"/>
      <c r="B7" s="13" t="str">
        <f>hyperlink("https://docs.google.com/spreadsheets/d/1LGiIsREyb4-GdMHXfNtTTkfBPXxtYy4zobyDWot7xQA/edit#gid=0","- Trung tâm DCS")</f>
        <v>- Trung tâm DCS</v>
      </c>
      <c r="C7" s="14">
        <v>4055.845728</v>
      </c>
      <c r="D7" s="14">
        <v>1938.60675</v>
      </c>
      <c r="E7" s="14">
        <v>4685.52</v>
      </c>
      <c r="F7" s="14">
        <v>10207.464</v>
      </c>
      <c r="G7" s="14">
        <v>4703.379</v>
      </c>
      <c r="H7" s="14">
        <v>5115.02494</v>
      </c>
      <c r="I7" s="14">
        <v>1198.696909</v>
      </c>
      <c r="J7" s="14">
        <v>4052.704895</v>
      </c>
      <c r="K7" s="14">
        <v>5153.245</v>
      </c>
      <c r="L7" s="14">
        <v>4352.69277</v>
      </c>
      <c r="M7" s="14">
        <v>2080.7103</v>
      </c>
      <c r="N7" s="14">
        <v>6086.384083</v>
      </c>
      <c r="O7" s="15">
        <f t="shared" si="2"/>
        <v>53630.27438</v>
      </c>
      <c r="P7" s="14">
        <f>IFERROR(__xludf.DUMMYFUNCTION("IMPORTRANGE(""1KQzbP_ErWqmWNgKzTyNE7LhnRtstc2D4GJ4FhZuHCZQ"", ""Kế hoạch 2024!c60"")"),32200.0)</f>
        <v>32200</v>
      </c>
      <c r="Q7" s="16">
        <f t="shared" si="3"/>
        <v>1.665536471</v>
      </c>
    </row>
    <row r="8" ht="25.5" customHeight="1">
      <c r="A8" s="12"/>
      <c r="B8" s="13" t="str">
        <f>hyperlink("https://docs.google.com/spreadsheets/d/1cdAyIuV3KTqwcGe6-vyb1X20cPPkDOOJQy9lqzxxIlg/edit#gid=0","- Chi nhánh")</f>
        <v>- Chi nhánh</v>
      </c>
      <c r="C8" s="14">
        <v>1948.2224</v>
      </c>
      <c r="D8" s="14">
        <v>666.6035</v>
      </c>
      <c r="E8" s="14">
        <v>3467.23815</v>
      </c>
      <c r="F8" s="14">
        <v>5493.31585</v>
      </c>
      <c r="G8" s="19">
        <v>3493.7794</v>
      </c>
      <c r="H8" s="19">
        <v>9415.06397</v>
      </c>
      <c r="I8" s="19">
        <v>6127.9038</v>
      </c>
      <c r="J8" s="19">
        <v>3875.79667</v>
      </c>
      <c r="K8" s="19">
        <v>3097.8059</v>
      </c>
      <c r="L8" s="19">
        <v>8572.8115</v>
      </c>
      <c r="M8" s="19">
        <v>2574.0371</v>
      </c>
      <c r="N8" s="19">
        <v>4109.64941</v>
      </c>
      <c r="O8" s="15">
        <f t="shared" si="2"/>
        <v>52842.22765</v>
      </c>
      <c r="P8" s="14">
        <f>IFERROR(__xludf.DUMMYFUNCTION("IMPORTRANGE(""1KQzbP_ErWqmWNgKzTyNE7LhnRtstc2D4GJ4FhZuHCZQ"", ""Kế hoạch 2024!D60"")-P5"),38800.0)</f>
        <v>38800</v>
      </c>
      <c r="Q8" s="16">
        <f t="shared" si="3"/>
        <v>1.361913084</v>
      </c>
    </row>
    <row r="9" ht="25.5" customHeight="1">
      <c r="A9" s="8" t="s">
        <v>22</v>
      </c>
      <c r="B9" s="20" t="str">
        <f>hyperlink("https://docs.google.com/spreadsheets/d/17WRbCuo0DVepxTRtwozyxF08Zfve8uQViqsT2QSth8I/edit#gid=0","Trung tâm STC")</f>
        <v>Trung tâm STC</v>
      </c>
      <c r="C9" s="21">
        <v>1166.25</v>
      </c>
      <c r="D9" s="21"/>
      <c r="E9" s="21">
        <v>1507.579</v>
      </c>
      <c r="F9" s="21">
        <v>606.865</v>
      </c>
      <c r="G9" s="21">
        <v>79.4</v>
      </c>
      <c r="H9" s="21">
        <v>3460.758</v>
      </c>
      <c r="I9" s="21">
        <v>1386.233838</v>
      </c>
      <c r="J9" s="21">
        <v>405.329444</v>
      </c>
      <c r="K9" s="21">
        <v>3247.761</v>
      </c>
      <c r="L9" s="21">
        <v>2677.36775</v>
      </c>
      <c r="M9" s="21">
        <v>1169.22</v>
      </c>
      <c r="N9" s="21">
        <v>2558.972727</v>
      </c>
      <c r="O9" s="10">
        <f t="shared" si="2"/>
        <v>18265.73676</v>
      </c>
      <c r="P9" s="21">
        <f>IFERROR(__xludf.DUMMYFUNCTION("IMPORTRANGE(""1KQzbP_ErWqmWNgKzTyNE7LhnRtstc2D4GJ4FhZuHCZQ"", ""Kế hoạch 2024!e60"")"),29000.0)</f>
        <v>29000</v>
      </c>
      <c r="Q9" s="11">
        <f t="shared" si="3"/>
        <v>0.6298529917</v>
      </c>
    </row>
    <row r="10" ht="25.5" customHeight="1">
      <c r="A10" s="22" t="s">
        <v>23</v>
      </c>
      <c r="B10" s="23" t="str">
        <f>hyperlink("https://docs.google.com/spreadsheets/d/1yTBWEM4qeN7cMsdZosoLoINbcnjIbiM09amCGs1O-XI/edit#gid=0","Trung tâm TVDA")</f>
        <v>Trung tâm TVDA</v>
      </c>
      <c r="C10" s="21"/>
      <c r="D10" s="21"/>
      <c r="E10" s="21"/>
      <c r="F10" s="21"/>
      <c r="G10" s="21"/>
      <c r="H10" s="21"/>
      <c r="I10" s="21"/>
      <c r="J10" s="21"/>
      <c r="K10" s="21"/>
      <c r="L10" s="21">
        <v>6.0</v>
      </c>
      <c r="M10" s="21">
        <v>26.361111</v>
      </c>
      <c r="N10" s="21">
        <v>1996.787772111111</v>
      </c>
      <c r="O10" s="10">
        <f t="shared" si="2"/>
        <v>2029.148883</v>
      </c>
      <c r="P10" s="21">
        <f>IFERROR(__xludf.DUMMYFUNCTION("IMPORTRANGE(""1KQzbP_ErWqmWNgKzTyNE7LhnRtstc2D4GJ4FhZuHCZQ"", ""Kế hoạch 2024!f60"")"),1500.0)</f>
        <v>1500</v>
      </c>
      <c r="Q10" s="11">
        <f t="shared" si="3"/>
        <v>1.352765922</v>
      </c>
    </row>
    <row r="11" ht="25.5" customHeight="1">
      <c r="A11" s="22" t="s">
        <v>24</v>
      </c>
      <c r="B11" s="23" t="str">
        <f>hyperlink("https://docs.google.com/spreadsheets/d/1RHfET1y4R66vHlp6uC32W0Nz_3ubpd5g4n5dZxWkyaw/edit#gid=0","Trung tâm TVTK")</f>
        <v>Trung tâm TVTK</v>
      </c>
      <c r="C11" s="21">
        <v>147.467182</v>
      </c>
      <c r="D11" s="21"/>
      <c r="E11" s="21"/>
      <c r="F11" s="21"/>
      <c r="G11" s="21"/>
      <c r="H11" s="21">
        <v>147.467182</v>
      </c>
      <c r="I11" s="21"/>
      <c r="J11" s="21"/>
      <c r="K11" s="10"/>
      <c r="L11" s="21"/>
      <c r="M11" s="21"/>
      <c r="N11" s="21">
        <v>147.467182</v>
      </c>
      <c r="O11" s="10">
        <f t="shared" si="2"/>
        <v>442.401546</v>
      </c>
      <c r="P11" s="21">
        <f>IFERROR(__xludf.DUMMYFUNCTION("IMPORTRANGE(""1KQzbP_ErWqmWNgKzTyNE7LhnRtstc2D4GJ4FhZuHCZQ"", ""Kế hoạch 2024!g60"")"),2500.0)</f>
        <v>2500</v>
      </c>
      <c r="Q11" s="11">
        <f t="shared" si="3"/>
        <v>0.1769606184</v>
      </c>
    </row>
    <row r="12" ht="25.5" customHeight="1">
      <c r="A12" s="22" t="s">
        <v>23</v>
      </c>
      <c r="B12" s="24" t="str">
        <f>hyperlink("https://docs.google.com/spreadsheets/d/1NiLWC2P93vOYhLmUW_D3xnNV-9HJraVhA0DrW4_m5jo/edit#gid=0","Trung tâm TMB")</f>
        <v>Trung tâm TMB</v>
      </c>
      <c r="C12" s="21"/>
      <c r="D12" s="21"/>
      <c r="E12" s="21"/>
      <c r="F12" s="21"/>
      <c r="G12" s="21">
        <v>170.43</v>
      </c>
      <c r="H12" s="21">
        <v>80.5</v>
      </c>
      <c r="I12" s="21">
        <v>264.905</v>
      </c>
      <c r="J12" s="21">
        <v>144.6</v>
      </c>
      <c r="K12" s="21"/>
      <c r="L12" s="21"/>
      <c r="M12" s="21"/>
      <c r="N12" s="21">
        <v>336.505</v>
      </c>
      <c r="O12" s="10">
        <f t="shared" si="2"/>
        <v>996.94</v>
      </c>
      <c r="P12" s="21">
        <f>IFERROR(__xludf.DUMMYFUNCTION("IMPORTRANGE(""1KQzbP_ErWqmWNgKzTyNE7LhnRtstc2D4GJ4FhZuHCZQ"", ""Kế hoạch 2024!h60"")"),3500.0)</f>
        <v>3500</v>
      </c>
      <c r="Q12" s="11">
        <f t="shared" si="3"/>
        <v>0.28484</v>
      </c>
    </row>
    <row r="13" ht="25.5" customHeight="1">
      <c r="A13" s="22" t="s">
        <v>25</v>
      </c>
      <c r="B13" s="25" t="str">
        <f>hyperlink("https://docs.google.com/spreadsheets/d/1qGsXBQA7UK_C9LOomu1EW4PbhsRPWpCf9o9ByaiP77Y/edit#gid=0","Trung tâm BIM")</f>
        <v>Trung tâm BIM</v>
      </c>
      <c r="C13" s="21"/>
      <c r="D13" s="21"/>
      <c r="E13" s="21">
        <v>405.38608</v>
      </c>
      <c r="F13" s="21">
        <v>50.0</v>
      </c>
      <c r="G13" s="21">
        <v>1256.4392</v>
      </c>
      <c r="H13" s="21">
        <v>10.909091</v>
      </c>
      <c r="I13" s="21">
        <v>97.243</v>
      </c>
      <c r="J13" s="21">
        <v>1350.0</v>
      </c>
      <c r="K13" s="21">
        <v>1710.0</v>
      </c>
      <c r="L13" s="21"/>
      <c r="M13" s="10"/>
      <c r="N13" s="21">
        <v>3520.583393</v>
      </c>
      <c r="O13" s="10">
        <f t="shared" si="2"/>
        <v>8400.560764</v>
      </c>
      <c r="P13" s="21">
        <f>IFERROR(__xludf.DUMMYFUNCTION("IMPORTRANGE(""1KQzbP_ErWqmWNgKzTyNE7LhnRtstc2D4GJ4FhZuHCZQ"", ""Kế hoạch 2024!i60"")"),12000.0)</f>
        <v>12000</v>
      </c>
      <c r="Q13" s="11">
        <f t="shared" si="3"/>
        <v>0.7000467303</v>
      </c>
    </row>
    <row r="14" ht="25.5" customHeight="1">
      <c r="A14" s="22" t="s">
        <v>26</v>
      </c>
      <c r="B14" s="25" t="str">
        <f>hyperlink("https://docs.google.com/spreadsheets/d/1TGKe-aBIfi6jlUkNz8gWl8ld-iWWsJOQj3t5hybOWtQ/edit#gid=0","Các lĩnh vực khác")</f>
        <v>Các lĩnh vực khác</v>
      </c>
      <c r="C14" s="21"/>
      <c r="D14" s="21"/>
      <c r="E14" s="10"/>
      <c r="F14" s="21"/>
      <c r="G14" s="21"/>
      <c r="H14" s="21"/>
      <c r="I14" s="21"/>
      <c r="J14" s="10"/>
      <c r="K14" s="21"/>
      <c r="L14" s="10"/>
      <c r="M14" s="10"/>
      <c r="N14" s="21"/>
      <c r="O14" s="21">
        <v>0.0</v>
      </c>
      <c r="P14" s="21">
        <v>0.0</v>
      </c>
      <c r="Q14" s="11"/>
    </row>
    <row r="15" ht="25.5" customHeight="1">
      <c r="A15" s="22" t="s">
        <v>27</v>
      </c>
      <c r="B15" s="9" t="s">
        <v>28</v>
      </c>
      <c r="C15" s="10">
        <f t="shared" ref="C15:N15" si="5">SUM(C16:C17)</f>
        <v>7321.28531</v>
      </c>
      <c r="D15" s="10">
        <f t="shared" si="5"/>
        <v>2633.71025</v>
      </c>
      <c r="E15" s="10">
        <f t="shared" si="5"/>
        <v>10084.22323</v>
      </c>
      <c r="F15" s="10">
        <f t="shared" si="5"/>
        <v>16378.99485</v>
      </c>
      <c r="G15" s="10">
        <f t="shared" si="5"/>
        <v>9721.9776</v>
      </c>
      <c r="H15" s="10">
        <f t="shared" si="5"/>
        <v>18270.22318</v>
      </c>
      <c r="I15" s="10">
        <f t="shared" si="5"/>
        <v>9112.482547</v>
      </c>
      <c r="J15" s="10">
        <f t="shared" si="5"/>
        <v>9843.981009</v>
      </c>
      <c r="K15" s="10">
        <f t="shared" si="5"/>
        <v>13229.5119</v>
      </c>
      <c r="L15" s="10">
        <f t="shared" si="5"/>
        <v>15655.07202</v>
      </c>
      <c r="M15" s="10">
        <f t="shared" si="5"/>
        <v>5908.028511</v>
      </c>
      <c r="N15" s="10">
        <f t="shared" si="5"/>
        <v>20636.47364</v>
      </c>
      <c r="O15" s="28">
        <f>sum(C15:N15)</f>
        <v>138795.9641</v>
      </c>
      <c r="P15" s="10">
        <f>P17+P16</f>
        <v>122960</v>
      </c>
      <c r="Q15" s="11">
        <f t="shared" ref="Q15:Q17" si="7">O15/P15</f>
        <v>1.128789558</v>
      </c>
    </row>
    <row r="16" ht="25.5" customHeight="1">
      <c r="A16" s="29"/>
      <c r="B16" s="30" t="s">
        <v>29</v>
      </c>
      <c r="C16" s="31">
        <f t="shared" ref="C16:N16" si="6">C4+C7+C9+C10+C11+C12+C13+C14</f>
        <v>5369.56291</v>
      </c>
      <c r="D16" s="31">
        <f t="shared" si="6"/>
        <v>1960.10675</v>
      </c>
      <c r="E16" s="31">
        <f t="shared" si="6"/>
        <v>6606.48508</v>
      </c>
      <c r="F16" s="31">
        <f t="shared" si="6"/>
        <v>10868.329</v>
      </c>
      <c r="G16" s="31">
        <f t="shared" si="6"/>
        <v>6220.1482</v>
      </c>
      <c r="H16" s="31">
        <f t="shared" si="6"/>
        <v>8820.659213</v>
      </c>
      <c r="I16" s="31">
        <f t="shared" si="6"/>
        <v>2966.578747</v>
      </c>
      <c r="J16" s="31">
        <f t="shared" si="6"/>
        <v>5965.334339</v>
      </c>
      <c r="K16" s="31">
        <f t="shared" si="6"/>
        <v>10122.106</v>
      </c>
      <c r="L16" s="31">
        <f t="shared" si="6"/>
        <v>7080.26052</v>
      </c>
      <c r="M16" s="31">
        <f t="shared" si="6"/>
        <v>3333.991411</v>
      </c>
      <c r="N16" s="31">
        <f t="shared" si="6"/>
        <v>16522.82423</v>
      </c>
      <c r="O16" s="31">
        <f t="shared" ref="O16:O18" si="9">SUM(C16:N16)</f>
        <v>85836.3864</v>
      </c>
      <c r="P16" s="31">
        <f>P4+P7+P9+P10+P11+P12+P13+P14</f>
        <v>83960</v>
      </c>
      <c r="Q16" s="16">
        <f t="shared" si="7"/>
        <v>1.022348576</v>
      </c>
    </row>
    <row r="17" ht="25.5" customHeight="1">
      <c r="A17" s="29"/>
      <c r="B17" s="30" t="s">
        <v>30</v>
      </c>
      <c r="C17" s="31">
        <f t="shared" ref="C17:N17" si="8">C5+C8</f>
        <v>1951.7224</v>
      </c>
      <c r="D17" s="31">
        <f t="shared" si="8"/>
        <v>673.6035</v>
      </c>
      <c r="E17" s="31">
        <f t="shared" si="8"/>
        <v>3477.73815</v>
      </c>
      <c r="F17" s="31">
        <f t="shared" si="8"/>
        <v>5510.66585</v>
      </c>
      <c r="G17" s="31">
        <f t="shared" si="8"/>
        <v>3501.8294</v>
      </c>
      <c r="H17" s="31">
        <f t="shared" si="8"/>
        <v>9449.56397</v>
      </c>
      <c r="I17" s="31">
        <f t="shared" si="8"/>
        <v>6145.9038</v>
      </c>
      <c r="J17" s="31">
        <f t="shared" si="8"/>
        <v>3878.64667</v>
      </c>
      <c r="K17" s="31">
        <f t="shared" si="8"/>
        <v>3107.4059</v>
      </c>
      <c r="L17" s="31">
        <f t="shared" si="8"/>
        <v>8574.8115</v>
      </c>
      <c r="M17" s="31">
        <f t="shared" si="8"/>
        <v>2574.0371</v>
      </c>
      <c r="N17" s="31">
        <f t="shared" si="8"/>
        <v>4113.64941</v>
      </c>
      <c r="O17" s="31">
        <f t="shared" si="9"/>
        <v>52959.57765</v>
      </c>
      <c r="P17" s="31">
        <f>P5+P8</f>
        <v>39000</v>
      </c>
      <c r="Q17" s="16">
        <f t="shared" si="7"/>
        <v>1.357937888</v>
      </c>
    </row>
    <row r="18" ht="25.5" customHeight="1">
      <c r="A18" s="32"/>
      <c r="B18" s="33" t="s">
        <v>31</v>
      </c>
      <c r="C18" s="34">
        <f>IFERROR(__xludf.DUMMYFUNCTION("IMPORTRANGE(""1mgk5_08R7QPyVWFUtyotwoussHVEv6Lz8ls-NcbSu3U"", ""Tổng hợp doanh thu!C14"")"),1201.9737)</f>
        <v>1201.9737</v>
      </c>
      <c r="D18" s="34">
        <f>IFERROR(__xludf.DUMMYFUNCTION("IMPORTRANGE(""1mgk5_08R7QPyVWFUtyotwoussHVEv6Lz8ls-NcbSu3U"", ""Tổng hợp doanh thu!D14"")"),5406.2467)</f>
        <v>5406.2467</v>
      </c>
      <c r="E18" s="34">
        <f>IFERROR(__xludf.DUMMYFUNCTION("IMPORTRANGE(""1mgk5_08R7QPyVWFUtyotwoussHVEv6Lz8ls-NcbSu3U"", ""Tổng hợp doanh thu!E14"")"),5204.3992)</f>
        <v>5204.3992</v>
      </c>
      <c r="F18" s="34">
        <f>IFERROR(__xludf.DUMMYFUNCTION("IMPORTRANGE(""1mgk5_08R7QPyVWFUtyotwoussHVEv6Lz8ls-NcbSu3U"", ""Tổng hợp doanh thu!F14"")"),5106.948555)</f>
        <v>5106.948555</v>
      </c>
      <c r="G18" s="34">
        <f>IFERROR(__xludf.DUMMYFUNCTION("IMPORTRANGE(""1mgk5_08R7QPyVWFUtyotwoussHVEv6Lz8ls-NcbSu3U"", ""Tổng hợp doanh thu!G14"")"),20267.64702)</f>
        <v>20267.64702</v>
      </c>
      <c r="H18" s="34">
        <f>IFERROR(__xludf.DUMMYFUNCTION("IMPORTRANGE(""1mgk5_08R7QPyVWFUtyotwoussHVEv6Lz8ls-NcbSu3U"", ""Tổng hợp doanh thu!H14"")"),6586.827669)</f>
        <v>6586.827669</v>
      </c>
      <c r="I18" s="34">
        <f>IFERROR(__xludf.DUMMYFUNCTION("IMPORTRANGE(""1mgk5_08R7QPyVWFUtyotwoussHVEv6Lz8ls-NcbSu3U"", ""Tổng hợp doanh thu!I14"")"),6360.192822000001)</f>
        <v>6360.192822</v>
      </c>
      <c r="J18" s="34">
        <f>IFERROR(__xludf.DUMMYFUNCTION("IMPORTRANGE(""1mgk5_08R7QPyVWFUtyotwoussHVEv6Lz8ls-NcbSu3U"", ""Tổng hợp doanh thu!J14"")"),6236.086588)</f>
        <v>6236.086588</v>
      </c>
      <c r="K18" s="34">
        <f>IFERROR(__xludf.DUMMYFUNCTION("IMPORTRANGE(""1mgk5_08R7QPyVWFUtyotwoussHVEv6Lz8ls-NcbSu3U"", ""Tổng hợp doanh thu!K14"")"),10740.193741000001)</f>
        <v>10740.19374</v>
      </c>
      <c r="L18" s="34">
        <f>IFERROR(__xludf.DUMMYFUNCTION("IMPORTRANGE(""1mgk5_08R7QPyVWFUtyotwoussHVEv6Lz8ls-NcbSu3U"", ""Tổng hợp doanh thu!L14"")"),13410.885968999999)</f>
        <v>13410.88597</v>
      </c>
      <c r="M18" s="34">
        <f>IFERROR(__xludf.DUMMYFUNCTION("IMPORTRANGE(""1mgk5_08R7QPyVWFUtyotwoussHVEv6Lz8ls-NcbSu3U"", ""Tổng hợp doanh thu!M14"")"),14566.623877)</f>
        <v>14566.62388</v>
      </c>
      <c r="N18" s="34">
        <f>IFERROR(__xludf.DUMMYFUNCTION("IMPORTRANGE(""1mgk5_08R7QPyVWFUtyotwoussHVEv6Lz8ls-NcbSu3U"", ""Tổng hợp doanh thu!N14"")"),22215.175305999997)</f>
        <v>22215.17531</v>
      </c>
      <c r="O18" s="10">
        <f t="shared" si="9"/>
        <v>117303.2011</v>
      </c>
      <c r="P18" s="35"/>
      <c r="Q18" s="11"/>
    </row>
    <row r="19" ht="25.5" customHeight="1">
      <c r="A19" s="32"/>
      <c r="B19" s="33" t="s">
        <v>32</v>
      </c>
      <c r="C19" s="11">
        <f t="shared" ref="C19:O19" si="10">C15/C18</f>
        <v>6.091052833</v>
      </c>
      <c r="D19" s="11">
        <f t="shared" si="10"/>
        <v>0.4871605748</v>
      </c>
      <c r="E19" s="11">
        <f t="shared" si="10"/>
        <v>1.937634459</v>
      </c>
      <c r="F19" s="11">
        <f t="shared" si="10"/>
        <v>3.207197933</v>
      </c>
      <c r="G19" s="11">
        <f t="shared" si="10"/>
        <v>0.4796796387</v>
      </c>
      <c r="H19" s="11">
        <f t="shared" si="10"/>
        <v>2.773751508</v>
      </c>
      <c r="I19" s="11">
        <f t="shared" si="10"/>
        <v>1.432736837</v>
      </c>
      <c r="J19" s="11">
        <f t="shared" si="10"/>
        <v>1.578551046</v>
      </c>
      <c r="K19" s="11">
        <f t="shared" si="10"/>
        <v>1.231775908</v>
      </c>
      <c r="L19" s="11">
        <f t="shared" si="10"/>
        <v>1.167340626</v>
      </c>
      <c r="M19" s="11">
        <f t="shared" si="10"/>
        <v>0.4055866727</v>
      </c>
      <c r="N19" s="11">
        <f t="shared" si="10"/>
        <v>0.9289358899</v>
      </c>
      <c r="O19" s="11">
        <f t="shared" si="10"/>
        <v>1.18322401</v>
      </c>
      <c r="P19" s="35"/>
      <c r="Q19" s="36"/>
    </row>
    <row r="20" ht="25.5" customHeight="1">
      <c r="A20" s="32"/>
      <c r="B20" s="9" t="s">
        <v>33</v>
      </c>
      <c r="C20" s="11"/>
      <c r="D20" s="11">
        <f t="shared" ref="D20:N20" si="11">sum($C15:D15)/sum($C18:D18)</f>
        <v>1.506456346</v>
      </c>
      <c r="E20" s="11">
        <f t="shared" si="11"/>
        <v>1.696424626</v>
      </c>
      <c r="F20" s="11">
        <f t="shared" si="11"/>
        <v>2.152431629</v>
      </c>
      <c r="G20" s="11">
        <f t="shared" si="11"/>
        <v>1.240754142</v>
      </c>
      <c r="H20" s="11">
        <f t="shared" si="11"/>
        <v>1.471429419</v>
      </c>
      <c r="I20" s="11">
        <f t="shared" si="11"/>
        <v>1.466520752</v>
      </c>
      <c r="J20" s="11">
        <f t="shared" si="11"/>
        <v>1.478914341</v>
      </c>
      <c r="K20" s="11">
        <f t="shared" si="11"/>
        <v>1.439362944</v>
      </c>
      <c r="L20" s="11">
        <f t="shared" si="11"/>
        <v>1.39405747</v>
      </c>
      <c r="M20" s="11">
        <f t="shared" si="11"/>
        <v>1.242632701</v>
      </c>
      <c r="N20" s="11">
        <f t="shared" si="11"/>
        <v>1.18322401</v>
      </c>
      <c r="O20" s="37" t="s">
        <v>34</v>
      </c>
      <c r="P20" s="38">
        <v>80000.0</v>
      </c>
      <c r="Q20" s="37">
        <f>O15/P20</f>
        <v>1.734949551</v>
      </c>
    </row>
  </sheetData>
  <mergeCells count="1">
    <mergeCell ref="C1:P1"/>
  </mergeCells>
  <conditionalFormatting sqref="C19:N20">
    <cfRule type="cellIs" dxfId="0" priority="1" operator="greaterThan">
      <formula>1</formula>
    </cfRule>
  </conditionalFormatting>
  <conditionalFormatting sqref="O19">
    <cfRule type="cellIs" dxfId="0" priority="2" operator="greaterThan">
      <formula>1</formula>
    </cfRule>
  </conditionalFormatting>
  <conditionalFormatting sqref="C19:N20">
    <cfRule type="cellIs" dxfId="1" priority="3" operator="lessThan">
      <formula>1</formula>
    </cfRule>
  </conditionalFormatting>
  <conditionalFormatting sqref="O19">
    <cfRule type="cellIs" dxfId="1" priority="4" operator="lessThan">
      <formula>1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88"/>
    <col customWidth="1" min="2" max="2" width="26.5"/>
    <col customWidth="1" min="3" max="14" width="11.25"/>
    <col customWidth="1" min="15" max="15" width="14.13"/>
    <col customWidth="1" min="16" max="16" width="14.0"/>
    <col customWidth="1" min="17" max="17" width="13.0"/>
  </cols>
  <sheetData>
    <row r="1" ht="24.0" customHeight="1">
      <c r="B1" s="2">
        <f>'Sản lượng ký kết'!B1</f>
        <v>2024</v>
      </c>
      <c r="C1" s="3" t="s">
        <v>36</v>
      </c>
      <c r="Q1" s="4"/>
    </row>
    <row r="2" ht="32.25" customHeigh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37</v>
      </c>
      <c r="Q2" s="5" t="s">
        <v>17</v>
      </c>
    </row>
    <row r="3" ht="24.75" customHeight="1">
      <c r="A3" s="8" t="s">
        <v>18</v>
      </c>
      <c r="B3" s="9" t="s">
        <v>19</v>
      </c>
      <c r="C3" s="10">
        <f t="shared" ref="C3:N3" si="1">sum(C4:C5)</f>
        <v>1.925</v>
      </c>
      <c r="D3" s="10">
        <f t="shared" si="1"/>
        <v>25.35</v>
      </c>
      <c r="E3" s="10">
        <f t="shared" si="1"/>
        <v>16.775</v>
      </c>
      <c r="F3" s="10">
        <f t="shared" si="1"/>
        <v>17.0425</v>
      </c>
      <c r="G3" s="10">
        <f t="shared" si="1"/>
        <v>16.4025</v>
      </c>
      <c r="H3" s="10">
        <f t="shared" si="1"/>
        <v>18.125</v>
      </c>
      <c r="I3" s="10">
        <f t="shared" si="1"/>
        <v>441.9411111</v>
      </c>
      <c r="J3" s="10">
        <f t="shared" si="1"/>
        <v>3.0425</v>
      </c>
      <c r="K3" s="10">
        <f t="shared" si="1"/>
        <v>692.9346296</v>
      </c>
      <c r="L3" s="10">
        <f t="shared" si="1"/>
        <v>28.8</v>
      </c>
      <c r="M3" s="10">
        <f t="shared" si="1"/>
        <v>305.7</v>
      </c>
      <c r="N3" s="10">
        <f t="shared" si="1"/>
        <v>45.1425</v>
      </c>
      <c r="O3" s="10">
        <f t="shared" ref="O3:O15" si="2">sum(C3:N3)</f>
        <v>1613.180741</v>
      </c>
      <c r="P3" s="10">
        <f>SUM(P4:P5)</f>
        <v>2180</v>
      </c>
      <c r="Q3" s="11">
        <f t="shared" ref="Q3:Q13" si="3">O3/P3</f>
        <v>0.7399911655</v>
      </c>
    </row>
    <row r="4" ht="24.75" customHeight="1">
      <c r="A4" s="12"/>
      <c r="B4" s="13" t="str">
        <f>hyperlink("https://docs.google.com/spreadsheets/d/17IwNqscaZ1nfXkCtx3V_0MEnuLIAYueeNI-uEmyeYNc/edit#gid=0","- Trung tâm PMXD")</f>
        <v>- Trung tâm PMXD</v>
      </c>
      <c r="C4" s="14">
        <v>0.0</v>
      </c>
      <c r="D4" s="14">
        <v>21.5</v>
      </c>
      <c r="E4" s="14">
        <v>11.0</v>
      </c>
      <c r="F4" s="14">
        <v>7.5</v>
      </c>
      <c r="G4" s="14">
        <v>12.8</v>
      </c>
      <c r="H4" s="14">
        <v>6.3</v>
      </c>
      <c r="I4" s="14">
        <v>434.241111111111</v>
      </c>
      <c r="J4" s="14">
        <v>2.3</v>
      </c>
      <c r="K4" s="14">
        <v>686.8296296296296</v>
      </c>
      <c r="L4" s="14">
        <v>27.7</v>
      </c>
      <c r="M4" s="14">
        <v>305.7</v>
      </c>
      <c r="N4" s="14">
        <v>42.2</v>
      </c>
      <c r="O4" s="15">
        <f t="shared" si="2"/>
        <v>1558.070741</v>
      </c>
      <c r="P4" s="14">
        <f>IFERROR(__xludf.DUMMYFUNCTION("IMPORTRANGE(""1KQzbP_ErWqmWNgKzTyNE7LhnRtstc2D4GJ4FhZuHCZQ"", ""Kế hoạch 2024!b93"")"),2000.0)</f>
        <v>2000</v>
      </c>
      <c r="Q4" s="16">
        <f t="shared" si="3"/>
        <v>0.7790353704</v>
      </c>
    </row>
    <row r="5" ht="24.75" customHeight="1">
      <c r="A5" s="12"/>
      <c r="B5" s="13" t="str">
        <f>hyperlink("https://docs.google.com/spreadsheets/d/1cdAyIuV3KTqwcGe6-vyb1X20cPPkDOOJQy9lqzxxIlg/edit#gid=0","- Chi nhánh")</f>
        <v>- Chi nhánh</v>
      </c>
      <c r="C5" s="17">
        <v>1.9250000000000003</v>
      </c>
      <c r="D5" s="14">
        <v>3.8500000000000005</v>
      </c>
      <c r="E5" s="14">
        <v>5.775</v>
      </c>
      <c r="F5" s="14">
        <v>9.542500000000002</v>
      </c>
      <c r="G5" s="14">
        <v>3.6025000000000005</v>
      </c>
      <c r="H5" s="14">
        <v>11.825000000000001</v>
      </c>
      <c r="I5" s="14">
        <v>7.700000000000001</v>
      </c>
      <c r="J5" s="14">
        <v>0.7425000000000002</v>
      </c>
      <c r="K5" s="14">
        <v>6.105000000000001</v>
      </c>
      <c r="L5" s="14">
        <v>1.1</v>
      </c>
      <c r="M5" s="14">
        <v>0.0</v>
      </c>
      <c r="N5" s="14">
        <v>2.9425</v>
      </c>
      <c r="O5" s="15">
        <f t="shared" si="2"/>
        <v>55.11</v>
      </c>
      <c r="P5" s="14">
        <v>180.0</v>
      </c>
      <c r="Q5" s="16">
        <f t="shared" si="3"/>
        <v>0.3061666667</v>
      </c>
    </row>
    <row r="6" ht="24.75" customHeight="1">
      <c r="A6" s="8" t="s">
        <v>20</v>
      </c>
      <c r="B6" s="9" t="s">
        <v>21</v>
      </c>
      <c r="C6" s="10">
        <f t="shared" ref="C6:N6" si="4">SUM(C7:C8)</f>
        <v>484.4365169</v>
      </c>
      <c r="D6" s="10">
        <f t="shared" si="4"/>
        <v>472.3647167</v>
      </c>
      <c r="E6" s="10">
        <f t="shared" si="4"/>
        <v>2813.282292</v>
      </c>
      <c r="F6" s="10">
        <f t="shared" si="4"/>
        <v>1272.779887</v>
      </c>
      <c r="G6" s="10">
        <f t="shared" si="4"/>
        <v>2673.444704</v>
      </c>
      <c r="H6" s="10">
        <f t="shared" si="4"/>
        <v>1819.29541</v>
      </c>
      <c r="I6" s="10">
        <f t="shared" si="4"/>
        <v>996.7954688</v>
      </c>
      <c r="J6" s="10">
        <f t="shared" si="4"/>
        <v>813.4932738</v>
      </c>
      <c r="K6" s="10">
        <f t="shared" si="4"/>
        <v>1595.533652</v>
      </c>
      <c r="L6" s="10">
        <f t="shared" si="4"/>
        <v>2454.448057</v>
      </c>
      <c r="M6" s="10">
        <f t="shared" si="4"/>
        <v>374.0750508</v>
      </c>
      <c r="N6" s="10">
        <f t="shared" si="4"/>
        <v>2505.440785</v>
      </c>
      <c r="O6" s="10">
        <f t="shared" si="2"/>
        <v>18275.38981</v>
      </c>
      <c r="P6" s="10">
        <f>P8+P7</f>
        <v>13670</v>
      </c>
      <c r="Q6" s="11">
        <f t="shared" si="3"/>
        <v>1.336897572</v>
      </c>
    </row>
    <row r="7" ht="24.75" customHeight="1">
      <c r="A7" s="12"/>
      <c r="B7" s="13" t="str">
        <f>hyperlink("https://docs.google.com/spreadsheets/d/1LGiIsREyb4-GdMHXfNtTTkfBPXxtYy4zobyDWot7xQA/edit#gid=0","- Trung tâm DCS")</f>
        <v>- Trung tâm DCS</v>
      </c>
      <c r="C7" s="14">
        <v>142.18090295833335</v>
      </c>
      <c r="D7" s="14">
        <v>299.2777637355556</v>
      </c>
      <c r="E7" s="14">
        <v>2046.9025868863225</v>
      </c>
      <c r="F7" s="14">
        <v>446.2179670304443</v>
      </c>
      <c r="G7" s="14">
        <v>1221.2011137741667</v>
      </c>
      <c r="H7" s="14">
        <v>797.0614191213888</v>
      </c>
      <c r="I7" s="14">
        <v>527.7374821666668</v>
      </c>
      <c r="J7" s="14">
        <v>419.8475277183333</v>
      </c>
      <c r="K7" s="14">
        <v>963.9880711125</v>
      </c>
      <c r="L7" s="14">
        <v>467.5135845766667</v>
      </c>
      <c r="M7" s="14">
        <v>225.85155910599997</v>
      </c>
      <c r="N7" s="14">
        <v>1894.334211566667</v>
      </c>
      <c r="O7" s="15">
        <f t="shared" si="2"/>
        <v>9452.11419</v>
      </c>
      <c r="P7" s="14">
        <f>IFERROR(__xludf.DUMMYFUNCTION("IMPORTRANGE(""1KQzbP_ErWqmWNgKzTyNE7LhnRtstc2D4GJ4FhZuHCZQ"", ""Kế hoạch 2024!c93"")"),6200.0)</f>
        <v>6200</v>
      </c>
      <c r="Q7" s="16">
        <f t="shared" si="3"/>
        <v>1.524534547</v>
      </c>
    </row>
    <row r="8" ht="24.75" customHeight="1">
      <c r="A8" s="12"/>
      <c r="B8" s="13" t="str">
        <f>hyperlink("https://docs.google.com/spreadsheets/d/1cdAyIuV3KTqwcGe6-vyb1X20cPPkDOOJQy9lqzxxIlg/edit#gid=0","- Chi nhánh")</f>
        <v>- Chi nhánh</v>
      </c>
      <c r="C8" s="14">
        <v>342.2556139727222</v>
      </c>
      <c r="D8" s="14">
        <v>173.086953</v>
      </c>
      <c r="E8" s="14">
        <v>766.3797055844069</v>
      </c>
      <c r="F8" s="14">
        <v>826.561920033889</v>
      </c>
      <c r="G8" s="19">
        <v>1452.243590691861</v>
      </c>
      <c r="H8" s="19">
        <v>1022.2339910549999</v>
      </c>
      <c r="I8" s="19">
        <v>469.0579866666667</v>
      </c>
      <c r="J8" s="19">
        <v>393.6457460858889</v>
      </c>
      <c r="K8" s="19">
        <v>631.545581111111</v>
      </c>
      <c r="L8" s="19">
        <v>1986.934472288889</v>
      </c>
      <c r="M8" s="19">
        <v>148.2234916666667</v>
      </c>
      <c r="N8" s="19">
        <v>611.1065730333333</v>
      </c>
      <c r="O8" s="15">
        <f t="shared" si="2"/>
        <v>8823.275625</v>
      </c>
      <c r="P8" s="14">
        <f>IFERROR(__xludf.DUMMYFUNCTION("IMPORTRANGE(""1KQzbP_ErWqmWNgKzTyNE7LhnRtstc2D4GJ4FhZuHCZQ"", ""Kế hoạch 2024!D93"")-P5"),7470.0)</f>
        <v>7470</v>
      </c>
      <c r="Q8" s="16">
        <f t="shared" si="3"/>
        <v>1.181161396</v>
      </c>
    </row>
    <row r="9" ht="24.75" customHeight="1">
      <c r="A9" s="8" t="s">
        <v>22</v>
      </c>
      <c r="B9" s="20" t="str">
        <f>hyperlink("https://docs.google.com/spreadsheets/d/17WRbCuo0DVepxTRtwozyxF08Zfve8uQViqsT2QSth8I/edit#gid=0","Trung tâm STC")</f>
        <v>Trung tâm STC</v>
      </c>
      <c r="C9" s="21">
        <v>213.1604405</v>
      </c>
      <c r="D9" s="21">
        <v>0.0</v>
      </c>
      <c r="E9" s="21">
        <v>69.34041644444441</v>
      </c>
      <c r="F9" s="21">
        <v>238.597445445</v>
      </c>
      <c r="G9" s="21">
        <v>115.04017616739583</v>
      </c>
      <c r="H9" s="21">
        <v>278.8777837349093</v>
      </c>
      <c r="I9" s="21">
        <v>348.77170634710563</v>
      </c>
      <c r="J9" s="21">
        <v>141.54255194444445</v>
      </c>
      <c r="K9" s="21">
        <v>935.188916415278</v>
      </c>
      <c r="L9" s="21">
        <v>612.8880481837978</v>
      </c>
      <c r="M9" s="21">
        <v>148.9990665</v>
      </c>
      <c r="N9" s="21">
        <v>318.97064384072723</v>
      </c>
      <c r="O9" s="10">
        <f t="shared" si="2"/>
        <v>3421.377196</v>
      </c>
      <c r="P9" s="21">
        <f>IFERROR(__xludf.DUMMYFUNCTION("IMPORTRANGE(""1KQzbP_ErWqmWNgKzTyNE7LhnRtstc2D4GJ4FhZuHCZQ"", ""Kế hoạch 2024!e93"")"),4300.0)</f>
        <v>4300</v>
      </c>
      <c r="Q9" s="11">
        <f t="shared" si="3"/>
        <v>0.7956691152</v>
      </c>
    </row>
    <row r="10" ht="24.75" customHeight="1">
      <c r="A10" s="22" t="s">
        <v>23</v>
      </c>
      <c r="B10" s="23" t="str">
        <f>hyperlink("https://docs.google.com/spreadsheets/d/1yTBWEM4qeN7cMsdZosoLoINbcnjIbiM09amCGs1O-XI/edit#gid=0","Trung tâm TVDA")</f>
        <v>Trung tâm TVDA</v>
      </c>
      <c r="C10" s="21">
        <v>0.0</v>
      </c>
      <c r="D10" s="21">
        <v>0.0</v>
      </c>
      <c r="E10" s="21">
        <v>0.0</v>
      </c>
      <c r="F10" s="21">
        <v>0.0</v>
      </c>
      <c r="G10" s="21">
        <v>0.0</v>
      </c>
      <c r="H10" s="21">
        <v>6.0</v>
      </c>
      <c r="I10" s="21">
        <v>382.8122168888888</v>
      </c>
      <c r="J10" s="21">
        <v>0.0</v>
      </c>
      <c r="K10" s="21">
        <v>236.9390737</v>
      </c>
      <c r="L10" s="21">
        <v>276.260436</v>
      </c>
      <c r="M10" s="21">
        <v>50.971111</v>
      </c>
      <c r="N10" s="21">
        <v>23.903155555555557</v>
      </c>
      <c r="O10" s="10">
        <f t="shared" si="2"/>
        <v>976.8859931</v>
      </c>
      <c r="P10" s="21">
        <f>IFERROR(__xludf.DUMMYFUNCTION("IMPORTRANGE(""1KQzbP_ErWqmWNgKzTyNE7LhnRtstc2D4GJ4FhZuHCZQ"", ""Kế hoạch 2024!f93"")"),1050.0)</f>
        <v>1050</v>
      </c>
      <c r="Q10" s="11">
        <f t="shared" si="3"/>
        <v>0.9303676125</v>
      </c>
    </row>
    <row r="11" ht="24.75" customHeight="1">
      <c r="A11" s="22" t="s">
        <v>24</v>
      </c>
      <c r="B11" s="23" t="str">
        <f>hyperlink("https://docs.google.com/spreadsheets/d/1RHfET1y4R66vHlp6uC32W0Nz_3ubpd5g4n5dZxWkyaw/edit#gid=0","Trung tâm TVTK")</f>
        <v>Trung tâm TVTK</v>
      </c>
      <c r="C11" s="21">
        <v>0.0</v>
      </c>
      <c r="D11" s="21"/>
      <c r="E11" s="10"/>
      <c r="F11" s="21"/>
      <c r="G11" s="21"/>
      <c r="H11" s="10"/>
      <c r="I11" s="21"/>
      <c r="J11" s="10"/>
      <c r="K11" s="21"/>
      <c r="L11" s="21"/>
      <c r="M11" s="21"/>
      <c r="N11" s="21"/>
      <c r="O11" s="10">
        <f t="shared" si="2"/>
        <v>0</v>
      </c>
      <c r="P11" s="21">
        <f>IFERROR(__xludf.DUMMYFUNCTION("IMPORTRANGE(""1KQzbP_ErWqmWNgKzTyNE7LhnRtstc2D4GJ4FhZuHCZQ"", ""Kế hoạch 2024!g93"")"),1500.0)</f>
        <v>1500</v>
      </c>
      <c r="Q11" s="11">
        <f t="shared" si="3"/>
        <v>0</v>
      </c>
    </row>
    <row r="12" ht="25.5" customHeight="1">
      <c r="A12" s="22" t="s">
        <v>23</v>
      </c>
      <c r="B12" s="24" t="str">
        <f>hyperlink("https://docs.google.com/spreadsheets/d/1NiLWC2P93vOYhLmUW_D3xnNV-9HJraVhA0DrW4_m5jo/edit#gid=0","Trung tâm TMB")</f>
        <v>Trung tâm TMB</v>
      </c>
      <c r="C12" s="21">
        <v>0.0</v>
      </c>
      <c r="D12" s="21"/>
      <c r="E12" s="21">
        <v>23.090073684210523</v>
      </c>
      <c r="F12" s="21">
        <v>22.383743111111105</v>
      </c>
      <c r="G12" s="21">
        <v>52.119034316666664</v>
      </c>
      <c r="H12" s="21">
        <v>280.2192986666667</v>
      </c>
      <c r="I12" s="21">
        <v>40.79867833333333</v>
      </c>
      <c r="J12" s="21">
        <v>0.0</v>
      </c>
      <c r="K12" s="21">
        <v>48.16588518333334</v>
      </c>
      <c r="L12" s="21">
        <v>174.3702157894737</v>
      </c>
      <c r="M12" s="21">
        <v>0.0</v>
      </c>
      <c r="N12" s="21">
        <v>112.16179210526317</v>
      </c>
      <c r="O12" s="10">
        <f t="shared" si="2"/>
        <v>753.3087212</v>
      </c>
      <c r="P12" s="21">
        <f>IFERROR(__xludf.DUMMYFUNCTION("IMPORTRANGE(""1KQzbP_ErWqmWNgKzTyNE7LhnRtstc2D4GJ4FhZuHCZQ"", ""Kế hoạch 2024!h93"")"),1000.0)</f>
        <v>1000</v>
      </c>
      <c r="Q12" s="11">
        <f t="shared" si="3"/>
        <v>0.7533087212</v>
      </c>
    </row>
    <row r="13" ht="24.75" customHeight="1">
      <c r="A13" s="22" t="s">
        <v>25</v>
      </c>
      <c r="B13" s="25" t="str">
        <f>hyperlink("https://docs.google.com/spreadsheets/d/1qGsXBQA7UK_C9LOomu1EW4PbhsRPWpCf9o9ByaiP77Y/edit#gid=0","Trung tâm BIM")</f>
        <v>Trung tâm BIM</v>
      </c>
      <c r="C13" s="21">
        <v>0.0</v>
      </c>
      <c r="D13" s="21">
        <v>2553.283958</v>
      </c>
      <c r="E13" s="21">
        <v>171.875</v>
      </c>
      <c r="F13" s="21">
        <v>361.6316145833334</v>
      </c>
      <c r="G13" s="21">
        <v>409.098344074074</v>
      </c>
      <c r="H13" s="21">
        <v>0.0</v>
      </c>
      <c r="I13" s="21">
        <v>494.0646339999999</v>
      </c>
      <c r="J13" s="21">
        <v>207.45</v>
      </c>
      <c r="K13" s="21">
        <v>2785.2658407407407</v>
      </c>
      <c r="L13" s="21">
        <v>239.78798</v>
      </c>
      <c r="M13" s="21">
        <v>0.0</v>
      </c>
      <c r="N13" s="21">
        <v>0.0</v>
      </c>
      <c r="O13" s="10">
        <f t="shared" si="2"/>
        <v>7222.457371</v>
      </c>
      <c r="P13" s="21">
        <f>IFERROR(__xludf.DUMMYFUNCTION("IMPORTRANGE(""1KQzbP_ErWqmWNgKzTyNE7LhnRtstc2D4GJ4FhZuHCZQ"", ""Kế hoạch 2024!i93"")"),4440.0)</f>
        <v>4440</v>
      </c>
      <c r="Q13" s="11">
        <f t="shared" si="3"/>
        <v>1.626679588</v>
      </c>
    </row>
    <row r="14" ht="24.75" customHeight="1">
      <c r="A14" s="22" t="s">
        <v>26</v>
      </c>
      <c r="B14" s="25" t="str">
        <f>hyperlink("https://docs.google.com/spreadsheets/d/1TGKe-aBIfi6jlUkNz8gWl8ld-iWWsJOQj3t5hybOWtQ/edit#gid=0","Các lĩnh vực khác")</f>
        <v>Các lĩnh vực khác</v>
      </c>
      <c r="C14" s="21">
        <v>0.0</v>
      </c>
      <c r="D14" s="10"/>
      <c r="E14" s="10"/>
      <c r="F14" s="10"/>
      <c r="G14" s="10"/>
      <c r="H14" s="21"/>
      <c r="I14" s="10"/>
      <c r="J14" s="10"/>
      <c r="K14" s="10"/>
      <c r="L14" s="10"/>
      <c r="M14" s="10"/>
      <c r="N14" s="10"/>
      <c r="O14" s="10">
        <f t="shared" si="2"/>
        <v>0</v>
      </c>
      <c r="P14" s="21">
        <v>0.0</v>
      </c>
      <c r="Q14" s="11"/>
    </row>
    <row r="15" ht="24.75" customHeight="1">
      <c r="A15" s="22" t="s">
        <v>27</v>
      </c>
      <c r="B15" s="9" t="s">
        <v>28</v>
      </c>
      <c r="C15" s="40">
        <f t="shared" ref="C15:N15" si="5">SUM(C16:C17)</f>
        <v>699.5219574</v>
      </c>
      <c r="D15" s="41">
        <f t="shared" si="5"/>
        <v>3050.998675</v>
      </c>
      <c r="E15" s="41">
        <f t="shared" si="5"/>
        <v>3094.362783</v>
      </c>
      <c r="F15" s="41">
        <f t="shared" si="5"/>
        <v>1912.43519</v>
      </c>
      <c r="G15" s="41">
        <f t="shared" si="5"/>
        <v>3266.104759</v>
      </c>
      <c r="H15" s="41">
        <f t="shared" si="5"/>
        <v>2402.517493</v>
      </c>
      <c r="I15" s="41">
        <f t="shared" si="5"/>
        <v>2705.183816</v>
      </c>
      <c r="J15" s="41">
        <f t="shared" si="5"/>
        <v>1165.528326</v>
      </c>
      <c r="K15" s="41">
        <f t="shared" si="5"/>
        <v>6294.027998</v>
      </c>
      <c r="L15" s="41">
        <f t="shared" si="5"/>
        <v>3786.554737</v>
      </c>
      <c r="M15" s="41">
        <f t="shared" si="5"/>
        <v>879.7452283</v>
      </c>
      <c r="N15" s="41">
        <f t="shared" si="5"/>
        <v>3005.618876</v>
      </c>
      <c r="O15" s="28">
        <f t="shared" si="2"/>
        <v>32262.59984</v>
      </c>
      <c r="P15" s="10">
        <f>P17+P16</f>
        <v>28140</v>
      </c>
      <c r="Q15" s="11">
        <f t="shared" ref="Q15:Q17" si="7">O15/P15</f>
        <v>1.146503192</v>
      </c>
    </row>
    <row r="16" ht="24.75" customHeight="1">
      <c r="A16" s="29"/>
      <c r="B16" s="30" t="s">
        <v>29</v>
      </c>
      <c r="C16" s="31">
        <f t="shared" ref="C16:N16" si="6">C4+C7+C9+C10+C11+C12+C13+C14</f>
        <v>355.3413435</v>
      </c>
      <c r="D16" s="31">
        <f t="shared" si="6"/>
        <v>2874.061722</v>
      </c>
      <c r="E16" s="31">
        <f t="shared" si="6"/>
        <v>2322.208077</v>
      </c>
      <c r="F16" s="31">
        <f t="shared" si="6"/>
        <v>1076.33077</v>
      </c>
      <c r="G16" s="31">
        <f t="shared" si="6"/>
        <v>1810.258668</v>
      </c>
      <c r="H16" s="31">
        <f t="shared" si="6"/>
        <v>1368.458502</v>
      </c>
      <c r="I16" s="31">
        <f t="shared" si="6"/>
        <v>2228.425829</v>
      </c>
      <c r="J16" s="31">
        <f t="shared" si="6"/>
        <v>771.1400797</v>
      </c>
      <c r="K16" s="31">
        <f t="shared" si="6"/>
        <v>5656.377417</v>
      </c>
      <c r="L16" s="31">
        <f t="shared" si="6"/>
        <v>1798.520265</v>
      </c>
      <c r="M16" s="31">
        <f t="shared" si="6"/>
        <v>731.5217366</v>
      </c>
      <c r="N16" s="31">
        <f t="shared" si="6"/>
        <v>2391.569803</v>
      </c>
      <c r="O16" s="31">
        <f t="shared" ref="O16:O18" si="9">SUM(C16:N16)</f>
        <v>23384.21421</v>
      </c>
      <c r="P16" s="31">
        <f>P4+P7+P9+P10+P11+P12+P13+P14</f>
        <v>20490</v>
      </c>
      <c r="Q16" s="16">
        <f t="shared" si="7"/>
        <v>1.141250084</v>
      </c>
    </row>
    <row r="17" ht="24.75" customHeight="1">
      <c r="A17" s="29"/>
      <c r="B17" s="30" t="s">
        <v>30</v>
      </c>
      <c r="C17" s="31">
        <f t="shared" ref="C17:N17" si="8">C5+C8</f>
        <v>344.180614</v>
      </c>
      <c r="D17" s="31">
        <f t="shared" si="8"/>
        <v>176.936953</v>
      </c>
      <c r="E17" s="31">
        <f t="shared" si="8"/>
        <v>772.1547056</v>
      </c>
      <c r="F17" s="31">
        <f t="shared" si="8"/>
        <v>836.10442</v>
      </c>
      <c r="G17" s="31">
        <f t="shared" si="8"/>
        <v>1455.846091</v>
      </c>
      <c r="H17" s="31">
        <f t="shared" si="8"/>
        <v>1034.058991</v>
      </c>
      <c r="I17" s="31">
        <f t="shared" si="8"/>
        <v>476.7579867</v>
      </c>
      <c r="J17" s="31">
        <f t="shared" si="8"/>
        <v>394.3882461</v>
      </c>
      <c r="K17" s="31">
        <f t="shared" si="8"/>
        <v>637.6505811</v>
      </c>
      <c r="L17" s="31">
        <f t="shared" si="8"/>
        <v>1988.034472</v>
      </c>
      <c r="M17" s="31">
        <f t="shared" si="8"/>
        <v>148.2234917</v>
      </c>
      <c r="N17" s="31">
        <f t="shared" si="8"/>
        <v>614.049073</v>
      </c>
      <c r="O17" s="31">
        <f t="shared" si="9"/>
        <v>8878.385625</v>
      </c>
      <c r="P17" s="31">
        <f>P5+P8</f>
        <v>7650</v>
      </c>
      <c r="Q17" s="16">
        <f t="shared" si="7"/>
        <v>1.160573284</v>
      </c>
    </row>
    <row r="18" ht="24.75" customHeight="1">
      <c r="A18" s="32"/>
      <c r="B18" s="33" t="s">
        <v>31</v>
      </c>
      <c r="C18" s="34">
        <f>IFERROR(__xludf.DUMMYFUNCTION("IMPORTRANGE(""1mgk5_08R7QPyVWFUtyotwoussHVEv6Lz8ls-NcbSu3U"", ""Lợi nhuận gộp quản trị!C14"")"),2106.1832971498056)</f>
        <v>2106.183297</v>
      </c>
      <c r="D18" s="34">
        <f>IFERROR(__xludf.DUMMYFUNCTION("IMPORTRANGE(""1mgk5_08R7QPyVWFUtyotwoussHVEv6Lz8ls-NcbSu3U"", ""Lợi nhuận gộp quản trị!D14"")"),1058.6942950332423)</f>
        <v>1058.694295</v>
      </c>
      <c r="E18" s="34">
        <f>IFERROR(__xludf.DUMMYFUNCTION("IMPORTRANGE(""1mgk5_08R7QPyVWFUtyotwoussHVEv6Lz8ls-NcbSu3U"", ""Lợi nhuận gộp quản trị!E14"")"),2834.4682672291483)</f>
        <v>2834.468267</v>
      </c>
      <c r="F18" s="34">
        <f>IFERROR(__xludf.DUMMYFUNCTION("IMPORTRANGE(""1mgk5_08R7QPyVWFUtyotwoussHVEv6Lz8ls-NcbSu3U"", ""Lợi nhuận gộp quản trị!F14"")"),1640.263716895778)</f>
        <v>1640.263717</v>
      </c>
      <c r="G18" s="34">
        <f>IFERROR(__xludf.DUMMYFUNCTION("IMPORTRANGE(""1mgk5_08R7QPyVWFUtyotwoussHVEv6Lz8ls-NcbSu3U"", ""Lợi nhuận gộp quản trị!G14"")"),1702.9503356165792)</f>
        <v>1702.950336</v>
      </c>
      <c r="H18" s="34">
        <f>IFERROR(__xludf.DUMMYFUNCTION("IMPORTRANGE(""1mgk5_08R7QPyVWFUtyotwoussHVEv6Lz8ls-NcbSu3U"", ""Lợi nhuận gộp quản trị!H14"")"),1417.51985533785)</f>
        <v>1417.519855</v>
      </c>
      <c r="I18" s="34">
        <f>IFERROR(__xludf.DUMMYFUNCTION("IMPORTRANGE(""1mgk5_08R7QPyVWFUtyotwoussHVEv6Lz8ls-NcbSu3U"", ""Lợi nhuận gộp quản trị!I14"")"),1241.7991817754444)</f>
        <v>1241.799182</v>
      </c>
      <c r="J18" s="34">
        <f>IFERROR(__xludf.DUMMYFUNCTION("IMPORTRANGE(""1mgk5_08R7QPyVWFUtyotwoussHVEv6Lz8ls-NcbSu3U"", ""Lợi nhuận gộp quản trị!J14"")"),1975.7471841261404)</f>
        <v>1975.747184</v>
      </c>
      <c r="K18" s="34">
        <f>IFERROR(__xludf.DUMMYFUNCTION("IMPORTRANGE(""1mgk5_08R7QPyVWFUtyotwoussHVEv6Lz8ls-NcbSu3U"", ""Lợi nhuận gộp quản trị!K14"")"),2559.4954056203214)</f>
        <v>2559.495406</v>
      </c>
      <c r="L18" s="34">
        <f>IFERROR(__xludf.DUMMYFUNCTION("IMPORTRANGE(""1mgk5_08R7QPyVWFUtyotwoussHVEv6Lz8ls-NcbSu3U"", ""Lợi nhuận gộp quản trị!L14"")"),1496.8882693902774)</f>
        <v>1496.888269</v>
      </c>
      <c r="M18" s="34">
        <f>IFERROR(__xludf.DUMMYFUNCTION("IMPORTRANGE(""1mgk5_08R7QPyVWFUtyotwoussHVEv6Lz8ls-NcbSu3U"", ""Lợi nhuận gộp quản trị!M14"")"),4630.331321443744)</f>
        <v>4630.331321</v>
      </c>
      <c r="N18" s="34">
        <f>IFERROR(__xludf.DUMMYFUNCTION("IMPORTRANGE(""1mgk5_08R7QPyVWFUtyotwoussHVEv6Lz8ls-NcbSu3U"", ""Lợi nhuận gộp quản trị!N14"")"),1193.2422717611112)</f>
        <v>1193.242272</v>
      </c>
      <c r="O18" s="10">
        <f t="shared" si="9"/>
        <v>23857.5834</v>
      </c>
      <c r="P18" s="35"/>
      <c r="Q18" s="11"/>
    </row>
    <row r="19" ht="24.75" customHeight="1">
      <c r="A19" s="32"/>
      <c r="B19" s="33" t="s">
        <v>32</v>
      </c>
      <c r="C19" s="11">
        <f t="shared" ref="C19:O19" si="10">C15/C18</f>
        <v>0.332127768</v>
      </c>
      <c r="D19" s="11">
        <f t="shared" si="10"/>
        <v>2.881850492</v>
      </c>
      <c r="E19" s="11">
        <f t="shared" si="10"/>
        <v>1.091690748</v>
      </c>
      <c r="F19" s="11">
        <f t="shared" si="10"/>
        <v>1.165931533</v>
      </c>
      <c r="G19" s="11">
        <f t="shared" si="10"/>
        <v>1.917909578</v>
      </c>
      <c r="H19" s="11">
        <f t="shared" si="10"/>
        <v>1.694873961</v>
      </c>
      <c r="I19" s="11">
        <f t="shared" si="10"/>
        <v>2.178439038</v>
      </c>
      <c r="J19" s="11">
        <f t="shared" si="10"/>
        <v>0.5899177461</v>
      </c>
      <c r="K19" s="11">
        <f t="shared" si="10"/>
        <v>2.459089391</v>
      </c>
      <c r="L19" s="11">
        <f t="shared" si="10"/>
        <v>2.529617483</v>
      </c>
      <c r="M19" s="11">
        <f t="shared" si="10"/>
        <v>0.1899961725</v>
      </c>
      <c r="N19" s="11">
        <f t="shared" si="10"/>
        <v>2.518867247</v>
      </c>
      <c r="O19" s="11">
        <f t="shared" si="10"/>
        <v>1.352299573</v>
      </c>
      <c r="P19" s="35"/>
      <c r="Q19" s="36"/>
    </row>
    <row r="20" ht="24.75" customHeight="1">
      <c r="A20" s="32"/>
      <c r="B20" s="9" t="s">
        <v>33</v>
      </c>
      <c r="C20" s="11"/>
      <c r="D20" s="11">
        <f t="shared" ref="D20:N20" si="11">sum($C15:D15)/sum($C18:D18)</f>
        <v>1.185044452</v>
      </c>
      <c r="E20" s="11">
        <f t="shared" si="11"/>
        <v>1.140938291</v>
      </c>
      <c r="F20" s="11">
        <f t="shared" si="11"/>
        <v>1.14630447</v>
      </c>
      <c r="G20" s="11">
        <f t="shared" si="11"/>
        <v>1.2869517</v>
      </c>
      <c r="H20" s="11">
        <f t="shared" si="11"/>
        <v>1.340690884</v>
      </c>
      <c r="I20" s="11">
        <f t="shared" si="11"/>
        <v>1.427370226</v>
      </c>
      <c r="J20" s="11">
        <f t="shared" si="11"/>
        <v>1.308995735</v>
      </c>
      <c r="K20" s="11">
        <f t="shared" si="11"/>
        <v>1.486998867</v>
      </c>
      <c r="L20" s="11">
        <f t="shared" si="11"/>
        <v>1.573539997</v>
      </c>
      <c r="M20" s="11">
        <f t="shared" si="11"/>
        <v>1.290881601</v>
      </c>
      <c r="N20" s="11">
        <f t="shared" si="11"/>
        <v>1.352299573</v>
      </c>
      <c r="O20" s="37" t="s">
        <v>34</v>
      </c>
      <c r="P20" s="38">
        <v>24000.0</v>
      </c>
      <c r="Q20" s="37">
        <f>O15/P20</f>
        <v>1.344274993</v>
      </c>
    </row>
  </sheetData>
  <mergeCells count="1">
    <mergeCell ref="C1:P1"/>
  </mergeCells>
  <conditionalFormatting sqref="C19:N20">
    <cfRule type="cellIs" dxfId="0" priority="1" operator="greaterThan">
      <formula>1</formula>
    </cfRule>
  </conditionalFormatting>
  <conditionalFormatting sqref="O19">
    <cfRule type="cellIs" dxfId="0" priority="2" operator="greaterThan">
      <formula>1</formula>
    </cfRule>
  </conditionalFormatting>
  <conditionalFormatting sqref="C19:N20">
    <cfRule type="cellIs" dxfId="1" priority="3" operator="lessThan">
      <formula>1</formula>
    </cfRule>
  </conditionalFormatting>
  <conditionalFormatting sqref="O19">
    <cfRule type="cellIs" dxfId="1" priority="4" operator="lessThan">
      <formula>1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88"/>
    <col customWidth="1" min="2" max="2" width="26.75"/>
    <col customWidth="1" min="3" max="14" width="11.25"/>
    <col customWidth="1" min="15" max="15" width="14.13"/>
    <col customWidth="1" min="16" max="16" width="14.0"/>
    <col customWidth="1" min="17" max="17" width="13.0"/>
  </cols>
  <sheetData>
    <row r="1" ht="24.0" customHeight="1">
      <c r="B1" s="2">
        <f>'Sản lượng ký kết'!B1</f>
        <v>2024</v>
      </c>
      <c r="C1" s="3" t="s">
        <v>38</v>
      </c>
      <c r="Q1" s="4"/>
    </row>
    <row r="2" ht="32.25" customHeigh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37</v>
      </c>
      <c r="Q2" s="5" t="s">
        <v>17</v>
      </c>
    </row>
    <row r="3" ht="24.75" customHeight="1">
      <c r="A3" s="8" t="s">
        <v>18</v>
      </c>
      <c r="B3" s="9" t="s">
        <v>19</v>
      </c>
      <c r="C3" s="10">
        <f t="shared" ref="C3:N3" si="1">sum(C4:C5)</f>
        <v>1.925</v>
      </c>
      <c r="D3" s="10">
        <f t="shared" si="1"/>
        <v>25.35</v>
      </c>
      <c r="E3" s="10">
        <f t="shared" si="1"/>
        <v>13.775</v>
      </c>
      <c r="F3" s="10">
        <f t="shared" si="1"/>
        <v>13.5425</v>
      </c>
      <c r="G3" s="10">
        <f t="shared" si="1"/>
        <v>12.8025</v>
      </c>
      <c r="H3" s="10">
        <f t="shared" si="1"/>
        <v>17.825</v>
      </c>
      <c r="I3" s="10">
        <f t="shared" si="1"/>
        <v>26.8</v>
      </c>
      <c r="J3" s="10">
        <f t="shared" si="1"/>
        <v>14.2675</v>
      </c>
      <c r="K3" s="10">
        <f t="shared" si="1"/>
        <v>16.38</v>
      </c>
      <c r="L3" s="10">
        <f t="shared" si="1"/>
        <v>42.9</v>
      </c>
      <c r="M3" s="10">
        <f t="shared" si="1"/>
        <v>55.7</v>
      </c>
      <c r="N3" s="10">
        <f t="shared" si="1"/>
        <v>963.7633333</v>
      </c>
      <c r="O3" s="10">
        <f t="shared" ref="O3:O12" si="2">sum(C3:N3)</f>
        <v>1205.030833</v>
      </c>
      <c r="P3" s="10">
        <f>SUM(P4:P5)</f>
        <v>2180</v>
      </c>
      <c r="Q3" s="11">
        <f t="shared" ref="Q3:Q13" si="3">O3/P3</f>
        <v>0.5527664373</v>
      </c>
    </row>
    <row r="4" ht="24.75" customHeight="1">
      <c r="A4" s="12"/>
      <c r="B4" s="13" t="str">
        <f>hyperlink("https://docs.google.com/spreadsheets/d/17IwNqscaZ1nfXkCtx3V_0MEnuLIAYueeNI-uEmyeYNc/edit#gid=0","- Trung tâm PMXD")</f>
        <v>- Trung tâm PMXD</v>
      </c>
      <c r="C4" s="14"/>
      <c r="D4" s="14">
        <v>21.5</v>
      </c>
      <c r="E4" s="14">
        <v>8.0</v>
      </c>
      <c r="F4" s="14">
        <v>4.0</v>
      </c>
      <c r="G4" s="14">
        <v>9.2</v>
      </c>
      <c r="H4" s="14">
        <v>6.0</v>
      </c>
      <c r="I4" s="14">
        <v>19.1</v>
      </c>
      <c r="J4" s="14">
        <v>12.7</v>
      </c>
      <c r="K4" s="14">
        <v>11.1</v>
      </c>
      <c r="L4" s="14">
        <v>41.8</v>
      </c>
      <c r="M4" s="14">
        <v>55.7</v>
      </c>
      <c r="N4" s="14">
        <v>961.5633333333333</v>
      </c>
      <c r="O4" s="15">
        <f t="shared" si="2"/>
        <v>1150.663333</v>
      </c>
      <c r="P4" s="14">
        <f>'Lợi nhuận gộp quản trị'!P4</f>
        <v>2000</v>
      </c>
      <c r="Q4" s="16">
        <f t="shared" si="3"/>
        <v>0.5753316667</v>
      </c>
    </row>
    <row r="5" ht="24.75" customHeight="1">
      <c r="A5" s="12"/>
      <c r="B5" s="13" t="str">
        <f>hyperlink("https://docs.google.com/spreadsheets/d/1cdAyIuV3KTqwcGe6-vyb1X20cPPkDOOJQy9lqzxxIlg/edit#gid=0","- Chi nhánh")</f>
        <v>- Chi nhánh</v>
      </c>
      <c r="C5" s="17">
        <v>1.9250000000000003</v>
      </c>
      <c r="D5" s="14">
        <v>3.8500000000000005</v>
      </c>
      <c r="E5" s="14">
        <v>5.775</v>
      </c>
      <c r="F5" s="14">
        <v>9.542500000000002</v>
      </c>
      <c r="G5" s="14">
        <v>3.6025000000000005</v>
      </c>
      <c r="H5" s="14">
        <v>11.825000000000001</v>
      </c>
      <c r="I5" s="14">
        <v>7.700000000000001</v>
      </c>
      <c r="J5" s="14">
        <v>1.5675000000000003</v>
      </c>
      <c r="K5" s="14">
        <v>5.28</v>
      </c>
      <c r="L5" s="14">
        <v>1.1</v>
      </c>
      <c r="M5" s="14"/>
      <c r="N5" s="14">
        <v>2.2</v>
      </c>
      <c r="O5" s="15">
        <f t="shared" si="2"/>
        <v>54.3675</v>
      </c>
      <c r="P5" s="14">
        <f>'Lợi nhuận gộp quản trị'!P5</f>
        <v>180</v>
      </c>
      <c r="Q5" s="16">
        <f t="shared" si="3"/>
        <v>0.3020416667</v>
      </c>
    </row>
    <row r="6" ht="24.75" customHeight="1">
      <c r="A6" s="8" t="s">
        <v>20</v>
      </c>
      <c r="B6" s="9" t="s">
        <v>21</v>
      </c>
      <c r="C6" s="10">
        <f t="shared" ref="C6:N6" si="4">SUM(C7:C8)</f>
        <v>1004.350498</v>
      </c>
      <c r="D6" s="10">
        <f t="shared" si="4"/>
        <v>261.6032494</v>
      </c>
      <c r="E6" s="10">
        <f t="shared" si="4"/>
        <v>975.8763699</v>
      </c>
      <c r="F6" s="10">
        <f t="shared" si="4"/>
        <v>2931.431768</v>
      </c>
      <c r="G6" s="10">
        <f t="shared" si="4"/>
        <v>1508.282706</v>
      </c>
      <c r="H6" s="10">
        <f t="shared" si="4"/>
        <v>2810.099446</v>
      </c>
      <c r="I6" s="10">
        <f t="shared" si="4"/>
        <v>725.1374554</v>
      </c>
      <c r="J6" s="10">
        <f t="shared" si="4"/>
        <v>1655.953499</v>
      </c>
      <c r="K6" s="10">
        <f t="shared" si="4"/>
        <v>1508.328246</v>
      </c>
      <c r="L6" s="10">
        <f t="shared" si="4"/>
        <v>3028.011313</v>
      </c>
      <c r="M6" s="10">
        <f t="shared" si="4"/>
        <v>677.7880087</v>
      </c>
      <c r="N6" s="10">
        <f t="shared" si="4"/>
        <v>1962.408044</v>
      </c>
      <c r="O6" s="10">
        <f t="shared" si="2"/>
        <v>19049.2706</v>
      </c>
      <c r="P6" s="10">
        <f>P8+P7</f>
        <v>13670</v>
      </c>
      <c r="Q6" s="11">
        <f t="shared" si="3"/>
        <v>1.393509188</v>
      </c>
    </row>
    <row r="7" ht="24.75" customHeight="1">
      <c r="A7" s="12"/>
      <c r="B7" s="13" t="str">
        <f>hyperlink("https://docs.google.com/spreadsheets/d/1LGiIsREyb4-GdMHXfNtTTkfBPXxtYy4zobyDWot7xQA/edit#gid=0","- Trung tâm DCS")</f>
        <v>- Trung tâm DCS</v>
      </c>
      <c r="C7" s="14">
        <v>657.4698389583334</v>
      </c>
      <c r="D7" s="14">
        <v>192.97497140222222</v>
      </c>
      <c r="E7" s="14">
        <v>523.4950690349444</v>
      </c>
      <c r="F7" s="14">
        <v>2030.7706890641557</v>
      </c>
      <c r="G7" s="14">
        <v>1031.7666729448333</v>
      </c>
      <c r="H7" s="14">
        <v>903.7977871219998</v>
      </c>
      <c r="I7" s="14">
        <v>293.47823344638886</v>
      </c>
      <c r="J7" s="14">
        <v>756.8308799516667</v>
      </c>
      <c r="K7" s="14">
        <v>934.4443286391669</v>
      </c>
      <c r="L7" s="14">
        <v>910.4817758916666</v>
      </c>
      <c r="M7" s="14">
        <v>350.25069428099994</v>
      </c>
      <c r="N7" s="14">
        <v>1440.2403780166667</v>
      </c>
      <c r="O7" s="15">
        <f t="shared" si="2"/>
        <v>10026.00132</v>
      </c>
      <c r="P7" s="14">
        <f>'Lợi nhuận gộp quản trị'!P7</f>
        <v>6200</v>
      </c>
      <c r="Q7" s="16">
        <f t="shared" si="3"/>
        <v>1.617096987</v>
      </c>
    </row>
    <row r="8" ht="24.75" customHeight="1">
      <c r="A8" s="12"/>
      <c r="B8" s="13" t="str">
        <f>hyperlink("https://docs.google.com/spreadsheets/d/1cdAyIuV3KTqwcGe6-vyb1X20cPPkDOOJQy9lqzxxIlg/edit#gid=0","- Chi nhánh")</f>
        <v>- Chi nhánh</v>
      </c>
      <c r="C8" s="14">
        <v>346.8806592222223</v>
      </c>
      <c r="D8" s="14">
        <v>68.628278</v>
      </c>
      <c r="E8" s="14">
        <v>452.38130083966666</v>
      </c>
      <c r="F8" s="14">
        <v>900.6610791449624</v>
      </c>
      <c r="G8" s="19">
        <v>476.51603255916666</v>
      </c>
      <c r="H8" s="19">
        <v>1906.3016592801944</v>
      </c>
      <c r="I8" s="19">
        <v>431.6592219583333</v>
      </c>
      <c r="J8" s="19">
        <v>899.1226194192222</v>
      </c>
      <c r="K8" s="19">
        <v>573.8839177777777</v>
      </c>
      <c r="L8" s="19">
        <v>2117.5295370555555</v>
      </c>
      <c r="M8" s="19">
        <v>327.5373144</v>
      </c>
      <c r="N8" s="19">
        <v>522.1676655333333</v>
      </c>
      <c r="O8" s="15">
        <f t="shared" si="2"/>
        <v>9023.269285</v>
      </c>
      <c r="P8" s="14">
        <f>'Lợi nhuận gộp quản trị'!P8</f>
        <v>7470</v>
      </c>
      <c r="Q8" s="16">
        <f t="shared" si="3"/>
        <v>1.207934309</v>
      </c>
    </row>
    <row r="9" ht="24.75" customHeight="1">
      <c r="A9" s="8" t="s">
        <v>22</v>
      </c>
      <c r="B9" s="20" t="str">
        <f>hyperlink("https://docs.google.com/spreadsheets/d/17WRbCuo0DVepxTRtwozyxF08Zfve8uQViqsT2QSth8I/edit#gid=0","Trung tâm STC")</f>
        <v>Trung tâm STC</v>
      </c>
      <c r="C9" s="21">
        <v>457.135872</v>
      </c>
      <c r="D9" s="21"/>
      <c r="E9" s="21">
        <v>247.6328045</v>
      </c>
      <c r="F9" s="21">
        <v>111.44515494444441</v>
      </c>
      <c r="G9" s="21">
        <v>32.211582</v>
      </c>
      <c r="H9" s="21">
        <v>558.199084847305</v>
      </c>
      <c r="I9" s="21">
        <v>348.77170634710563</v>
      </c>
      <c r="J9" s="21">
        <v>79.08500694444444</v>
      </c>
      <c r="K9" s="21">
        <v>594.7852223708335</v>
      </c>
      <c r="L9" s="21">
        <v>707.0956961782421</v>
      </c>
      <c r="M9" s="21">
        <v>205.97749875</v>
      </c>
      <c r="N9" s="21">
        <v>482.0105303407272</v>
      </c>
      <c r="O9" s="10">
        <f t="shared" si="2"/>
        <v>3824.350159</v>
      </c>
      <c r="P9" s="21">
        <f>'Lợi nhuận gộp quản trị'!P9</f>
        <v>4300</v>
      </c>
      <c r="Q9" s="11">
        <f t="shared" si="3"/>
        <v>0.889383758</v>
      </c>
    </row>
    <row r="10" ht="24.75" customHeight="1">
      <c r="A10" s="22" t="s">
        <v>23</v>
      </c>
      <c r="B10" s="23" t="str">
        <f>hyperlink("https://docs.google.com/spreadsheets/d/1yTBWEM4qeN7cMsdZosoLoINbcnjIbiM09amCGs1O-XI/edit#gid=0","Trung tâm TVDA")</f>
        <v>Trung tâm TVDA</v>
      </c>
      <c r="C10" s="21"/>
      <c r="D10" s="10"/>
      <c r="E10" s="21"/>
      <c r="F10" s="10"/>
      <c r="G10" s="10"/>
      <c r="H10" s="21"/>
      <c r="I10" s="21"/>
      <c r="J10" s="21"/>
      <c r="K10" s="10"/>
      <c r="L10" s="21">
        <v>6.0</v>
      </c>
      <c r="M10" s="21">
        <v>18.4527777</v>
      </c>
      <c r="N10" s="21">
        <v>977.3478471666666</v>
      </c>
      <c r="O10" s="10">
        <f t="shared" si="2"/>
        <v>1001.800625</v>
      </c>
      <c r="P10" s="21">
        <f>'Lợi nhuận gộp quản trị'!P10</f>
        <v>1050</v>
      </c>
      <c r="Q10" s="11">
        <f t="shared" si="3"/>
        <v>0.9540958332</v>
      </c>
    </row>
    <row r="11" ht="24.75" customHeight="1">
      <c r="A11" s="22" t="s">
        <v>24</v>
      </c>
      <c r="B11" s="23" t="str">
        <f>hyperlink("https://docs.google.com/spreadsheets/d/1RHfET1y4R66vHlp6uC32W0Nz_3ubpd5g4n5dZxWkyaw/edit#gid=0","Trung tâm TVTK")</f>
        <v>Trung tâm TVTK</v>
      </c>
      <c r="C11" s="21"/>
      <c r="D11" s="21"/>
      <c r="E11" s="10"/>
      <c r="F11" s="10"/>
      <c r="G11" s="21"/>
      <c r="H11" s="10"/>
      <c r="I11" s="10"/>
      <c r="J11" s="10"/>
      <c r="K11" s="21"/>
      <c r="L11" s="10"/>
      <c r="M11" s="10"/>
      <c r="N11" s="10"/>
      <c r="O11" s="10">
        <f t="shared" si="2"/>
        <v>0</v>
      </c>
      <c r="P11" s="21">
        <f>'Lợi nhuận gộp quản trị'!P11</f>
        <v>1500</v>
      </c>
      <c r="Q11" s="11">
        <f t="shared" si="3"/>
        <v>0</v>
      </c>
    </row>
    <row r="12" ht="25.5" customHeight="1">
      <c r="A12" s="22" t="s">
        <v>23</v>
      </c>
      <c r="B12" s="24" t="str">
        <f>hyperlink("https://docs.google.com/spreadsheets/d/1NiLWC2P93vOYhLmUW_D3xnNV-9HJraVhA0DrW4_m5jo/edit#gid=0","Trung tâm TMB")</f>
        <v>Trung tâm TMB</v>
      </c>
      <c r="C12" s="21"/>
      <c r="D12" s="21"/>
      <c r="E12" s="21"/>
      <c r="F12" s="21"/>
      <c r="G12" s="21">
        <v>22.383743111111105</v>
      </c>
      <c r="H12" s="21">
        <v>32.82904113333334</v>
      </c>
      <c r="I12" s="21">
        <v>67.29</v>
      </c>
      <c r="J12" s="21">
        <v>28.219291849999994</v>
      </c>
      <c r="K12" s="21"/>
      <c r="L12" s="21"/>
      <c r="M12" s="21"/>
      <c r="N12" s="21">
        <v>27.594495183333333</v>
      </c>
      <c r="O12" s="10">
        <f t="shared" si="2"/>
        <v>178.3165713</v>
      </c>
      <c r="P12" s="21">
        <f>'Lợi nhuận gộp quản trị'!P12</f>
        <v>1000</v>
      </c>
      <c r="Q12" s="11">
        <f t="shared" si="3"/>
        <v>0.1783165713</v>
      </c>
    </row>
    <row r="13" ht="24.75" customHeight="1">
      <c r="A13" s="22" t="s">
        <v>25</v>
      </c>
      <c r="B13" s="25" t="str">
        <f>hyperlink("https://docs.google.com/spreadsheets/d/1qGsXBQA7UK_C9LOomu1EW4PbhsRPWpCf9o9ByaiP77Y/edit#gid=0","Trung tâm BIM")</f>
        <v>Trung tâm BIM</v>
      </c>
      <c r="C13" s="21"/>
      <c r="D13" s="10"/>
      <c r="E13" s="21">
        <v>1968.7358</v>
      </c>
      <c r="F13" s="21">
        <v>44.5</v>
      </c>
      <c r="G13" s="21">
        <v>27.298</v>
      </c>
      <c r="H13" s="21">
        <v>10.68</v>
      </c>
      <c r="I13" s="21">
        <v>39.54627</v>
      </c>
      <c r="J13" s="10"/>
      <c r="K13" s="21">
        <v>2691.865</v>
      </c>
      <c r="L13" s="10"/>
      <c r="M13" s="10"/>
      <c r="N13" s="21">
        <v>1473.7108645925925</v>
      </c>
      <c r="O13" s="21">
        <v>2930.0</v>
      </c>
      <c r="P13" s="21">
        <f>'Lợi nhuận gộp quản trị'!P13</f>
        <v>4440</v>
      </c>
      <c r="Q13" s="11">
        <f t="shared" si="3"/>
        <v>0.6599099099</v>
      </c>
    </row>
    <row r="14" ht="24.75" customHeight="1">
      <c r="A14" s="22" t="s">
        <v>26</v>
      </c>
      <c r="B14" s="25" t="str">
        <f>hyperlink("https://docs.google.com/spreadsheets/d/1TGKe-aBIfi6jlUkNz8gWl8ld-iWWsJOQj3t5hybOWtQ/edit#gid=0","Các lĩnh vực khác")</f>
        <v>Các lĩnh vực khác</v>
      </c>
      <c r="C14" s="21"/>
      <c r="D14" s="10"/>
      <c r="E14" s="10"/>
      <c r="F14" s="10"/>
      <c r="G14" s="10"/>
      <c r="H14" s="21"/>
      <c r="I14" s="10"/>
      <c r="J14" s="10"/>
      <c r="K14" s="10"/>
      <c r="L14" s="10"/>
      <c r="M14" s="10"/>
      <c r="N14" s="10"/>
      <c r="O14" s="10">
        <f t="shared" ref="O14:O15" si="6">sum(C14:N14)</f>
        <v>0</v>
      </c>
      <c r="P14" s="21">
        <f>'Lợi nhuận gộp quản trị'!P14</f>
        <v>0</v>
      </c>
      <c r="Q14" s="11"/>
    </row>
    <row r="15" ht="24.75" customHeight="1">
      <c r="A15" s="22" t="s">
        <v>27</v>
      </c>
      <c r="B15" s="9" t="s">
        <v>28</v>
      </c>
      <c r="C15" s="40">
        <f t="shared" ref="C15:N15" si="5">SUM(C16:C17)</f>
        <v>1463.41137</v>
      </c>
      <c r="D15" s="41">
        <f t="shared" si="5"/>
        <v>286.9532494</v>
      </c>
      <c r="E15" s="41">
        <f t="shared" si="5"/>
        <v>3206.019974</v>
      </c>
      <c r="F15" s="41">
        <f t="shared" si="5"/>
        <v>3100.919423</v>
      </c>
      <c r="G15" s="41">
        <f t="shared" si="5"/>
        <v>1602.978531</v>
      </c>
      <c r="H15" s="41">
        <f t="shared" si="5"/>
        <v>3429.632572</v>
      </c>
      <c r="I15" s="41">
        <f t="shared" si="5"/>
        <v>1207.545432</v>
      </c>
      <c r="J15" s="41">
        <f t="shared" si="5"/>
        <v>1777.525298</v>
      </c>
      <c r="K15" s="41">
        <f t="shared" si="5"/>
        <v>4811.358469</v>
      </c>
      <c r="L15" s="41">
        <f t="shared" si="5"/>
        <v>3784.007009</v>
      </c>
      <c r="M15" s="41">
        <f t="shared" si="5"/>
        <v>957.9182851</v>
      </c>
      <c r="N15" s="41">
        <f t="shared" si="5"/>
        <v>5886.835114</v>
      </c>
      <c r="O15" s="28">
        <f t="shared" si="6"/>
        <v>31515.10473</v>
      </c>
      <c r="P15" s="10">
        <f>P17+P16</f>
        <v>28140</v>
      </c>
      <c r="Q15" s="11">
        <f t="shared" ref="Q15:Q17" si="8">O15/P15</f>
        <v>1.119939756</v>
      </c>
    </row>
    <row r="16" ht="24.75" customHeight="1">
      <c r="A16" s="29"/>
      <c r="B16" s="30" t="s">
        <v>29</v>
      </c>
      <c r="C16" s="31">
        <f t="shared" ref="C16:N16" si="7">C4+C7+C9+C10+C11+C12+C13+C14</f>
        <v>1114.605711</v>
      </c>
      <c r="D16" s="31">
        <f t="shared" si="7"/>
        <v>214.4749714</v>
      </c>
      <c r="E16" s="31">
        <f t="shared" si="7"/>
        <v>2747.863674</v>
      </c>
      <c r="F16" s="31">
        <f t="shared" si="7"/>
        <v>2190.715844</v>
      </c>
      <c r="G16" s="31">
        <f t="shared" si="7"/>
        <v>1122.859998</v>
      </c>
      <c r="H16" s="31">
        <f t="shared" si="7"/>
        <v>1511.505913</v>
      </c>
      <c r="I16" s="31">
        <f t="shared" si="7"/>
        <v>768.1862098</v>
      </c>
      <c r="J16" s="31">
        <f t="shared" si="7"/>
        <v>876.8351787</v>
      </c>
      <c r="K16" s="31">
        <f t="shared" si="7"/>
        <v>4232.194551</v>
      </c>
      <c r="L16" s="31">
        <f t="shared" si="7"/>
        <v>1665.377472</v>
      </c>
      <c r="M16" s="31">
        <f t="shared" si="7"/>
        <v>630.3809707</v>
      </c>
      <c r="N16" s="31">
        <f t="shared" si="7"/>
        <v>5362.467449</v>
      </c>
      <c r="O16" s="31">
        <f t="shared" ref="O16:O18" si="10">SUM(C16:N16)</f>
        <v>22437.46794</v>
      </c>
      <c r="P16" s="31">
        <f>P4+P7+P9+P10+P11+P12+P13+P14</f>
        <v>20490</v>
      </c>
      <c r="Q16" s="16">
        <f t="shared" si="8"/>
        <v>1.0950448</v>
      </c>
    </row>
    <row r="17" ht="24.75" customHeight="1">
      <c r="A17" s="29"/>
      <c r="B17" s="30" t="s">
        <v>30</v>
      </c>
      <c r="C17" s="31">
        <f t="shared" ref="C17:N17" si="9">C5+C8</f>
        <v>348.8056592</v>
      </c>
      <c r="D17" s="31">
        <f t="shared" si="9"/>
        <v>72.478278</v>
      </c>
      <c r="E17" s="31">
        <f t="shared" si="9"/>
        <v>458.1563008</v>
      </c>
      <c r="F17" s="31">
        <f t="shared" si="9"/>
        <v>910.2035791</v>
      </c>
      <c r="G17" s="31">
        <f t="shared" si="9"/>
        <v>480.1185326</v>
      </c>
      <c r="H17" s="31">
        <f t="shared" si="9"/>
        <v>1918.126659</v>
      </c>
      <c r="I17" s="31">
        <f t="shared" si="9"/>
        <v>439.359222</v>
      </c>
      <c r="J17" s="31">
        <f t="shared" si="9"/>
        <v>900.6901194</v>
      </c>
      <c r="K17" s="31">
        <f t="shared" si="9"/>
        <v>579.1639178</v>
      </c>
      <c r="L17" s="31">
        <f t="shared" si="9"/>
        <v>2118.629537</v>
      </c>
      <c r="M17" s="31">
        <f t="shared" si="9"/>
        <v>327.5373144</v>
      </c>
      <c r="N17" s="31">
        <f t="shared" si="9"/>
        <v>524.3676655</v>
      </c>
      <c r="O17" s="31">
        <f t="shared" si="10"/>
        <v>9077.636785</v>
      </c>
      <c r="P17" s="31">
        <f>P5+P8</f>
        <v>7650</v>
      </c>
      <c r="Q17" s="16">
        <f t="shared" si="8"/>
        <v>1.186619188</v>
      </c>
    </row>
    <row r="18" ht="24.75" customHeight="1">
      <c r="A18" s="32"/>
      <c r="B18" s="33" t="s">
        <v>31</v>
      </c>
      <c r="C18" s="34">
        <f>IFERROR(__xludf.DUMMYFUNCTION("IMPORTRANGE(""1mgk5_08R7QPyVWFUtyotwoussHVEv6Lz8ls-NcbSu3U"", ""Lợi nhuận gộp theo DT!C14"")"),248.9069002964722)</f>
        <v>248.9069003</v>
      </c>
      <c r="D18" s="34">
        <f>IFERROR(__xludf.DUMMYFUNCTION("IMPORTRANGE(""1mgk5_08R7QPyVWFUtyotwoussHVEv6Lz8ls-NcbSu3U"", ""Lợi nhuận gộp theo DT!D14"")"),2030.9586753716667)</f>
        <v>2030.958675</v>
      </c>
      <c r="E18" s="34">
        <f>IFERROR(__xludf.DUMMYFUNCTION("IMPORTRANGE(""1mgk5_08R7QPyVWFUtyotwoussHVEv6Lz8ls-NcbSu3U"", ""Lợi nhuận gộp theo DT!E14"")"),1322.9347849383612)</f>
        <v>1322.934785</v>
      </c>
      <c r="F18" s="34">
        <f>IFERROR(__xludf.DUMMYFUNCTION("IMPORTRANGE(""1mgk5_08R7QPyVWFUtyotwoussHVEv6Lz8ls-NcbSu3U"", ""Lợi nhuận gộp theo DT!F14"")"),1031.300649905731)</f>
        <v>1031.30065</v>
      </c>
      <c r="G18" s="34">
        <f>IFERROR(__xludf.DUMMYFUNCTION("IMPORTRANGE(""1mgk5_08R7QPyVWFUtyotwoussHVEv6Lz8ls-NcbSu3U"", ""Lợi nhuận gộp theo DT!G14"")"),2589.6352355717663)</f>
        <v>2589.635236</v>
      </c>
      <c r="H18" s="34">
        <f>IFERROR(__xludf.DUMMYFUNCTION("IMPORTRANGE(""1mgk5_08R7QPyVWFUtyotwoussHVEv6Lz8ls-NcbSu3U"", ""Lợi nhuận gộp theo DT!H14"")"),1079.7326059316667)</f>
        <v>1079.732606</v>
      </c>
      <c r="I18" s="34">
        <f>IFERROR(__xludf.DUMMYFUNCTION("IMPORTRANGE(""1mgk5_08R7QPyVWFUtyotwoussHVEv6Lz8ls-NcbSu3U"", ""Lợi nhuận gộp theo DT!I14"")"),1211.1117261781278)</f>
        <v>1211.111726</v>
      </c>
      <c r="J18" s="34">
        <f>IFERROR(__xludf.DUMMYFUNCTION("IMPORTRANGE(""1mgk5_08R7QPyVWFUtyotwoussHVEv6Lz8ls-NcbSu3U"", ""Lợi nhuận gộp theo DT!J14"")"),1387.5140050586667)</f>
        <v>1387.514005</v>
      </c>
      <c r="K18" s="34">
        <f>IFERROR(__xludf.DUMMYFUNCTION("IMPORTRANGE(""1mgk5_08R7QPyVWFUtyotwoussHVEv6Lz8ls-NcbSu3U"", ""Lợi nhuận gộp theo DT!K14"")"),1608.2833746887952)</f>
        <v>1608.283375</v>
      </c>
      <c r="L18" s="34">
        <f>IFERROR(__xludf.DUMMYFUNCTION("IMPORTRANGE(""1mgk5_08R7QPyVWFUtyotwoussHVEv6Lz8ls-NcbSu3U"", ""Lợi nhuận gộp theo DT!L14"")"),2511.610992751389)</f>
        <v>2511.610993</v>
      </c>
      <c r="M18" s="34">
        <f>IFERROR(__xludf.DUMMYFUNCTION("IMPORTRANGE(""1mgk5_08R7QPyVWFUtyotwoussHVEv6Lz8ls-NcbSu3U"", ""Lợi nhuận gộp theo DT!M14"")"),2668.6460141400657)</f>
        <v>2668.646014</v>
      </c>
      <c r="N18" s="34">
        <f>IFERROR(__xludf.DUMMYFUNCTION("IMPORTRANGE(""1mgk5_08R7QPyVWFUtyotwoussHVEv6Lz8ls-NcbSu3U"", ""Lợi nhuận gộp theo DT!N14"")"),6264.910587811884)</f>
        <v>6264.910588</v>
      </c>
      <c r="O18" s="10">
        <f t="shared" si="10"/>
        <v>23955.54555</v>
      </c>
      <c r="P18" s="35"/>
      <c r="Q18" s="11"/>
    </row>
    <row r="19" ht="24.75" customHeight="1">
      <c r="A19" s="32"/>
      <c r="B19" s="33" t="s">
        <v>32</v>
      </c>
      <c r="C19" s="11">
        <f t="shared" ref="C19:O19" si="11">C15/C18</f>
        <v>5.879352354</v>
      </c>
      <c r="D19" s="11">
        <f t="shared" si="11"/>
        <v>0.141289556</v>
      </c>
      <c r="E19" s="11">
        <f t="shared" si="11"/>
        <v>2.423414979</v>
      </c>
      <c r="F19" s="11">
        <f t="shared" si="11"/>
        <v>3.006804489</v>
      </c>
      <c r="G19" s="11">
        <f t="shared" si="11"/>
        <v>0.6189978066</v>
      </c>
      <c r="H19" s="11">
        <f t="shared" si="11"/>
        <v>3.176372144</v>
      </c>
      <c r="I19" s="11">
        <f t="shared" si="11"/>
        <v>0.9970553547</v>
      </c>
      <c r="J19" s="11">
        <f t="shared" si="11"/>
        <v>1.281086383</v>
      </c>
      <c r="K19" s="11">
        <f t="shared" si="11"/>
        <v>2.991611145</v>
      </c>
      <c r="L19" s="11">
        <f t="shared" si="11"/>
        <v>1.506605529</v>
      </c>
      <c r="M19" s="11">
        <f t="shared" si="11"/>
        <v>0.3589529222</v>
      </c>
      <c r="N19" s="11">
        <f t="shared" si="11"/>
        <v>0.9396518963</v>
      </c>
      <c r="O19" s="11">
        <f t="shared" si="11"/>
        <v>1.315566146</v>
      </c>
      <c r="P19" s="35"/>
      <c r="Q19" s="36"/>
    </row>
    <row r="20" ht="24.75" customHeight="1">
      <c r="A20" s="32"/>
      <c r="B20" s="9" t="s">
        <v>33</v>
      </c>
      <c r="C20" s="11"/>
      <c r="D20" s="11">
        <f t="shared" ref="D20:N20" si="12">sum($C15:D15)/sum($C18:D18)</f>
        <v>0.7677490455</v>
      </c>
      <c r="E20" s="11">
        <f t="shared" si="12"/>
        <v>1.375703369</v>
      </c>
      <c r="F20" s="11">
        <f t="shared" si="12"/>
        <v>1.738698401</v>
      </c>
      <c r="G20" s="11">
        <f t="shared" si="12"/>
        <v>1.33729724</v>
      </c>
      <c r="H20" s="11">
        <f t="shared" si="12"/>
        <v>1.57643936</v>
      </c>
      <c r="I20" s="11">
        <f t="shared" si="12"/>
        <v>1.502689523</v>
      </c>
      <c r="J20" s="11">
        <f t="shared" si="12"/>
        <v>1.474486001</v>
      </c>
      <c r="K20" s="11">
        <f t="shared" si="12"/>
        <v>1.669521448</v>
      </c>
      <c r="L20" s="11">
        <f t="shared" si="12"/>
        <v>1.642282617</v>
      </c>
      <c r="M20" s="11">
        <f t="shared" si="12"/>
        <v>1.448691337</v>
      </c>
      <c r="N20" s="11">
        <f t="shared" si="12"/>
        <v>1.315566146</v>
      </c>
      <c r="O20" s="37" t="s">
        <v>34</v>
      </c>
      <c r="P20" s="38">
        <f>'Lợi nhuận gộp quản trị'!P20</f>
        <v>24000</v>
      </c>
      <c r="Q20" s="37">
        <f>O15/P20</f>
        <v>1.313129364</v>
      </c>
    </row>
  </sheetData>
  <mergeCells count="1">
    <mergeCell ref="C1:P1"/>
  </mergeCells>
  <conditionalFormatting sqref="C19:N20">
    <cfRule type="cellIs" dxfId="0" priority="1" operator="greaterThan">
      <formula>1</formula>
    </cfRule>
  </conditionalFormatting>
  <conditionalFormatting sqref="O19">
    <cfRule type="cellIs" dxfId="0" priority="2" operator="greaterThan">
      <formula>1</formula>
    </cfRule>
  </conditionalFormatting>
  <conditionalFormatting sqref="C19:N20">
    <cfRule type="cellIs" dxfId="1" priority="3" operator="lessThan">
      <formula>1</formula>
    </cfRule>
  </conditionalFormatting>
  <conditionalFormatting sqref="O19">
    <cfRule type="cellIs" dxfId="1" priority="4" operator="lessThan">
      <formula>1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88"/>
    <col customWidth="1" min="2" max="2" width="26.0"/>
    <col customWidth="1" min="3" max="14" width="11.88"/>
    <col customWidth="1" min="15" max="15" width="13.63"/>
  </cols>
  <sheetData>
    <row r="1" ht="24.75" customHeight="1">
      <c r="B1" s="2">
        <f>'Sản lượng ký kết'!B1</f>
        <v>2024</v>
      </c>
      <c r="C1" s="42" t="s">
        <v>39</v>
      </c>
    </row>
    <row r="2" ht="24.0" customHeight="1">
      <c r="A2" s="43" t="s">
        <v>1</v>
      </c>
      <c r="B2" s="43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  <c r="M2" s="44" t="s">
        <v>13</v>
      </c>
      <c r="N2" s="44" t="s">
        <v>14</v>
      </c>
      <c r="O2" s="44" t="s">
        <v>15</v>
      </c>
    </row>
    <row r="3" ht="27.0" customHeight="1">
      <c r="A3" s="8" t="s">
        <v>18</v>
      </c>
      <c r="B3" s="9" t="s">
        <v>19</v>
      </c>
      <c r="C3" s="10">
        <f t="shared" ref="C3:N3" si="1">sum(C4:C5)</f>
        <v>11.5</v>
      </c>
      <c r="D3" s="10">
        <f t="shared" si="1"/>
        <v>32.2</v>
      </c>
      <c r="E3" s="10">
        <f t="shared" si="1"/>
        <v>15.8</v>
      </c>
      <c r="F3" s="10">
        <f t="shared" si="1"/>
        <v>20.85</v>
      </c>
      <c r="G3" s="10">
        <f t="shared" si="1"/>
        <v>31.15</v>
      </c>
      <c r="H3" s="10">
        <f t="shared" si="1"/>
        <v>35.8</v>
      </c>
      <c r="I3" s="10">
        <f t="shared" si="1"/>
        <v>36.3</v>
      </c>
      <c r="J3" s="10">
        <f t="shared" si="1"/>
        <v>68.0642</v>
      </c>
      <c r="K3" s="10">
        <f t="shared" si="1"/>
        <v>18.9</v>
      </c>
      <c r="L3" s="10">
        <f t="shared" si="1"/>
        <v>48</v>
      </c>
      <c r="M3" s="10">
        <f t="shared" si="1"/>
        <v>53.2</v>
      </c>
      <c r="N3" s="10">
        <f t="shared" si="1"/>
        <v>1466.05</v>
      </c>
      <c r="O3" s="45">
        <f t="shared" ref="O3:O17" si="2">sum(C3:N3)</f>
        <v>1837.8142</v>
      </c>
    </row>
    <row r="4" ht="27.0" customHeight="1">
      <c r="A4" s="12"/>
      <c r="B4" s="13" t="str">
        <f>hyperlink("https://docs.google.com/spreadsheets/d/17IwNqscaZ1nfXkCtx3V_0MEnuLIAYueeNI-uEmyeYNc/edit#gid=0","- Trung tâm PMXD")</f>
        <v>- Trung tâm PMXD</v>
      </c>
      <c r="C4" s="14">
        <v>8.0</v>
      </c>
      <c r="D4" s="14">
        <v>19.5</v>
      </c>
      <c r="E4" s="14">
        <v>11.0</v>
      </c>
      <c r="F4" s="14">
        <v>3.5</v>
      </c>
      <c r="G4" s="14">
        <v>18.1</v>
      </c>
      <c r="H4" s="14">
        <v>6.3</v>
      </c>
      <c r="I4" s="14">
        <v>19.8</v>
      </c>
      <c r="J4" s="14">
        <v>63.7142</v>
      </c>
      <c r="K4" s="14">
        <v>9.3</v>
      </c>
      <c r="L4" s="14">
        <v>46.0</v>
      </c>
      <c r="M4" s="14">
        <v>53.2</v>
      </c>
      <c r="N4" s="14">
        <v>1460.7</v>
      </c>
      <c r="O4" s="46">
        <f t="shared" si="2"/>
        <v>1719.1142</v>
      </c>
    </row>
    <row r="5" ht="27.0" customHeight="1">
      <c r="A5" s="12"/>
      <c r="B5" s="13" t="str">
        <f>hyperlink("https://docs.google.com/spreadsheets/d/1cdAyIuV3KTqwcGe6-vyb1X20cPPkDOOJQy9lqzxxIlg/edit#gid=0","- Chi nhánh")</f>
        <v>- Chi nhánh</v>
      </c>
      <c r="C5" s="17">
        <v>3.5</v>
      </c>
      <c r="D5" s="14">
        <v>12.7</v>
      </c>
      <c r="E5" s="14">
        <v>4.8</v>
      </c>
      <c r="F5" s="14">
        <v>17.35</v>
      </c>
      <c r="G5" s="14">
        <v>13.05</v>
      </c>
      <c r="H5" s="14">
        <v>29.5</v>
      </c>
      <c r="I5" s="14">
        <v>16.5</v>
      </c>
      <c r="J5" s="14">
        <v>4.35</v>
      </c>
      <c r="K5" s="14">
        <v>9.6</v>
      </c>
      <c r="L5" s="14">
        <v>2.0</v>
      </c>
      <c r="M5" s="14"/>
      <c r="N5" s="14">
        <v>5.35</v>
      </c>
      <c r="O5" s="46">
        <f t="shared" si="2"/>
        <v>118.7</v>
      </c>
    </row>
    <row r="6" ht="27.0" customHeight="1">
      <c r="A6" s="8" t="s">
        <v>20</v>
      </c>
      <c r="B6" s="9" t="s">
        <v>21</v>
      </c>
      <c r="C6" s="10">
        <f t="shared" ref="C6:N6" si="3">SUM(C7:C8)</f>
        <v>6626.126</v>
      </c>
      <c r="D6" s="10">
        <f t="shared" si="3"/>
        <v>1951.505171</v>
      </c>
      <c r="E6" s="10">
        <f t="shared" si="3"/>
        <v>6596.55545</v>
      </c>
      <c r="F6" s="10">
        <f t="shared" si="3"/>
        <v>13930.94508</v>
      </c>
      <c r="G6" s="10">
        <f t="shared" si="3"/>
        <v>8007.813485</v>
      </c>
      <c r="H6" s="10">
        <f t="shared" si="3"/>
        <v>7848.579655</v>
      </c>
      <c r="I6" s="10">
        <f t="shared" si="3"/>
        <v>11749.0873</v>
      </c>
      <c r="J6" s="10">
        <f t="shared" si="3"/>
        <v>6495.19852</v>
      </c>
      <c r="K6" s="10">
        <f t="shared" si="3"/>
        <v>4699.92335</v>
      </c>
      <c r="L6" s="10">
        <f t="shared" si="3"/>
        <v>6327.871155</v>
      </c>
      <c r="M6" s="10">
        <f t="shared" si="3"/>
        <v>13325.8831</v>
      </c>
      <c r="N6" s="10">
        <f t="shared" si="3"/>
        <v>6330.762002</v>
      </c>
      <c r="O6" s="45">
        <f t="shared" si="2"/>
        <v>93890.25026</v>
      </c>
    </row>
    <row r="7" ht="27.0" customHeight="1">
      <c r="A7" s="12"/>
      <c r="B7" s="13" t="str">
        <f>hyperlink("https://docs.google.com/spreadsheets/d/1LGiIsREyb4-GdMHXfNtTTkfBPXxtYy4zobyDWot7xQA/edit#gid=0","- Trung tâm DCS")</f>
        <v>- Trung tâm DCS</v>
      </c>
      <c r="C7" s="14">
        <v>2978.91</v>
      </c>
      <c r="D7" s="14">
        <v>639.234546</v>
      </c>
      <c r="E7" s="14">
        <v>3979.44735</v>
      </c>
      <c r="F7" s="14">
        <v>9889.657</v>
      </c>
      <c r="G7" s="19">
        <v>4257.04234</v>
      </c>
      <c r="H7" s="14">
        <v>3113.918</v>
      </c>
      <c r="I7" s="14">
        <v>2588.291595</v>
      </c>
      <c r="J7" s="14">
        <v>2257.84825</v>
      </c>
      <c r="K7" s="14">
        <v>944.48415</v>
      </c>
      <c r="L7" s="14">
        <v>2230.096685</v>
      </c>
      <c r="M7" s="14">
        <v>5462.6039025</v>
      </c>
      <c r="N7" s="14">
        <v>2621.0201</v>
      </c>
      <c r="O7" s="46">
        <f t="shared" si="2"/>
        <v>40962.55392</v>
      </c>
    </row>
    <row r="8" ht="27.0" customHeight="1">
      <c r="A8" s="12"/>
      <c r="B8" s="13" t="str">
        <f>hyperlink("https://docs.google.com/spreadsheets/d/1cdAyIuV3KTqwcGe6-vyb1X20cPPkDOOJQy9lqzxxIlg/edit#gid=0","- Chi nhánh")</f>
        <v>- Chi nhánh</v>
      </c>
      <c r="C8" s="14">
        <v>3647.216</v>
      </c>
      <c r="D8" s="14">
        <v>1312.270625</v>
      </c>
      <c r="E8" s="14">
        <v>2617.1081</v>
      </c>
      <c r="F8" s="14">
        <v>4041.288075</v>
      </c>
      <c r="G8" s="14">
        <v>3750.771145</v>
      </c>
      <c r="H8" s="19">
        <v>4734.661655</v>
      </c>
      <c r="I8" s="19">
        <v>9160.7957</v>
      </c>
      <c r="J8" s="19">
        <v>4237.35027</v>
      </c>
      <c r="K8" s="19">
        <v>3755.4392</v>
      </c>
      <c r="L8" s="19">
        <v>4097.77447</v>
      </c>
      <c r="M8" s="19">
        <v>7863.2792</v>
      </c>
      <c r="N8" s="19">
        <v>3709.741902</v>
      </c>
      <c r="O8" s="46">
        <f t="shared" si="2"/>
        <v>52927.69634</v>
      </c>
    </row>
    <row r="9" ht="27.0" customHeight="1">
      <c r="A9" s="8" t="s">
        <v>22</v>
      </c>
      <c r="B9" s="20" t="str">
        <f>hyperlink("https://docs.google.com/spreadsheets/d/17WRbCuo0DVepxTRtwozyxF08Zfve8uQViqsT2QSth8I/edit#gid=0","Trung tâm STC")</f>
        <v>Trung tâm STC</v>
      </c>
      <c r="C9" s="21">
        <v>160.875</v>
      </c>
      <c r="D9" s="21">
        <v>1245.382</v>
      </c>
      <c r="E9" s="21">
        <v>1277.2746</v>
      </c>
      <c r="F9" s="21">
        <v>124.26876</v>
      </c>
      <c r="G9" s="21">
        <v>1672.97704</v>
      </c>
      <c r="H9" s="21">
        <v>237.495</v>
      </c>
      <c r="I9" s="21">
        <v>2729.669768</v>
      </c>
      <c r="J9" s="21">
        <v>1641.025685</v>
      </c>
      <c r="K9" s="21">
        <v>381.415</v>
      </c>
      <c r="L9" s="21">
        <v>7261.60115</v>
      </c>
      <c r="M9" s="21">
        <v>942.4445</v>
      </c>
      <c r="N9" s="21">
        <v>4359.559044</v>
      </c>
      <c r="O9" s="45">
        <f t="shared" si="2"/>
        <v>22033.98755</v>
      </c>
    </row>
    <row r="10" ht="27.0" customHeight="1">
      <c r="A10" s="22" t="s">
        <v>23</v>
      </c>
      <c r="B10" s="23" t="str">
        <f>hyperlink("https://docs.google.com/spreadsheets/d/1yTBWEM4qeN7cMsdZosoLoINbcnjIbiM09amCGs1O-XI/edit#gid=0","Trung tâm TVDA")</f>
        <v>Trung tâm TVDA</v>
      </c>
      <c r="C10" s="21">
        <v>178.957278</v>
      </c>
      <c r="D10" s="10"/>
      <c r="E10" s="10"/>
      <c r="F10" s="21"/>
      <c r="G10" s="21"/>
      <c r="H10" s="21"/>
      <c r="I10" s="21"/>
      <c r="J10" s="21"/>
      <c r="K10" s="21"/>
      <c r="L10" s="21"/>
      <c r="M10" s="21">
        <v>28.47</v>
      </c>
      <c r="N10" s="21">
        <v>64.8</v>
      </c>
      <c r="O10" s="46">
        <f t="shared" si="2"/>
        <v>272.227278</v>
      </c>
    </row>
    <row r="11" ht="27.0" customHeight="1">
      <c r="A11" s="22" t="s">
        <v>24</v>
      </c>
      <c r="B11" s="23" t="str">
        <f>hyperlink("https://docs.google.com/spreadsheets/d/1RHfET1y4R66vHlp6uC32W0Nz_3ubpd5g4n5dZxWkyaw/edit#gid=0","Trung tâm TVTK")</f>
        <v>Trung tâm TVTK</v>
      </c>
      <c r="C11" s="21"/>
      <c r="D11" s="21"/>
      <c r="E11" s="21"/>
      <c r="F11" s="21"/>
      <c r="G11" s="21"/>
      <c r="H11" s="10"/>
      <c r="I11" s="21"/>
      <c r="J11" s="21"/>
      <c r="K11" s="21"/>
      <c r="L11" s="21"/>
      <c r="M11" s="21"/>
      <c r="N11" s="21"/>
      <c r="O11" s="45">
        <f t="shared" si="2"/>
        <v>0</v>
      </c>
    </row>
    <row r="12" ht="25.5" customHeight="1">
      <c r="A12" s="22" t="s">
        <v>23</v>
      </c>
      <c r="B12" s="24" t="str">
        <f>hyperlink("https://docs.google.com/spreadsheets/d/1NiLWC2P93vOYhLmUW_D3xnNV-9HJraVhA0DrW4_m5jo/edit#gid=0","Trung tâm TMB")</f>
        <v>Trung tâm TMB</v>
      </c>
      <c r="C12" s="21"/>
      <c r="D12" s="21"/>
      <c r="E12" s="21"/>
      <c r="F12" s="21">
        <v>86.81</v>
      </c>
      <c r="G12" s="21">
        <v>150.205</v>
      </c>
      <c r="H12" s="21">
        <v>55.31</v>
      </c>
      <c r="I12" s="21">
        <v>29.4</v>
      </c>
      <c r="J12" s="21">
        <v>334.5174</v>
      </c>
      <c r="K12" s="21">
        <v>89.8</v>
      </c>
      <c r="L12" s="21">
        <v>28.405</v>
      </c>
      <c r="M12" s="21">
        <v>252.8007</v>
      </c>
      <c r="N12" s="21">
        <v>28.5</v>
      </c>
      <c r="O12" s="10">
        <f t="shared" si="2"/>
        <v>1055.7481</v>
      </c>
    </row>
    <row r="13" ht="27.0" customHeight="1">
      <c r="A13" s="22" t="s">
        <v>25</v>
      </c>
      <c r="B13" s="25" t="str">
        <f>hyperlink("https://docs.google.com/spreadsheets/d/1qGsXBQA7UK_C9LOomu1EW4PbhsRPWpCf9o9ByaiP77Y/edit#gid=0","Trung tâm BIM")</f>
        <v>Trung tâm BIM</v>
      </c>
      <c r="C13" s="21">
        <v>1231.2</v>
      </c>
      <c r="D13" s="10"/>
      <c r="E13" s="21">
        <v>562.816966</v>
      </c>
      <c r="F13" s="21">
        <v>75.0</v>
      </c>
      <c r="G13" s="21">
        <v>1439.4</v>
      </c>
      <c r="H13" s="21">
        <v>1454.040651</v>
      </c>
      <c r="I13" s="21">
        <v>132.343</v>
      </c>
      <c r="J13" s="21">
        <v>1727.0</v>
      </c>
      <c r="K13" s="21">
        <v>1876.440387</v>
      </c>
      <c r="L13" s="21">
        <v>136.80816</v>
      </c>
      <c r="M13" s="21">
        <v>220.011424</v>
      </c>
      <c r="N13" s="21">
        <v>371.4</v>
      </c>
      <c r="O13" s="10">
        <f t="shared" si="2"/>
        <v>9226.460588</v>
      </c>
    </row>
    <row r="14" ht="27.0" customHeight="1">
      <c r="A14" s="22" t="s">
        <v>26</v>
      </c>
      <c r="B14" s="25" t="str">
        <f>hyperlink("https://docs.google.com/spreadsheets/d/1TGKe-aBIfi6jlUkNz8gWl8ld-iWWsJOQj3t5hybOWtQ/edit#gid=0","Các lĩnh vực khác")</f>
        <v>Các lĩnh vực khác</v>
      </c>
      <c r="C14" s="21"/>
      <c r="D14" s="10"/>
      <c r="E14" s="21"/>
      <c r="F14" s="21"/>
      <c r="G14" s="21"/>
      <c r="H14" s="21"/>
      <c r="I14" s="10"/>
      <c r="J14" s="10"/>
      <c r="K14" s="10"/>
      <c r="L14" s="21"/>
      <c r="M14" s="10"/>
      <c r="N14" s="21"/>
      <c r="O14" s="46">
        <f t="shared" si="2"/>
        <v>0</v>
      </c>
    </row>
    <row r="15" ht="27.0" customHeight="1">
      <c r="A15" s="22" t="s">
        <v>27</v>
      </c>
      <c r="B15" s="9" t="s">
        <v>28</v>
      </c>
      <c r="C15" s="10">
        <f t="shared" ref="C15:N15" si="4">SUM(C16:C17)</f>
        <v>8208.658278</v>
      </c>
      <c r="D15" s="10">
        <f t="shared" si="4"/>
        <v>3229.087171</v>
      </c>
      <c r="E15" s="10">
        <f t="shared" si="4"/>
        <v>8452.447016</v>
      </c>
      <c r="F15" s="10">
        <f t="shared" si="4"/>
        <v>14237.87384</v>
      </c>
      <c r="G15" s="10">
        <f t="shared" si="4"/>
        <v>11301.54553</v>
      </c>
      <c r="H15" s="10">
        <f t="shared" si="4"/>
        <v>9631.225306</v>
      </c>
      <c r="I15" s="10">
        <f t="shared" si="4"/>
        <v>14676.80006</v>
      </c>
      <c r="J15" s="10">
        <f t="shared" si="4"/>
        <v>10265.80581</v>
      </c>
      <c r="K15" s="10">
        <f t="shared" si="4"/>
        <v>7066.478737</v>
      </c>
      <c r="L15" s="10">
        <f t="shared" si="4"/>
        <v>13802.68547</v>
      </c>
      <c r="M15" s="10">
        <f t="shared" si="4"/>
        <v>14822.80973</v>
      </c>
      <c r="N15" s="10">
        <f t="shared" si="4"/>
        <v>12621.07105</v>
      </c>
      <c r="O15" s="45">
        <f t="shared" si="2"/>
        <v>128316.488</v>
      </c>
    </row>
    <row r="16" ht="27.0" customHeight="1">
      <c r="A16" s="29"/>
      <c r="B16" s="30" t="s">
        <v>29</v>
      </c>
      <c r="C16" s="31">
        <f t="shared" ref="C16:N16" si="5">C4+C7+C9+C10+C11+C12+C13+C14</f>
        <v>4557.942278</v>
      </c>
      <c r="D16" s="31">
        <f t="shared" si="5"/>
        <v>1904.116546</v>
      </c>
      <c r="E16" s="31">
        <f t="shared" si="5"/>
        <v>5830.538916</v>
      </c>
      <c r="F16" s="31">
        <f t="shared" si="5"/>
        <v>10179.23576</v>
      </c>
      <c r="G16" s="31">
        <f t="shared" si="5"/>
        <v>7537.72438</v>
      </c>
      <c r="H16" s="31">
        <f t="shared" si="5"/>
        <v>4867.063651</v>
      </c>
      <c r="I16" s="31">
        <f t="shared" si="5"/>
        <v>5499.504363</v>
      </c>
      <c r="J16" s="31">
        <f t="shared" si="5"/>
        <v>6024.105535</v>
      </c>
      <c r="K16" s="31">
        <f t="shared" si="5"/>
        <v>3301.439537</v>
      </c>
      <c r="L16" s="31">
        <f t="shared" si="5"/>
        <v>9702.910995</v>
      </c>
      <c r="M16" s="31">
        <f t="shared" si="5"/>
        <v>6959.530527</v>
      </c>
      <c r="N16" s="31">
        <f t="shared" si="5"/>
        <v>8905.979144</v>
      </c>
      <c r="O16" s="46">
        <f t="shared" si="2"/>
        <v>75270.09163</v>
      </c>
    </row>
    <row r="17" ht="27.0" customHeight="1">
      <c r="A17" s="29"/>
      <c r="B17" s="30" t="s">
        <v>30</v>
      </c>
      <c r="C17" s="31">
        <f t="shared" ref="C17:N17" si="6">C5+C8</f>
        <v>3650.716</v>
      </c>
      <c r="D17" s="31">
        <f t="shared" si="6"/>
        <v>1324.970625</v>
      </c>
      <c r="E17" s="31">
        <f t="shared" si="6"/>
        <v>2621.9081</v>
      </c>
      <c r="F17" s="31">
        <f t="shared" si="6"/>
        <v>4058.638075</v>
      </c>
      <c r="G17" s="31">
        <f t="shared" si="6"/>
        <v>3763.821145</v>
      </c>
      <c r="H17" s="31">
        <f t="shared" si="6"/>
        <v>4764.161655</v>
      </c>
      <c r="I17" s="31">
        <f t="shared" si="6"/>
        <v>9177.2957</v>
      </c>
      <c r="J17" s="31">
        <f t="shared" si="6"/>
        <v>4241.70027</v>
      </c>
      <c r="K17" s="31">
        <f t="shared" si="6"/>
        <v>3765.0392</v>
      </c>
      <c r="L17" s="31">
        <f t="shared" si="6"/>
        <v>4099.77447</v>
      </c>
      <c r="M17" s="31">
        <f t="shared" si="6"/>
        <v>7863.2792</v>
      </c>
      <c r="N17" s="31">
        <f t="shared" si="6"/>
        <v>3715.091902</v>
      </c>
      <c r="O17" s="46">
        <f t="shared" si="2"/>
        <v>53046.39634</v>
      </c>
    </row>
  </sheetData>
  <mergeCells count="1">
    <mergeCell ref="C1:O1"/>
  </mergeCells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3"/>
  <cols>
    <col customWidth="1" min="1" max="1" width="19.63"/>
    <col customWidth="1" min="2" max="2" width="28.63"/>
    <col customWidth="1" min="3" max="3" width="48.38"/>
    <col customWidth="1" min="4" max="5" width="12.0"/>
    <col customWidth="1" min="6" max="9" width="14.38"/>
    <col customWidth="1" min="10" max="10" width="10.0"/>
  </cols>
  <sheetData>
    <row r="1">
      <c r="A1" s="47" t="s">
        <v>40</v>
      </c>
      <c r="B1" s="48" t="s">
        <v>41</v>
      </c>
      <c r="C1" s="47" t="s">
        <v>42</v>
      </c>
      <c r="D1" s="49" t="s">
        <v>43</v>
      </c>
      <c r="E1" s="50" t="s">
        <v>44</v>
      </c>
      <c r="F1" s="51" t="s">
        <v>45</v>
      </c>
      <c r="G1" s="51" t="s">
        <v>46</v>
      </c>
      <c r="H1" s="51" t="s">
        <v>47</v>
      </c>
      <c r="I1" s="52" t="s">
        <v>48</v>
      </c>
      <c r="J1" s="53" t="s">
        <v>49</v>
      </c>
    </row>
    <row r="2">
      <c r="A2" s="54"/>
      <c r="B2" s="54"/>
      <c r="C2" s="54"/>
      <c r="D2" s="54"/>
      <c r="E2" s="55"/>
      <c r="F2" s="56">
        <f t="shared" ref="F2:I2" si="1">sum(F4:F831)/2</f>
        <v>167480579215</v>
      </c>
      <c r="G2" s="56">
        <f t="shared" si="1"/>
        <v>125181878542</v>
      </c>
      <c r="H2" s="56">
        <f t="shared" si="1"/>
        <v>32034269461</v>
      </c>
      <c r="I2" s="56">
        <f t="shared" si="1"/>
        <v>114629262515</v>
      </c>
      <c r="J2" s="57"/>
    </row>
    <row r="3">
      <c r="A3" s="58"/>
      <c r="B3" s="58"/>
      <c r="C3" s="58"/>
      <c r="D3" s="58"/>
      <c r="E3" s="59"/>
      <c r="F3" s="60">
        <f>F2/1000000/'Sản lượng ký kết'!P20</f>
        <v>1.860895325</v>
      </c>
      <c r="G3" s="60">
        <f>G2/1000000/'Tổng hợp Doanh thu'!P20</f>
        <v>1.564773482</v>
      </c>
      <c r="H3" s="60">
        <f>H2/1000000/'Lợi nhuận gộp quản trị'!P20</f>
        <v>1.334761228</v>
      </c>
      <c r="I3" s="61"/>
      <c r="J3" s="62"/>
    </row>
    <row r="4" ht="22.5" customHeight="1" outlineLevel="1">
      <c r="A4" s="63" t="s">
        <v>50</v>
      </c>
      <c r="F4" s="64">
        <f t="shared" ref="F4:I4" si="2">sum(F5:F66)</f>
        <v>3800714000</v>
      </c>
      <c r="G4" s="64">
        <f t="shared" si="2"/>
        <v>2071324075</v>
      </c>
      <c r="H4" s="64">
        <f t="shared" si="2"/>
        <v>1558070741</v>
      </c>
      <c r="I4" s="64">
        <f t="shared" si="2"/>
        <v>2082714200</v>
      </c>
      <c r="J4" s="65"/>
    </row>
    <row r="5" ht="22.5" customHeight="1" outlineLevel="2">
      <c r="A5" s="66" t="s">
        <v>51</v>
      </c>
      <c r="B5" s="67" t="s">
        <v>52</v>
      </c>
      <c r="C5" s="67" t="s">
        <v>53</v>
      </c>
      <c r="D5" s="68"/>
      <c r="E5" s="68"/>
      <c r="F5" s="69">
        <v>8000000.0</v>
      </c>
      <c r="G5" s="69"/>
      <c r="H5" s="69"/>
      <c r="I5" s="69">
        <v>8000000.0</v>
      </c>
      <c r="J5" s="70" t="str">
        <f t="shared" ref="J5:J66" si="3">H5/G5</f>
        <v>#DIV/0!</v>
      </c>
    </row>
    <row r="6" ht="22.5" customHeight="1" outlineLevel="2">
      <c r="A6" s="66" t="s">
        <v>54</v>
      </c>
      <c r="B6" s="67" t="s">
        <v>55</v>
      </c>
      <c r="C6" s="67" t="s">
        <v>56</v>
      </c>
      <c r="D6" s="68"/>
      <c r="E6" s="68"/>
      <c r="F6" s="69">
        <v>300000.0</v>
      </c>
      <c r="G6" s="69"/>
      <c r="H6" s="69"/>
      <c r="I6" s="69"/>
      <c r="J6" s="70" t="str">
        <f t="shared" si="3"/>
        <v>#DIV/0!</v>
      </c>
    </row>
    <row r="7" ht="22.5" customHeight="1" outlineLevel="2">
      <c r="A7" s="66" t="s">
        <v>57</v>
      </c>
      <c r="B7" s="67" t="s">
        <v>58</v>
      </c>
      <c r="C7" s="67" t="s">
        <v>59</v>
      </c>
      <c r="D7" s="68"/>
      <c r="E7" s="71">
        <v>45323.625</v>
      </c>
      <c r="F7" s="69">
        <v>1.0E7</v>
      </c>
      <c r="G7" s="69">
        <v>1.0E7</v>
      </c>
      <c r="H7" s="69">
        <v>1.0E7</v>
      </c>
      <c r="I7" s="69">
        <v>1.8E7</v>
      </c>
      <c r="J7" s="70">
        <f t="shared" si="3"/>
        <v>1</v>
      </c>
    </row>
    <row r="8" ht="22.5" customHeight="1" outlineLevel="2">
      <c r="A8" s="66" t="s">
        <v>57</v>
      </c>
      <c r="B8" s="67" t="s">
        <v>60</v>
      </c>
      <c r="C8" s="67" t="s">
        <v>59</v>
      </c>
      <c r="D8" s="68"/>
      <c r="E8" s="71">
        <v>45323.625</v>
      </c>
      <c r="F8" s="69">
        <v>8000000.0</v>
      </c>
      <c r="G8" s="69">
        <v>8000000.0</v>
      </c>
      <c r="H8" s="69">
        <v>8000000.0</v>
      </c>
      <c r="I8" s="69"/>
      <c r="J8" s="70">
        <f t="shared" si="3"/>
        <v>1</v>
      </c>
    </row>
    <row r="9" ht="22.5" customHeight="1" outlineLevel="2">
      <c r="A9" s="66" t="s">
        <v>61</v>
      </c>
      <c r="B9" s="67" t="s">
        <v>62</v>
      </c>
      <c r="C9" s="67" t="s">
        <v>63</v>
      </c>
      <c r="D9" s="68"/>
      <c r="E9" s="71">
        <v>45342.625</v>
      </c>
      <c r="F9" s="69">
        <v>2000000.0</v>
      </c>
      <c r="G9" s="69">
        <v>2000000.0</v>
      </c>
      <c r="H9" s="69">
        <v>2000000.0</v>
      </c>
      <c r="I9" s="69">
        <v>2000000.0</v>
      </c>
      <c r="J9" s="70">
        <f t="shared" si="3"/>
        <v>1</v>
      </c>
    </row>
    <row r="10" ht="22.5" customHeight="1" outlineLevel="2">
      <c r="A10" s="66" t="s">
        <v>64</v>
      </c>
      <c r="B10" s="67" t="s">
        <v>55</v>
      </c>
      <c r="C10" s="67" t="s">
        <v>65</v>
      </c>
      <c r="D10" s="68"/>
      <c r="E10" s="71">
        <v>45351.625</v>
      </c>
      <c r="F10" s="69">
        <v>1500000.0</v>
      </c>
      <c r="G10" s="69">
        <v>1500000.0</v>
      </c>
      <c r="H10" s="69">
        <v>1500000.0</v>
      </c>
      <c r="I10" s="69">
        <v>1500000.0</v>
      </c>
      <c r="J10" s="70">
        <f t="shared" si="3"/>
        <v>1</v>
      </c>
    </row>
    <row r="11" ht="22.5" customHeight="1" outlineLevel="2">
      <c r="A11" s="66" t="s">
        <v>66</v>
      </c>
      <c r="B11" s="67" t="s">
        <v>55</v>
      </c>
      <c r="C11" s="67" t="s">
        <v>67</v>
      </c>
      <c r="D11" s="68"/>
      <c r="E11" s="71">
        <v>45363.58333333333</v>
      </c>
      <c r="F11" s="69">
        <v>4000000.0</v>
      </c>
      <c r="G11" s="69">
        <v>4000000.0</v>
      </c>
      <c r="H11" s="69">
        <v>4000000.0</v>
      </c>
      <c r="I11" s="69">
        <v>4000000.0</v>
      </c>
      <c r="J11" s="70">
        <f t="shared" si="3"/>
        <v>1</v>
      </c>
    </row>
    <row r="12" ht="22.5" customHeight="1" outlineLevel="2">
      <c r="A12" s="66" t="s">
        <v>68</v>
      </c>
      <c r="B12" s="67" t="s">
        <v>69</v>
      </c>
      <c r="C12" s="67" t="s">
        <v>70</v>
      </c>
      <c r="D12" s="68"/>
      <c r="E12" s="71">
        <v>45511.58333333333</v>
      </c>
      <c r="F12" s="69">
        <v>1500000.0</v>
      </c>
      <c r="G12" s="69">
        <v>1500000.0</v>
      </c>
      <c r="H12" s="69">
        <v>1500000.0</v>
      </c>
      <c r="I12" s="69">
        <v>1500000.0</v>
      </c>
      <c r="J12" s="70">
        <f t="shared" si="3"/>
        <v>1</v>
      </c>
    </row>
    <row r="13" ht="22.5" customHeight="1" outlineLevel="2">
      <c r="A13" s="66" t="s">
        <v>71</v>
      </c>
      <c r="B13" s="67" t="s">
        <v>62</v>
      </c>
      <c r="C13" s="67" t="s">
        <v>72</v>
      </c>
      <c r="D13" s="68"/>
      <c r="E13" s="71">
        <v>45511.58333333333</v>
      </c>
      <c r="F13" s="69">
        <v>1500000.0</v>
      </c>
      <c r="G13" s="69">
        <v>1500000.0</v>
      </c>
      <c r="H13" s="69">
        <v>1500000.0</v>
      </c>
      <c r="I13" s="69">
        <v>1500000.0</v>
      </c>
      <c r="J13" s="70">
        <f t="shared" si="3"/>
        <v>1</v>
      </c>
    </row>
    <row r="14" ht="22.5" customHeight="1" outlineLevel="2">
      <c r="A14" s="66" t="s">
        <v>73</v>
      </c>
      <c r="B14" s="67" t="s">
        <v>55</v>
      </c>
      <c r="C14" s="67" t="s">
        <v>74</v>
      </c>
      <c r="D14" s="68"/>
      <c r="E14" s="71">
        <v>45376.58333333333</v>
      </c>
      <c r="F14" s="69">
        <v>4000000.0</v>
      </c>
      <c r="G14" s="69">
        <v>4000000.0</v>
      </c>
      <c r="H14" s="69">
        <v>4000000.0</v>
      </c>
      <c r="I14" s="69">
        <v>4000000.0</v>
      </c>
      <c r="J14" s="70">
        <f t="shared" si="3"/>
        <v>1</v>
      </c>
    </row>
    <row r="15" ht="22.5" customHeight="1" outlineLevel="2">
      <c r="A15" s="66" t="s">
        <v>75</v>
      </c>
      <c r="B15" s="67" t="s">
        <v>62</v>
      </c>
      <c r="C15" s="67" t="s">
        <v>76</v>
      </c>
      <c r="D15" s="68"/>
      <c r="E15" s="71">
        <v>45511.58333333333</v>
      </c>
      <c r="F15" s="69">
        <v>1500000.0</v>
      </c>
      <c r="G15" s="69">
        <v>1500000.0</v>
      </c>
      <c r="H15" s="69">
        <v>1500000.0</v>
      </c>
      <c r="I15" s="69">
        <v>1500000.0</v>
      </c>
      <c r="J15" s="70">
        <f t="shared" si="3"/>
        <v>1</v>
      </c>
    </row>
    <row r="16" ht="22.5" customHeight="1" outlineLevel="2">
      <c r="A16" s="66" t="s">
        <v>77</v>
      </c>
      <c r="B16" s="67" t="s">
        <v>55</v>
      </c>
      <c r="C16" s="67" t="s">
        <v>78</v>
      </c>
      <c r="D16" s="68"/>
      <c r="E16" s="71">
        <v>45511.58333333333</v>
      </c>
      <c r="F16" s="69">
        <v>1000000.0</v>
      </c>
      <c r="G16" s="69">
        <v>1000000.0</v>
      </c>
      <c r="H16" s="69">
        <v>1000000.0</v>
      </c>
      <c r="I16" s="69">
        <v>1000000.0</v>
      </c>
      <c r="J16" s="70">
        <f t="shared" si="3"/>
        <v>1</v>
      </c>
    </row>
    <row r="17" ht="22.5" customHeight="1" outlineLevel="2">
      <c r="A17" s="66" t="s">
        <v>79</v>
      </c>
      <c r="B17" s="67" t="s">
        <v>55</v>
      </c>
      <c r="C17" s="67" t="s">
        <v>80</v>
      </c>
      <c r="D17" s="68"/>
      <c r="E17" s="71">
        <v>45511.58333333333</v>
      </c>
      <c r="F17" s="69">
        <v>1000000.0</v>
      </c>
      <c r="G17" s="69">
        <v>1000000.0</v>
      </c>
      <c r="H17" s="69">
        <v>1000000.0</v>
      </c>
      <c r="I17" s="69">
        <v>1000000.0</v>
      </c>
      <c r="J17" s="70">
        <f t="shared" si="3"/>
        <v>1</v>
      </c>
    </row>
    <row r="18" ht="22.5" customHeight="1" outlineLevel="2">
      <c r="A18" s="66" t="s">
        <v>81</v>
      </c>
      <c r="B18" s="67" t="s">
        <v>55</v>
      </c>
      <c r="C18" s="67" t="s">
        <v>82</v>
      </c>
      <c r="D18" s="68"/>
      <c r="E18" s="71">
        <v>45404.58333333333</v>
      </c>
      <c r="F18" s="69">
        <v>4000000.0</v>
      </c>
      <c r="G18" s="69">
        <v>4000000.0</v>
      </c>
      <c r="H18" s="69">
        <v>4000000.0</v>
      </c>
      <c r="I18" s="69">
        <v>4000000.0</v>
      </c>
      <c r="J18" s="70">
        <f t="shared" si="3"/>
        <v>1</v>
      </c>
    </row>
    <row r="19" ht="22.5" customHeight="1" outlineLevel="2">
      <c r="A19" s="66" t="s">
        <v>83</v>
      </c>
      <c r="B19" s="67" t="s">
        <v>62</v>
      </c>
      <c r="C19" s="67" t="s">
        <v>84</v>
      </c>
      <c r="D19" s="68"/>
      <c r="E19" s="71">
        <v>45419.58333333333</v>
      </c>
      <c r="F19" s="69">
        <v>2500000.0</v>
      </c>
      <c r="G19" s="69">
        <v>2500000.0</v>
      </c>
      <c r="H19" s="69">
        <v>2000000.0</v>
      </c>
      <c r="I19" s="69">
        <v>2500000.0</v>
      </c>
      <c r="J19" s="70">
        <f t="shared" si="3"/>
        <v>0.8</v>
      </c>
    </row>
    <row r="20" ht="22.5" customHeight="1" outlineLevel="2">
      <c r="A20" s="66" t="s">
        <v>85</v>
      </c>
      <c r="B20" s="67" t="s">
        <v>55</v>
      </c>
      <c r="C20" s="67" t="s">
        <v>86</v>
      </c>
      <c r="D20" s="68"/>
      <c r="E20" s="71">
        <v>45511.58333333333</v>
      </c>
      <c r="F20" s="69">
        <v>3600000.0</v>
      </c>
      <c r="G20" s="69">
        <v>3600000.0</v>
      </c>
      <c r="H20" s="69">
        <v>3600000.0</v>
      </c>
      <c r="I20" s="69">
        <v>3600000.0</v>
      </c>
      <c r="J20" s="70">
        <f t="shared" si="3"/>
        <v>1</v>
      </c>
    </row>
    <row r="21" ht="22.5" customHeight="1" outlineLevel="2">
      <c r="A21" s="66" t="s">
        <v>87</v>
      </c>
      <c r="B21" s="67" t="s">
        <v>55</v>
      </c>
      <c r="C21" s="67" t="s">
        <v>88</v>
      </c>
      <c r="D21" s="68"/>
      <c r="E21" s="71">
        <v>45434.58333333333</v>
      </c>
      <c r="F21" s="69">
        <v>8000000.0</v>
      </c>
      <c r="G21" s="69">
        <v>8000000.0</v>
      </c>
      <c r="H21" s="69">
        <v>7200000.0</v>
      </c>
      <c r="I21" s="69">
        <v>8000000.0</v>
      </c>
      <c r="J21" s="70">
        <f t="shared" si="3"/>
        <v>0.9</v>
      </c>
    </row>
    <row r="22" ht="22.5" customHeight="1" outlineLevel="2">
      <c r="A22" s="66" t="s">
        <v>89</v>
      </c>
      <c r="B22" s="67" t="s">
        <v>55</v>
      </c>
      <c r="C22" s="67" t="s">
        <v>90</v>
      </c>
      <c r="D22" s="68"/>
      <c r="E22" s="71">
        <v>45447.58333333333</v>
      </c>
      <c r="F22" s="69">
        <v>4000000.0</v>
      </c>
      <c r="G22" s="69">
        <v>4000000.0</v>
      </c>
      <c r="H22" s="69">
        <v>4000000.0</v>
      </c>
      <c r="I22" s="69">
        <v>4000000.0</v>
      </c>
      <c r="J22" s="70">
        <f t="shared" si="3"/>
        <v>1</v>
      </c>
    </row>
    <row r="23" ht="22.5" customHeight="1" outlineLevel="2">
      <c r="A23" s="66" t="s">
        <v>91</v>
      </c>
      <c r="B23" s="67" t="s">
        <v>55</v>
      </c>
      <c r="C23" s="67" t="s">
        <v>92</v>
      </c>
      <c r="D23" s="68"/>
      <c r="E23" s="71">
        <v>45511.58333333333</v>
      </c>
      <c r="F23" s="69">
        <v>300000.0</v>
      </c>
      <c r="G23" s="69">
        <v>300000.0</v>
      </c>
      <c r="H23" s="69">
        <v>300000.0</v>
      </c>
      <c r="I23" s="69">
        <v>300000.0</v>
      </c>
      <c r="J23" s="70">
        <f t="shared" si="3"/>
        <v>1</v>
      </c>
    </row>
    <row r="24" ht="22.5" customHeight="1" outlineLevel="2">
      <c r="A24" s="66" t="s">
        <v>93</v>
      </c>
      <c r="B24" s="67" t="s">
        <v>62</v>
      </c>
      <c r="C24" s="67" t="s">
        <v>94</v>
      </c>
      <c r="D24" s="68"/>
      <c r="E24" s="71">
        <v>45453.58333333333</v>
      </c>
      <c r="F24" s="69">
        <v>2000000.0</v>
      </c>
      <c r="G24" s="69">
        <v>2000000.0</v>
      </c>
      <c r="H24" s="69">
        <v>2000000.0</v>
      </c>
      <c r="I24" s="69">
        <v>2000000.0</v>
      </c>
      <c r="J24" s="70">
        <f t="shared" si="3"/>
        <v>1</v>
      </c>
    </row>
    <row r="25" ht="22.5" customHeight="1" outlineLevel="2">
      <c r="A25" s="66" t="s">
        <v>95</v>
      </c>
      <c r="B25" s="67" t="s">
        <v>55</v>
      </c>
      <c r="C25" s="67" t="s">
        <v>96</v>
      </c>
      <c r="D25" s="68"/>
      <c r="E25" s="71">
        <v>45475.58333333333</v>
      </c>
      <c r="F25" s="69">
        <v>1500000.0</v>
      </c>
      <c r="G25" s="69">
        <v>1500000.0</v>
      </c>
      <c r="H25" s="69">
        <v>1500000.0</v>
      </c>
      <c r="I25" s="69">
        <v>1500000.0</v>
      </c>
      <c r="J25" s="70">
        <f t="shared" si="3"/>
        <v>1</v>
      </c>
    </row>
    <row r="26" ht="22.5" customHeight="1" outlineLevel="2">
      <c r="A26" s="66" t="s">
        <v>97</v>
      </c>
      <c r="B26" s="67" t="s">
        <v>55</v>
      </c>
      <c r="C26" s="67" t="s">
        <v>98</v>
      </c>
      <c r="D26" s="68"/>
      <c r="E26" s="71">
        <v>45488.58333333333</v>
      </c>
      <c r="F26" s="69">
        <v>4000000.0</v>
      </c>
      <c r="G26" s="69">
        <v>4000000.0</v>
      </c>
      <c r="H26" s="69">
        <v>4000000.0</v>
      </c>
      <c r="I26" s="69">
        <v>4000000.0</v>
      </c>
      <c r="J26" s="70">
        <f t="shared" si="3"/>
        <v>1</v>
      </c>
    </row>
    <row r="27" ht="22.5" customHeight="1" outlineLevel="2">
      <c r="A27" s="66" t="s">
        <v>99</v>
      </c>
      <c r="B27" s="67" t="s">
        <v>52</v>
      </c>
      <c r="C27" s="67" t="s">
        <v>100</v>
      </c>
      <c r="D27" s="68"/>
      <c r="E27" s="71">
        <v>45497.58333333333</v>
      </c>
      <c r="F27" s="69">
        <v>2000000.0</v>
      </c>
      <c r="G27" s="69">
        <v>2000000.0</v>
      </c>
      <c r="H27" s="69">
        <v>2000000.0</v>
      </c>
      <c r="I27" s="69">
        <v>2000000.0</v>
      </c>
      <c r="J27" s="70">
        <f t="shared" si="3"/>
        <v>1</v>
      </c>
    </row>
    <row r="28" ht="22.5" customHeight="1" outlineLevel="2">
      <c r="A28" s="66" t="s">
        <v>101</v>
      </c>
      <c r="B28" s="67" t="s">
        <v>55</v>
      </c>
      <c r="C28" s="67" t="s">
        <v>102</v>
      </c>
      <c r="D28" s="68"/>
      <c r="E28" s="71">
        <v>45489.58333333333</v>
      </c>
      <c r="F28" s="69">
        <v>8000000.0</v>
      </c>
      <c r="G28" s="69">
        <v>8000000.0</v>
      </c>
      <c r="H28" s="69">
        <v>7600000.0</v>
      </c>
      <c r="I28" s="69">
        <v>8000000.0</v>
      </c>
      <c r="J28" s="70">
        <f t="shared" si="3"/>
        <v>0.95</v>
      </c>
    </row>
    <row r="29" ht="22.5" customHeight="1" outlineLevel="2">
      <c r="A29" s="66" t="s">
        <v>103</v>
      </c>
      <c r="B29" s="67" t="s">
        <v>55</v>
      </c>
      <c r="C29" s="67" t="s">
        <v>104</v>
      </c>
      <c r="D29" s="68"/>
      <c r="E29" s="71">
        <v>45492.58333333333</v>
      </c>
      <c r="F29" s="69">
        <v>4000000.0</v>
      </c>
      <c r="G29" s="69">
        <v>4000000.0</v>
      </c>
      <c r="H29" s="69">
        <v>4000000.0</v>
      </c>
      <c r="I29" s="69">
        <v>4000000.0</v>
      </c>
      <c r="J29" s="70">
        <f t="shared" si="3"/>
        <v>1</v>
      </c>
    </row>
    <row r="30" ht="22.5" customHeight="1" outlineLevel="2">
      <c r="A30" s="66" t="s">
        <v>105</v>
      </c>
      <c r="B30" s="67" t="s">
        <v>106</v>
      </c>
      <c r="C30" s="67" t="s">
        <v>107</v>
      </c>
      <c r="D30" s="68"/>
      <c r="E30" s="71">
        <v>45652.625</v>
      </c>
      <c r="F30" s="69">
        <v>4.75E8</v>
      </c>
      <c r="G30" s="69">
        <v>4.39814815E8</v>
      </c>
      <c r="H30" s="69">
        <v>2.6388888888888887E8</v>
      </c>
      <c r="I30" s="69">
        <v>4.75E8</v>
      </c>
      <c r="J30" s="70">
        <f t="shared" si="3"/>
        <v>0.5999999997</v>
      </c>
    </row>
    <row r="31" ht="22.5" customHeight="1" outlineLevel="2">
      <c r="A31" s="66" t="s">
        <v>108</v>
      </c>
      <c r="B31" s="67"/>
      <c r="C31" s="67" t="s">
        <v>109</v>
      </c>
      <c r="D31" s="68"/>
      <c r="E31" s="71">
        <v>45511.58333333333</v>
      </c>
      <c r="F31" s="69">
        <v>300000.0</v>
      </c>
      <c r="G31" s="69">
        <v>300000.0</v>
      </c>
      <c r="H31" s="69">
        <v>300000.0</v>
      </c>
      <c r="I31" s="69">
        <v>300000.0</v>
      </c>
      <c r="J31" s="70">
        <f t="shared" si="3"/>
        <v>1</v>
      </c>
    </row>
    <row r="32" ht="22.5" customHeight="1" outlineLevel="2">
      <c r="A32" s="66" t="s">
        <v>110</v>
      </c>
      <c r="B32" s="67" t="s">
        <v>106</v>
      </c>
      <c r="C32" s="67" t="s">
        <v>111</v>
      </c>
      <c r="D32" s="68"/>
      <c r="E32" s="71">
        <v>45651.625</v>
      </c>
      <c r="F32" s="69">
        <v>2.01E8</v>
      </c>
      <c r="G32" s="69">
        <v>1.86111111E8</v>
      </c>
      <c r="H32" s="69">
        <v>3.7222222222222224E7</v>
      </c>
      <c r="I32" s="69">
        <v>2.01E8</v>
      </c>
      <c r="J32" s="70">
        <f t="shared" si="3"/>
        <v>0.2000000001</v>
      </c>
    </row>
    <row r="33" ht="22.5" customHeight="1" outlineLevel="2">
      <c r="A33" s="66" t="s">
        <v>112</v>
      </c>
      <c r="B33" s="67" t="s">
        <v>106</v>
      </c>
      <c r="C33" s="67" t="s">
        <v>113</v>
      </c>
      <c r="D33" s="68"/>
      <c r="E33" s="71">
        <v>45656.625</v>
      </c>
      <c r="F33" s="69">
        <v>2.04714E8</v>
      </c>
      <c r="G33" s="69">
        <v>1.8955E8</v>
      </c>
      <c r="H33" s="69">
        <v>1.1373E8</v>
      </c>
      <c r="I33" s="69">
        <v>6.14142E7</v>
      </c>
      <c r="J33" s="70">
        <f t="shared" si="3"/>
        <v>0.6</v>
      </c>
    </row>
    <row r="34" ht="22.5" customHeight="1" outlineLevel="2">
      <c r="A34" s="66" t="s">
        <v>114</v>
      </c>
      <c r="B34" s="67" t="s">
        <v>62</v>
      </c>
      <c r="C34" s="67" t="s">
        <v>115</v>
      </c>
      <c r="D34" s="68"/>
      <c r="E34" s="71">
        <v>45524.58333333333</v>
      </c>
      <c r="F34" s="69">
        <v>2000000.0</v>
      </c>
      <c r="G34" s="69">
        <v>2000000.0</v>
      </c>
      <c r="H34" s="69">
        <v>2000000.0</v>
      </c>
      <c r="I34" s="69">
        <v>2000000.0</v>
      </c>
      <c r="J34" s="70">
        <f t="shared" si="3"/>
        <v>1</v>
      </c>
    </row>
    <row r="35" ht="22.5" customHeight="1" outlineLevel="2">
      <c r="A35" s="66" t="s">
        <v>116</v>
      </c>
      <c r="B35" s="67" t="s">
        <v>52</v>
      </c>
      <c r="C35" s="67" t="s">
        <v>117</v>
      </c>
      <c r="D35" s="68"/>
      <c r="E35" s="71">
        <v>45565.58333333333</v>
      </c>
      <c r="F35" s="69">
        <v>300000.0</v>
      </c>
      <c r="G35" s="69">
        <v>300000.0</v>
      </c>
      <c r="H35" s="69">
        <v>300000.0</v>
      </c>
      <c r="I35" s="69">
        <v>300000.0</v>
      </c>
      <c r="J35" s="70">
        <f t="shared" si="3"/>
        <v>1</v>
      </c>
    </row>
    <row r="36" ht="22.5" customHeight="1" outlineLevel="2">
      <c r="A36" s="66" t="s">
        <v>118</v>
      </c>
      <c r="B36" s="67" t="s">
        <v>106</v>
      </c>
      <c r="C36" s="67" t="s">
        <v>119</v>
      </c>
      <c r="D36" s="68"/>
      <c r="E36" s="71">
        <v>45646.625</v>
      </c>
      <c r="F36" s="69">
        <v>2.88E8</v>
      </c>
      <c r="G36" s="69">
        <v>2.66666667E8</v>
      </c>
      <c r="H36" s="69">
        <v>5.3333333333333336E7</v>
      </c>
      <c r="I36" s="69">
        <v>2.88E8</v>
      </c>
      <c r="J36" s="70">
        <f t="shared" si="3"/>
        <v>0.1999999998</v>
      </c>
    </row>
    <row r="37" ht="22.5" customHeight="1" outlineLevel="2">
      <c r="A37" s="66" t="s">
        <v>120</v>
      </c>
      <c r="B37" s="67" t="s">
        <v>106</v>
      </c>
      <c r="C37" s="67" t="s">
        <v>121</v>
      </c>
      <c r="D37" s="68"/>
      <c r="E37" s="71">
        <v>45652.625</v>
      </c>
      <c r="F37" s="69">
        <v>4.52E8</v>
      </c>
      <c r="G37" s="69">
        <v>3.34814815E8</v>
      </c>
      <c r="H37" s="69">
        <v>2.0088888888888887E8</v>
      </c>
      <c r="I37" s="69">
        <v>3.616E8</v>
      </c>
      <c r="J37" s="70">
        <f t="shared" si="3"/>
        <v>0.5999999997</v>
      </c>
    </row>
    <row r="38" ht="22.5" customHeight="1" outlineLevel="2">
      <c r="A38" s="66" t="s">
        <v>122</v>
      </c>
      <c r="B38" s="67" t="s">
        <v>106</v>
      </c>
      <c r="C38" s="67" t="s">
        <v>123</v>
      </c>
      <c r="D38" s="68"/>
      <c r="E38" s="68"/>
      <c r="F38" s="69">
        <v>1.5E9</v>
      </c>
      <c r="G38" s="69"/>
      <c r="H38" s="69">
        <v>4.074074074074074E8</v>
      </c>
      <c r="I38" s="69"/>
      <c r="J38" s="70" t="str">
        <f t="shared" si="3"/>
        <v>#DIV/0!</v>
      </c>
    </row>
    <row r="39" ht="22.5" customHeight="1" outlineLevel="2">
      <c r="A39" s="66" t="s">
        <v>124</v>
      </c>
      <c r="B39" s="67" t="s">
        <v>55</v>
      </c>
      <c r="C39" s="67" t="s">
        <v>109</v>
      </c>
      <c r="D39" s="68"/>
      <c r="E39" s="71">
        <v>45565.58333333333</v>
      </c>
      <c r="F39" s="69">
        <v>300000.0</v>
      </c>
      <c r="G39" s="69">
        <v>300000.0</v>
      </c>
      <c r="H39" s="69">
        <v>300000.0</v>
      </c>
      <c r="I39" s="69">
        <v>300000.0</v>
      </c>
      <c r="J39" s="70">
        <f t="shared" si="3"/>
        <v>1</v>
      </c>
    </row>
    <row r="40" ht="22.5" customHeight="1" outlineLevel="2">
      <c r="A40" s="66" t="s">
        <v>125</v>
      </c>
      <c r="B40" s="67" t="s">
        <v>55</v>
      </c>
      <c r="C40" s="67" t="s">
        <v>126</v>
      </c>
      <c r="D40" s="68"/>
      <c r="E40" s="71">
        <v>45565.58333333333</v>
      </c>
      <c r="F40" s="69">
        <v>1500000.0</v>
      </c>
      <c r="G40" s="69">
        <v>1500000.0</v>
      </c>
      <c r="H40" s="69">
        <v>1500000.0</v>
      </c>
      <c r="I40" s="69">
        <v>1500000.0</v>
      </c>
      <c r="J40" s="70">
        <f t="shared" si="3"/>
        <v>1</v>
      </c>
    </row>
    <row r="41" ht="22.5" customHeight="1" outlineLevel="2">
      <c r="A41" s="66" t="s">
        <v>127</v>
      </c>
      <c r="B41" s="67" t="s">
        <v>55</v>
      </c>
      <c r="C41" s="67" t="s">
        <v>128</v>
      </c>
      <c r="D41" s="68"/>
      <c r="E41" s="71">
        <v>45561.58333333333</v>
      </c>
      <c r="F41" s="69">
        <v>1500000.0</v>
      </c>
      <c r="G41" s="69">
        <v>1500000.0</v>
      </c>
      <c r="H41" s="69">
        <v>1500000.0</v>
      </c>
      <c r="I41" s="69">
        <v>1500000.0</v>
      </c>
      <c r="J41" s="70">
        <f t="shared" si="3"/>
        <v>1</v>
      </c>
    </row>
    <row r="42" ht="22.5" customHeight="1" outlineLevel="2">
      <c r="A42" s="66" t="s">
        <v>129</v>
      </c>
      <c r="B42" s="67" t="s">
        <v>55</v>
      </c>
      <c r="C42" s="67" t="s">
        <v>130</v>
      </c>
      <c r="D42" s="68"/>
      <c r="E42" s="71">
        <v>45562.58333333333</v>
      </c>
      <c r="F42" s="69">
        <v>1500000.0</v>
      </c>
      <c r="G42" s="69">
        <v>1500000.0</v>
      </c>
      <c r="H42" s="69">
        <v>1500000.0</v>
      </c>
      <c r="I42" s="69">
        <v>1500000.0</v>
      </c>
      <c r="J42" s="70">
        <f t="shared" si="3"/>
        <v>1</v>
      </c>
    </row>
    <row r="43" ht="22.5" customHeight="1" outlineLevel="2">
      <c r="A43" s="66" t="s">
        <v>131</v>
      </c>
      <c r="B43" s="67" t="s">
        <v>55</v>
      </c>
      <c r="C43" s="67" t="s">
        <v>132</v>
      </c>
      <c r="D43" s="68"/>
      <c r="E43" s="71">
        <v>45566.58333333333</v>
      </c>
      <c r="F43" s="69">
        <v>1.6E7</v>
      </c>
      <c r="G43" s="69">
        <v>1.6E7</v>
      </c>
      <c r="H43" s="69">
        <v>1.44E7</v>
      </c>
      <c r="I43" s="69">
        <v>1.6E7</v>
      </c>
      <c r="J43" s="70">
        <f t="shared" si="3"/>
        <v>0.9</v>
      </c>
    </row>
    <row r="44" ht="22.5" customHeight="1" outlineLevel="2">
      <c r="A44" s="66" t="s">
        <v>133</v>
      </c>
      <c r="B44" s="67" t="s">
        <v>62</v>
      </c>
      <c r="C44" s="67" t="s">
        <v>134</v>
      </c>
      <c r="D44" s="68"/>
      <c r="E44" s="71">
        <v>45565.58333333333</v>
      </c>
      <c r="F44" s="69">
        <v>6000000.0</v>
      </c>
      <c r="G44" s="69">
        <v>6000000.0</v>
      </c>
      <c r="H44" s="69">
        <v>6000000.0</v>
      </c>
      <c r="I44" s="69">
        <v>6000000.0</v>
      </c>
      <c r="J44" s="70">
        <f t="shared" si="3"/>
        <v>1</v>
      </c>
    </row>
    <row r="45" ht="22.5" customHeight="1" outlineLevel="2">
      <c r="A45" s="66" t="s">
        <v>135</v>
      </c>
      <c r="B45" s="67" t="s">
        <v>136</v>
      </c>
      <c r="C45" s="67" t="s">
        <v>137</v>
      </c>
      <c r="D45" s="68"/>
      <c r="E45" s="71">
        <v>45574.58333333333</v>
      </c>
      <c r="F45" s="69">
        <v>1.0E7</v>
      </c>
      <c r="G45" s="69">
        <v>1.0E7</v>
      </c>
      <c r="H45" s="69">
        <v>1.0E7</v>
      </c>
      <c r="I45" s="69">
        <v>1.0E7</v>
      </c>
      <c r="J45" s="70">
        <f t="shared" si="3"/>
        <v>1</v>
      </c>
    </row>
    <row r="46" ht="22.5" customHeight="1" outlineLevel="2">
      <c r="A46" s="66" t="s">
        <v>138</v>
      </c>
      <c r="B46" s="67" t="s">
        <v>55</v>
      </c>
      <c r="C46" s="67" t="s">
        <v>139</v>
      </c>
      <c r="D46" s="68"/>
      <c r="E46" s="71">
        <v>45580.58333333333</v>
      </c>
      <c r="F46" s="69">
        <v>3000000.0</v>
      </c>
      <c r="G46" s="69">
        <v>3000000.0</v>
      </c>
      <c r="H46" s="69">
        <v>3000000.0</v>
      </c>
      <c r="I46" s="69">
        <v>3000000.0</v>
      </c>
      <c r="J46" s="70">
        <f t="shared" si="3"/>
        <v>1</v>
      </c>
    </row>
    <row r="47" ht="22.5" customHeight="1" outlineLevel="2">
      <c r="A47" s="66" t="s">
        <v>140</v>
      </c>
      <c r="B47" s="67" t="s">
        <v>55</v>
      </c>
      <c r="C47" s="67" t="s">
        <v>141</v>
      </c>
      <c r="D47" s="68"/>
      <c r="E47" s="71">
        <v>45586.58333333333</v>
      </c>
      <c r="F47" s="69">
        <v>7200000.0</v>
      </c>
      <c r="G47" s="69">
        <v>7200000.0</v>
      </c>
      <c r="H47" s="69">
        <v>7200000.0</v>
      </c>
      <c r="I47" s="69">
        <v>7200000.0</v>
      </c>
      <c r="J47" s="70">
        <f t="shared" si="3"/>
        <v>1</v>
      </c>
    </row>
    <row r="48" ht="22.5" customHeight="1" outlineLevel="2">
      <c r="A48" s="66" t="s">
        <v>142</v>
      </c>
      <c r="B48" s="67" t="s">
        <v>55</v>
      </c>
      <c r="C48" s="67" t="s">
        <v>143</v>
      </c>
      <c r="D48" s="68"/>
      <c r="E48" s="71">
        <v>45588.58333333333</v>
      </c>
      <c r="F48" s="69">
        <v>8000000.0</v>
      </c>
      <c r="G48" s="69">
        <v>8000000.0</v>
      </c>
      <c r="H48" s="69">
        <v>7200000.0</v>
      </c>
      <c r="I48" s="69">
        <v>8000000.0</v>
      </c>
      <c r="J48" s="70">
        <f t="shared" si="3"/>
        <v>0.9</v>
      </c>
    </row>
    <row r="49" ht="22.5" customHeight="1" outlineLevel="2">
      <c r="A49" s="66" t="s">
        <v>144</v>
      </c>
      <c r="B49" s="67" t="s">
        <v>55</v>
      </c>
      <c r="C49" s="67" t="s">
        <v>109</v>
      </c>
      <c r="D49" s="68"/>
      <c r="E49" s="71">
        <v>45653.625</v>
      </c>
      <c r="F49" s="69">
        <v>300000.0</v>
      </c>
      <c r="G49" s="69">
        <v>300000.0</v>
      </c>
      <c r="H49" s="69">
        <v>300000.0</v>
      </c>
      <c r="I49" s="69">
        <v>300000.0</v>
      </c>
      <c r="J49" s="70">
        <f t="shared" si="3"/>
        <v>1</v>
      </c>
    </row>
    <row r="50" ht="22.5" customHeight="1" outlineLevel="2">
      <c r="A50" s="66" t="s">
        <v>145</v>
      </c>
      <c r="B50" s="67" t="s">
        <v>55</v>
      </c>
      <c r="C50" s="67" t="s">
        <v>146</v>
      </c>
      <c r="D50" s="68"/>
      <c r="E50" s="71">
        <v>45603.625</v>
      </c>
      <c r="F50" s="69">
        <v>4000000.0</v>
      </c>
      <c r="G50" s="69">
        <v>4000000.0</v>
      </c>
      <c r="H50" s="69">
        <v>4000000.0</v>
      </c>
      <c r="I50" s="69">
        <v>4000000.0</v>
      </c>
      <c r="J50" s="70">
        <f t="shared" si="3"/>
        <v>1</v>
      </c>
    </row>
    <row r="51" ht="22.5" customHeight="1" outlineLevel="2">
      <c r="A51" s="66" t="s">
        <v>147</v>
      </c>
      <c r="B51" s="67" t="s">
        <v>55</v>
      </c>
      <c r="C51" s="67" t="s">
        <v>148</v>
      </c>
      <c r="D51" s="68"/>
      <c r="E51" s="71">
        <v>45607.625</v>
      </c>
      <c r="F51" s="69">
        <v>8000000.0</v>
      </c>
      <c r="G51" s="69">
        <v>8000000.0</v>
      </c>
      <c r="H51" s="69">
        <v>8000000.0</v>
      </c>
      <c r="I51" s="69">
        <v>8000000.0</v>
      </c>
      <c r="J51" s="70">
        <f t="shared" si="3"/>
        <v>1</v>
      </c>
    </row>
    <row r="52" ht="22.5" customHeight="1" outlineLevel="2">
      <c r="A52" s="66" t="s">
        <v>149</v>
      </c>
      <c r="B52" s="67" t="s">
        <v>106</v>
      </c>
      <c r="C52" s="67" t="s">
        <v>150</v>
      </c>
      <c r="D52" s="68"/>
      <c r="E52" s="71">
        <v>45652.625</v>
      </c>
      <c r="F52" s="69">
        <v>4.5E8</v>
      </c>
      <c r="G52" s="69">
        <v>4.16666667E8</v>
      </c>
      <c r="H52" s="69">
        <v>2.4999999999999997E8</v>
      </c>
      <c r="I52" s="69">
        <v>4.5E8</v>
      </c>
      <c r="J52" s="70">
        <f t="shared" si="3"/>
        <v>0.5999999995</v>
      </c>
    </row>
    <row r="53" ht="22.5" customHeight="1" outlineLevel="2">
      <c r="A53" s="66" t="s">
        <v>151</v>
      </c>
      <c r="B53" s="67" t="s">
        <v>55</v>
      </c>
      <c r="C53" s="67" t="s">
        <v>152</v>
      </c>
      <c r="D53" s="68"/>
      <c r="E53" s="71">
        <v>45614.625</v>
      </c>
      <c r="F53" s="69">
        <v>7200000.0</v>
      </c>
      <c r="G53" s="69">
        <v>7200000.0</v>
      </c>
      <c r="H53" s="69">
        <v>7200000.0</v>
      </c>
      <c r="I53" s="69">
        <v>7200000.0</v>
      </c>
      <c r="J53" s="70">
        <f t="shared" si="3"/>
        <v>1</v>
      </c>
    </row>
    <row r="54" ht="22.5" customHeight="1" outlineLevel="2">
      <c r="A54" s="66" t="s">
        <v>153</v>
      </c>
      <c r="B54" s="67" t="s">
        <v>55</v>
      </c>
      <c r="C54" s="67" t="s">
        <v>154</v>
      </c>
      <c r="D54" s="68"/>
      <c r="E54" s="71">
        <v>45615.625</v>
      </c>
      <c r="F54" s="69">
        <v>8000000.0</v>
      </c>
      <c r="G54" s="69">
        <v>8000000.0</v>
      </c>
      <c r="H54" s="69">
        <v>7600000.0</v>
      </c>
      <c r="I54" s="69">
        <v>8000000.0</v>
      </c>
      <c r="J54" s="70">
        <f t="shared" si="3"/>
        <v>0.95</v>
      </c>
    </row>
    <row r="55" ht="22.5" customHeight="1" outlineLevel="2">
      <c r="A55" s="66" t="s">
        <v>155</v>
      </c>
      <c r="B55" s="67" t="s">
        <v>55</v>
      </c>
      <c r="C55" s="67" t="s">
        <v>156</v>
      </c>
      <c r="D55" s="68"/>
      <c r="E55" s="71">
        <v>45616.625</v>
      </c>
      <c r="F55" s="69">
        <v>1.6E7</v>
      </c>
      <c r="G55" s="69">
        <v>1.6E7</v>
      </c>
      <c r="H55" s="69">
        <v>1.44E7</v>
      </c>
      <c r="I55" s="69">
        <v>1.6E7</v>
      </c>
      <c r="J55" s="70">
        <f t="shared" si="3"/>
        <v>0.9</v>
      </c>
    </row>
    <row r="56" ht="22.5" customHeight="1" outlineLevel="2">
      <c r="A56" s="66" t="s">
        <v>157</v>
      </c>
      <c r="B56" s="67" t="s">
        <v>62</v>
      </c>
      <c r="C56" s="67" t="s">
        <v>158</v>
      </c>
      <c r="D56" s="68"/>
      <c r="E56" s="71">
        <v>45617.625</v>
      </c>
      <c r="F56" s="69">
        <v>2000000.0</v>
      </c>
      <c r="G56" s="69">
        <v>2000000.0</v>
      </c>
      <c r="H56" s="69">
        <v>2000000.0</v>
      </c>
      <c r="I56" s="69">
        <v>2000000.0</v>
      </c>
      <c r="J56" s="70">
        <f t="shared" si="3"/>
        <v>1</v>
      </c>
    </row>
    <row r="57" ht="22.5" customHeight="1" outlineLevel="2">
      <c r="A57" s="66" t="s">
        <v>159</v>
      </c>
      <c r="B57" s="67" t="s">
        <v>55</v>
      </c>
      <c r="C57" s="67" t="s">
        <v>160</v>
      </c>
      <c r="D57" s="68"/>
      <c r="E57" s="71">
        <v>45618.625</v>
      </c>
      <c r="F57" s="69">
        <v>8000000.0</v>
      </c>
      <c r="G57" s="69">
        <v>8000000.0</v>
      </c>
      <c r="H57" s="69">
        <v>8000000.0</v>
      </c>
      <c r="I57" s="69">
        <v>8000000.0</v>
      </c>
      <c r="J57" s="70">
        <f t="shared" si="3"/>
        <v>1</v>
      </c>
    </row>
    <row r="58" ht="22.5" customHeight="1" outlineLevel="2">
      <c r="A58" s="66" t="s">
        <v>161</v>
      </c>
      <c r="B58" s="67" t="s">
        <v>62</v>
      </c>
      <c r="C58" s="67" t="s">
        <v>162</v>
      </c>
      <c r="D58" s="68"/>
      <c r="E58" s="71">
        <v>45622.625</v>
      </c>
      <c r="F58" s="69">
        <v>2000000.0</v>
      </c>
      <c r="G58" s="69">
        <v>2000000.0</v>
      </c>
      <c r="H58" s="69">
        <v>2000000.0</v>
      </c>
      <c r="I58" s="69">
        <v>2000000.0</v>
      </c>
      <c r="J58" s="70">
        <f t="shared" si="3"/>
        <v>1</v>
      </c>
    </row>
    <row r="59" ht="22.5" customHeight="1" outlineLevel="2">
      <c r="A59" s="66" t="s">
        <v>163</v>
      </c>
      <c r="B59" s="67" t="s">
        <v>55</v>
      </c>
      <c r="C59" s="67" t="s">
        <v>164</v>
      </c>
      <c r="D59" s="68"/>
      <c r="E59" s="71">
        <v>45622.625</v>
      </c>
      <c r="F59" s="69">
        <v>1000000.0</v>
      </c>
      <c r="G59" s="69">
        <v>1000000.0</v>
      </c>
      <c r="H59" s="69">
        <v>1000000.0</v>
      </c>
      <c r="I59" s="69">
        <v>1000000.0</v>
      </c>
      <c r="J59" s="70">
        <f t="shared" si="3"/>
        <v>1</v>
      </c>
    </row>
    <row r="60" ht="22.5" customHeight="1" outlineLevel="2">
      <c r="A60" s="66" t="s">
        <v>165</v>
      </c>
      <c r="B60" s="67" t="s">
        <v>55</v>
      </c>
      <c r="C60" s="67" t="s">
        <v>166</v>
      </c>
      <c r="D60" s="68"/>
      <c r="E60" s="71">
        <v>45623.625</v>
      </c>
      <c r="F60" s="69">
        <v>1500000.0</v>
      </c>
      <c r="G60" s="69">
        <v>1500000.0</v>
      </c>
      <c r="H60" s="69">
        <v>1500000.0</v>
      </c>
      <c r="I60" s="69">
        <v>1500000.0</v>
      </c>
      <c r="J60" s="70">
        <f t="shared" si="3"/>
        <v>1</v>
      </c>
    </row>
    <row r="61" ht="22.5" customHeight="1" outlineLevel="2">
      <c r="A61" s="66" t="s">
        <v>167</v>
      </c>
      <c r="B61" s="67" t="s">
        <v>62</v>
      </c>
      <c r="C61" s="67" t="s">
        <v>168</v>
      </c>
      <c r="D61" s="68"/>
      <c r="E61" s="71">
        <v>45646.625</v>
      </c>
      <c r="F61" s="69">
        <v>6000000.0</v>
      </c>
      <c r="G61" s="69">
        <v>6000000.0</v>
      </c>
      <c r="H61" s="69">
        <v>6000000.0</v>
      </c>
      <c r="I61" s="69">
        <v>6000000.0</v>
      </c>
      <c r="J61" s="70">
        <f t="shared" si="3"/>
        <v>1</v>
      </c>
    </row>
    <row r="62" ht="22.5" customHeight="1" outlineLevel="2">
      <c r="A62" s="66" t="s">
        <v>169</v>
      </c>
      <c r="B62" s="67" t="s">
        <v>55</v>
      </c>
      <c r="C62" s="67" t="s">
        <v>92</v>
      </c>
      <c r="D62" s="68"/>
      <c r="E62" s="71">
        <v>45631.625</v>
      </c>
      <c r="F62" s="69">
        <v>1.02E7</v>
      </c>
      <c r="G62" s="69">
        <v>2.62E7</v>
      </c>
      <c r="H62" s="69">
        <v>2.62E7</v>
      </c>
      <c r="I62" s="69">
        <v>2.62E7</v>
      </c>
      <c r="J62" s="70">
        <f t="shared" si="3"/>
        <v>1</v>
      </c>
    </row>
    <row r="63" ht="22.5" customHeight="1" outlineLevel="2">
      <c r="A63" s="66" t="s">
        <v>170</v>
      </c>
      <c r="B63" s="67" t="s">
        <v>55</v>
      </c>
      <c r="C63" s="67" t="s">
        <v>171</v>
      </c>
      <c r="D63" s="68"/>
      <c r="E63" s="71">
        <v>45657.625</v>
      </c>
      <c r="F63" s="69">
        <v>1500000.0</v>
      </c>
      <c r="G63" s="69">
        <v>1500000.0</v>
      </c>
      <c r="H63" s="69">
        <v>1500000.0</v>
      </c>
      <c r="I63" s="69">
        <v>1500000.0</v>
      </c>
      <c r="J63" s="70">
        <f t="shared" si="3"/>
        <v>1</v>
      </c>
    </row>
    <row r="64" ht="22.5" customHeight="1" outlineLevel="2">
      <c r="A64" s="66" t="s">
        <v>172</v>
      </c>
      <c r="B64" s="67" t="s">
        <v>55</v>
      </c>
      <c r="C64" s="67" t="s">
        <v>164</v>
      </c>
      <c r="D64" s="68"/>
      <c r="E64" s="71">
        <v>45636.625</v>
      </c>
      <c r="F64" s="69">
        <v>4000000.0</v>
      </c>
      <c r="G64" s="69">
        <v>4000000.0</v>
      </c>
      <c r="H64" s="69">
        <v>4000000.0</v>
      </c>
      <c r="I64" s="69">
        <v>4000000.0</v>
      </c>
      <c r="J64" s="70">
        <f t="shared" si="3"/>
        <v>1</v>
      </c>
    </row>
    <row r="65" ht="22.5" customHeight="1" outlineLevel="2">
      <c r="A65" s="66" t="s">
        <v>173</v>
      </c>
      <c r="B65" s="67" t="s">
        <v>136</v>
      </c>
      <c r="C65" s="67" t="s">
        <v>174</v>
      </c>
      <c r="D65" s="68"/>
      <c r="E65" s="71">
        <v>45645.625</v>
      </c>
      <c r="F65" s="69">
        <v>3000000.0</v>
      </c>
      <c r="G65" s="69">
        <v>3000000.0</v>
      </c>
      <c r="H65" s="69">
        <v>3000000.0</v>
      </c>
      <c r="I65" s="69">
        <v>3000000.0</v>
      </c>
      <c r="J65" s="70">
        <f t="shared" si="3"/>
        <v>1</v>
      </c>
    </row>
    <row r="66" ht="22.5" customHeight="1" outlineLevel="2">
      <c r="A66" s="66" t="s">
        <v>175</v>
      </c>
      <c r="B66" s="67" t="s">
        <v>55</v>
      </c>
      <c r="C66" s="67" t="s">
        <v>176</v>
      </c>
      <c r="D66" s="68"/>
      <c r="E66" s="71">
        <v>45657.625</v>
      </c>
      <c r="F66" s="69">
        <v>1500000.0</v>
      </c>
      <c r="G66" s="69">
        <v>1500000.0</v>
      </c>
      <c r="H66" s="69">
        <v>1500000.0</v>
      </c>
      <c r="I66" s="69">
        <v>1500000.0</v>
      </c>
      <c r="J66" s="70">
        <f t="shared" si="3"/>
        <v>1</v>
      </c>
    </row>
    <row r="67" ht="22.5" customHeight="1" outlineLevel="1">
      <c r="A67" s="63" t="s">
        <v>177</v>
      </c>
      <c r="F67" s="64">
        <f t="shared" ref="F67:I67" si="4">sum(F68:F105)</f>
        <v>118700000</v>
      </c>
      <c r="G67" s="64">
        <f t="shared" si="4"/>
        <v>118700000</v>
      </c>
      <c r="H67" s="64">
        <f t="shared" si="4"/>
        <v>55110000</v>
      </c>
      <c r="I67" s="64">
        <f t="shared" si="4"/>
        <v>118700000</v>
      </c>
      <c r="J67" s="65"/>
    </row>
    <row r="68" ht="22.5" customHeight="1" outlineLevel="2">
      <c r="A68" s="66" t="s">
        <v>178</v>
      </c>
      <c r="B68" s="67" t="s">
        <v>179</v>
      </c>
      <c r="C68" s="67" t="s">
        <v>180</v>
      </c>
      <c r="D68" s="71">
        <v>45301.0</v>
      </c>
      <c r="E68" s="71">
        <v>45301.0</v>
      </c>
      <c r="F68" s="69">
        <v>500000.0</v>
      </c>
      <c r="G68" s="69">
        <v>500000.0</v>
      </c>
      <c r="H68" s="69">
        <v>275000.0</v>
      </c>
      <c r="I68" s="69">
        <v>500000.0</v>
      </c>
      <c r="J68" s="70">
        <f t="shared" ref="J68:J105" si="5">H68/G68</f>
        <v>0.55</v>
      </c>
    </row>
    <row r="69" ht="22.5" customHeight="1" outlineLevel="2">
      <c r="A69" s="66" t="s">
        <v>181</v>
      </c>
      <c r="B69" s="67" t="s">
        <v>182</v>
      </c>
      <c r="C69" s="67" t="s">
        <v>183</v>
      </c>
      <c r="D69" s="71">
        <v>45313.0</v>
      </c>
      <c r="E69" s="71">
        <v>45313.0</v>
      </c>
      <c r="F69" s="69">
        <v>3000000.0</v>
      </c>
      <c r="G69" s="69">
        <v>3000000.0</v>
      </c>
      <c r="H69" s="69">
        <v>1650000.0000000002</v>
      </c>
      <c r="I69" s="69">
        <v>3000000.0</v>
      </c>
      <c r="J69" s="70">
        <f t="shared" si="5"/>
        <v>0.55</v>
      </c>
    </row>
    <row r="70" ht="22.5" customHeight="1" outlineLevel="2">
      <c r="A70" s="66" t="s">
        <v>184</v>
      </c>
      <c r="B70" s="67" t="s">
        <v>185</v>
      </c>
      <c r="C70" s="67" t="s">
        <v>186</v>
      </c>
      <c r="D70" s="71">
        <v>45343.0</v>
      </c>
      <c r="E70" s="71">
        <v>45343.0</v>
      </c>
      <c r="F70" s="69">
        <v>6000000.0</v>
      </c>
      <c r="G70" s="69">
        <v>6000000.0</v>
      </c>
      <c r="H70" s="69">
        <v>3300000.0000000005</v>
      </c>
      <c r="I70" s="69">
        <v>6000000.0</v>
      </c>
      <c r="J70" s="70">
        <f t="shared" si="5"/>
        <v>0.55</v>
      </c>
    </row>
    <row r="71" ht="22.5" customHeight="1" outlineLevel="2">
      <c r="A71" s="66" t="s">
        <v>187</v>
      </c>
      <c r="B71" s="67" t="s">
        <v>188</v>
      </c>
      <c r="C71" s="67" t="s">
        <v>189</v>
      </c>
      <c r="D71" s="71">
        <v>45348.0</v>
      </c>
      <c r="E71" s="71">
        <v>45348.0</v>
      </c>
      <c r="F71" s="69">
        <v>1000000.0</v>
      </c>
      <c r="G71" s="69">
        <v>1000000.0</v>
      </c>
      <c r="H71" s="69">
        <v>550000.0</v>
      </c>
      <c r="I71" s="69">
        <v>1000000.0</v>
      </c>
      <c r="J71" s="70">
        <f t="shared" si="5"/>
        <v>0.55</v>
      </c>
    </row>
    <row r="72" ht="22.5" customHeight="1" outlineLevel="2">
      <c r="A72" s="66" t="s">
        <v>190</v>
      </c>
      <c r="B72" s="67" t="s">
        <v>191</v>
      </c>
      <c r="C72" s="67" t="s">
        <v>186</v>
      </c>
      <c r="D72" s="71">
        <v>45356.0</v>
      </c>
      <c r="E72" s="71">
        <v>45356.0</v>
      </c>
      <c r="F72" s="69">
        <v>5700000.0</v>
      </c>
      <c r="G72" s="69">
        <v>5700000.0</v>
      </c>
      <c r="H72" s="69">
        <v>3135000.0000000005</v>
      </c>
      <c r="I72" s="69">
        <v>5700000.0</v>
      </c>
      <c r="J72" s="70">
        <f t="shared" si="5"/>
        <v>0.55</v>
      </c>
    </row>
    <row r="73" ht="22.5" customHeight="1" outlineLevel="2">
      <c r="A73" s="66" t="s">
        <v>192</v>
      </c>
      <c r="B73" s="67" t="s">
        <v>193</v>
      </c>
      <c r="C73" s="67" t="s">
        <v>194</v>
      </c>
      <c r="D73" s="71">
        <v>45370.0</v>
      </c>
      <c r="E73" s="71">
        <v>45370.0</v>
      </c>
      <c r="F73" s="69">
        <v>2000000.0</v>
      </c>
      <c r="G73" s="69">
        <v>2000000.0</v>
      </c>
      <c r="H73" s="69">
        <v>1100000.0</v>
      </c>
      <c r="I73" s="69">
        <v>2000000.0</v>
      </c>
      <c r="J73" s="70">
        <f t="shared" si="5"/>
        <v>0.55</v>
      </c>
    </row>
    <row r="74" ht="22.5" customHeight="1" outlineLevel="2">
      <c r="A74" s="66" t="s">
        <v>195</v>
      </c>
      <c r="B74" s="67" t="s">
        <v>188</v>
      </c>
      <c r="C74" s="67" t="s">
        <v>196</v>
      </c>
      <c r="D74" s="71">
        <v>45373.0</v>
      </c>
      <c r="E74" s="71">
        <v>45376.0</v>
      </c>
      <c r="F74" s="69">
        <v>1800000.0</v>
      </c>
      <c r="G74" s="69">
        <v>1800000.0</v>
      </c>
      <c r="H74" s="69">
        <v>990000.0000000001</v>
      </c>
      <c r="I74" s="69">
        <v>1800000.0</v>
      </c>
      <c r="J74" s="70">
        <f t="shared" si="5"/>
        <v>0.55</v>
      </c>
    </row>
    <row r="75" ht="22.5" customHeight="1" outlineLevel="2">
      <c r="A75" s="66" t="s">
        <v>197</v>
      </c>
      <c r="B75" s="67" t="s">
        <v>188</v>
      </c>
      <c r="C75" s="67" t="s">
        <v>198</v>
      </c>
      <c r="D75" s="71">
        <v>45376.0</v>
      </c>
      <c r="E75" s="71">
        <v>45376.0</v>
      </c>
      <c r="F75" s="69">
        <v>1000000.0</v>
      </c>
      <c r="G75" s="69">
        <v>1000000.0</v>
      </c>
      <c r="H75" s="69">
        <v>550000.0</v>
      </c>
      <c r="I75" s="69">
        <v>1000000.0</v>
      </c>
      <c r="J75" s="70">
        <f t="shared" si="5"/>
        <v>0.55</v>
      </c>
    </row>
    <row r="76" ht="22.5" customHeight="1" outlineLevel="2">
      <c r="A76" s="66" t="s">
        <v>199</v>
      </c>
      <c r="B76" s="67" t="s">
        <v>200</v>
      </c>
      <c r="C76" s="67" t="s">
        <v>201</v>
      </c>
      <c r="D76" s="71">
        <v>45385.0</v>
      </c>
      <c r="E76" s="71">
        <v>45385.0</v>
      </c>
      <c r="F76" s="69">
        <v>1350000.0</v>
      </c>
      <c r="G76" s="69">
        <v>1350000.0</v>
      </c>
      <c r="H76" s="69">
        <v>742500.0000000001</v>
      </c>
      <c r="I76" s="69">
        <v>1350000.0</v>
      </c>
      <c r="J76" s="70">
        <f t="shared" si="5"/>
        <v>0.55</v>
      </c>
    </row>
    <row r="77" ht="22.5" customHeight="1" outlineLevel="2">
      <c r="A77" s="66" t="s">
        <v>202</v>
      </c>
      <c r="B77" s="67" t="s">
        <v>203</v>
      </c>
      <c r="C77" s="67" t="s">
        <v>204</v>
      </c>
      <c r="D77" s="71">
        <v>45385.0</v>
      </c>
      <c r="E77" s="71">
        <v>45385.0</v>
      </c>
      <c r="F77" s="69">
        <v>7200000.0</v>
      </c>
      <c r="G77" s="69">
        <v>7200000.0</v>
      </c>
      <c r="H77" s="69">
        <v>3960000.0000000005</v>
      </c>
      <c r="I77" s="69">
        <v>7200000.0</v>
      </c>
      <c r="J77" s="70">
        <f t="shared" si="5"/>
        <v>0.55</v>
      </c>
    </row>
    <row r="78" ht="22.5" customHeight="1" outlineLevel="2">
      <c r="A78" s="66" t="s">
        <v>205</v>
      </c>
      <c r="B78" s="67" t="s">
        <v>203</v>
      </c>
      <c r="C78" s="67" t="s">
        <v>206</v>
      </c>
      <c r="D78" s="71">
        <v>45386.0</v>
      </c>
      <c r="E78" s="71">
        <v>45387.0</v>
      </c>
      <c r="F78" s="69">
        <v>6800000.0</v>
      </c>
      <c r="G78" s="69">
        <v>6800000.0</v>
      </c>
      <c r="H78" s="69">
        <v>3740000.0000000005</v>
      </c>
      <c r="I78" s="69">
        <v>6800000.0</v>
      </c>
      <c r="J78" s="70">
        <f t="shared" si="5"/>
        <v>0.55</v>
      </c>
    </row>
    <row r="79" ht="22.5" customHeight="1" outlineLevel="2">
      <c r="A79" s="66" t="s">
        <v>207</v>
      </c>
      <c r="B79" s="67" t="s">
        <v>208</v>
      </c>
      <c r="C79" s="67" t="s">
        <v>209</v>
      </c>
      <c r="D79" s="71">
        <v>45398.0</v>
      </c>
      <c r="E79" s="71">
        <v>45399.0</v>
      </c>
      <c r="F79" s="69">
        <v>2000000.0</v>
      </c>
      <c r="G79" s="69">
        <v>2000000.0</v>
      </c>
      <c r="H79" s="69">
        <v>1100000.0</v>
      </c>
      <c r="I79" s="69">
        <v>2000000.0</v>
      </c>
      <c r="J79" s="70">
        <f t="shared" si="5"/>
        <v>0.55</v>
      </c>
    </row>
    <row r="80" ht="22.5" customHeight="1" outlineLevel="2">
      <c r="A80" s="66" t="s">
        <v>210</v>
      </c>
      <c r="B80" s="67" t="s">
        <v>211</v>
      </c>
      <c r="C80" s="67" t="s">
        <v>212</v>
      </c>
      <c r="D80" s="71">
        <v>45415.0</v>
      </c>
      <c r="E80" s="71">
        <v>45415.0</v>
      </c>
      <c r="F80" s="69">
        <v>3600000.0</v>
      </c>
      <c r="G80" s="69">
        <v>3600000.0</v>
      </c>
      <c r="H80" s="69">
        <v>1980000.0000000002</v>
      </c>
      <c r="I80" s="69">
        <v>3600000.0</v>
      </c>
      <c r="J80" s="70">
        <f t="shared" si="5"/>
        <v>0.55</v>
      </c>
    </row>
    <row r="81" ht="22.5" customHeight="1" outlineLevel="2">
      <c r="A81" s="66" t="s">
        <v>213</v>
      </c>
      <c r="B81" s="67" t="s">
        <v>193</v>
      </c>
      <c r="C81" s="67" t="s">
        <v>214</v>
      </c>
      <c r="D81" s="71">
        <v>45409.0</v>
      </c>
      <c r="E81" s="71">
        <v>45415.0</v>
      </c>
      <c r="F81" s="69">
        <v>1600000.0</v>
      </c>
      <c r="G81" s="69">
        <v>1600000.0</v>
      </c>
      <c r="H81" s="69">
        <v>880000.0000000001</v>
      </c>
      <c r="I81" s="69">
        <v>1600000.0</v>
      </c>
      <c r="J81" s="70">
        <f t="shared" si="5"/>
        <v>0.55</v>
      </c>
    </row>
    <row r="82" ht="22.5" customHeight="1" outlineLevel="2">
      <c r="A82" s="66" t="s">
        <v>215</v>
      </c>
      <c r="B82" s="67" t="s">
        <v>216</v>
      </c>
      <c r="C82" s="67" t="s">
        <v>217</v>
      </c>
      <c r="D82" s="71">
        <v>45425.0</v>
      </c>
      <c r="E82" s="71">
        <v>45427.0</v>
      </c>
      <c r="F82" s="69">
        <v>1500000.0</v>
      </c>
      <c r="G82" s="69">
        <v>1500000.0</v>
      </c>
      <c r="H82" s="69"/>
      <c r="I82" s="69">
        <v>1500000.0</v>
      </c>
      <c r="J82" s="70">
        <f t="shared" si="5"/>
        <v>0</v>
      </c>
    </row>
    <row r="83" ht="22.5" customHeight="1" outlineLevel="2">
      <c r="A83" s="66" t="s">
        <v>218</v>
      </c>
      <c r="B83" s="67" t="s">
        <v>219</v>
      </c>
      <c r="C83" s="67" t="s">
        <v>220</v>
      </c>
      <c r="D83" s="71">
        <v>45434.0</v>
      </c>
      <c r="E83" s="71">
        <v>45474.0</v>
      </c>
      <c r="F83" s="69">
        <v>5000000.0</v>
      </c>
      <c r="G83" s="69">
        <v>5000000.0</v>
      </c>
      <c r="H83" s="69"/>
      <c r="I83" s="69">
        <v>5000000.0</v>
      </c>
      <c r="J83" s="70">
        <f t="shared" si="5"/>
        <v>0</v>
      </c>
    </row>
    <row r="84" ht="22.5" customHeight="1" outlineLevel="2">
      <c r="A84" s="66" t="s">
        <v>221</v>
      </c>
      <c r="B84" s="67" t="s">
        <v>222</v>
      </c>
      <c r="C84" s="67" t="s">
        <v>223</v>
      </c>
      <c r="D84" s="71">
        <v>45416.0</v>
      </c>
      <c r="E84" s="71">
        <v>45416.0</v>
      </c>
      <c r="F84" s="69">
        <v>1350000.0</v>
      </c>
      <c r="G84" s="69">
        <v>1350000.0</v>
      </c>
      <c r="H84" s="69">
        <v>742500.0000000001</v>
      </c>
      <c r="I84" s="69">
        <v>1350000.0</v>
      </c>
      <c r="J84" s="70">
        <f t="shared" si="5"/>
        <v>0.55</v>
      </c>
    </row>
    <row r="85" ht="22.5" customHeight="1" outlineLevel="2">
      <c r="A85" s="66" t="s">
        <v>224</v>
      </c>
      <c r="B85" s="67" t="s">
        <v>222</v>
      </c>
      <c r="C85" s="67" t="s">
        <v>225</v>
      </c>
      <c r="D85" s="71">
        <v>45446.0</v>
      </c>
      <c r="E85" s="71">
        <v>45446.0</v>
      </c>
      <c r="F85" s="69">
        <v>1500000.0</v>
      </c>
      <c r="G85" s="69">
        <v>1500000.0</v>
      </c>
      <c r="H85" s="69">
        <v>825000.0000000001</v>
      </c>
      <c r="I85" s="69">
        <v>1500000.0</v>
      </c>
      <c r="J85" s="70">
        <f t="shared" si="5"/>
        <v>0.55</v>
      </c>
    </row>
    <row r="86" ht="22.5" customHeight="1" outlineLevel="2">
      <c r="A86" s="66" t="s">
        <v>226</v>
      </c>
      <c r="B86" s="67" t="s">
        <v>227</v>
      </c>
      <c r="C86" s="67" t="s">
        <v>228</v>
      </c>
      <c r="D86" s="71">
        <v>45446.0</v>
      </c>
      <c r="E86" s="71">
        <v>45446.0</v>
      </c>
      <c r="F86" s="69">
        <v>8000000.0</v>
      </c>
      <c r="G86" s="69">
        <v>8000000.0</v>
      </c>
      <c r="H86" s="69"/>
      <c r="I86" s="69">
        <v>8000000.0</v>
      </c>
      <c r="J86" s="70">
        <f t="shared" si="5"/>
        <v>0</v>
      </c>
    </row>
    <row r="87" ht="22.5" customHeight="1" outlineLevel="2">
      <c r="A87" s="66" t="s">
        <v>229</v>
      </c>
      <c r="B87" s="67" t="s">
        <v>203</v>
      </c>
      <c r="C87" s="67" t="s">
        <v>230</v>
      </c>
      <c r="D87" s="71">
        <v>45448.0</v>
      </c>
      <c r="E87" s="71">
        <v>45448.0</v>
      </c>
      <c r="F87" s="69">
        <v>1.28E7</v>
      </c>
      <c r="G87" s="69">
        <v>1.28E7</v>
      </c>
      <c r="H87" s="69">
        <v>7040000.000000001</v>
      </c>
      <c r="I87" s="69">
        <v>1.28E7</v>
      </c>
      <c r="J87" s="70">
        <f t="shared" si="5"/>
        <v>0.55</v>
      </c>
    </row>
    <row r="88" ht="22.5" customHeight="1" outlineLevel="2">
      <c r="A88" s="66" t="s">
        <v>231</v>
      </c>
      <c r="B88" s="67" t="s">
        <v>232</v>
      </c>
      <c r="C88" s="67" t="s">
        <v>233</v>
      </c>
      <c r="D88" s="71">
        <v>45454.0</v>
      </c>
      <c r="E88" s="71">
        <v>45455.0</v>
      </c>
      <c r="F88" s="69">
        <v>3400000.0</v>
      </c>
      <c r="G88" s="69">
        <v>3400000.0</v>
      </c>
      <c r="H88" s="69">
        <v>1870000.0000000002</v>
      </c>
      <c r="I88" s="69">
        <v>3400000.0</v>
      </c>
      <c r="J88" s="70">
        <f t="shared" si="5"/>
        <v>0.55</v>
      </c>
    </row>
    <row r="89" ht="22.5" customHeight="1" outlineLevel="2">
      <c r="A89" s="66" t="s">
        <v>234</v>
      </c>
      <c r="B89" s="67" t="s">
        <v>235</v>
      </c>
      <c r="C89" s="67" t="s">
        <v>236</v>
      </c>
      <c r="D89" s="71">
        <v>45455.0</v>
      </c>
      <c r="E89" s="71">
        <v>45455.0</v>
      </c>
      <c r="F89" s="69">
        <v>800000.0</v>
      </c>
      <c r="G89" s="69">
        <v>800000.0</v>
      </c>
      <c r="H89" s="69">
        <v>440000.00000000006</v>
      </c>
      <c r="I89" s="69">
        <v>800000.0</v>
      </c>
      <c r="J89" s="70">
        <f t="shared" si="5"/>
        <v>0.55</v>
      </c>
    </row>
    <row r="90" ht="22.5" customHeight="1" outlineLevel="2">
      <c r="A90" s="66" t="s">
        <v>237</v>
      </c>
      <c r="B90" s="67" t="s">
        <v>222</v>
      </c>
      <c r="C90" s="67" t="s">
        <v>238</v>
      </c>
      <c r="D90" s="71">
        <v>45455.0</v>
      </c>
      <c r="E90" s="71">
        <v>45455.0</v>
      </c>
      <c r="F90" s="69">
        <v>1500000.0</v>
      </c>
      <c r="G90" s="69">
        <v>1500000.0</v>
      </c>
      <c r="H90" s="69">
        <v>825000.0000000001</v>
      </c>
      <c r="I90" s="69">
        <v>1500000.0</v>
      </c>
      <c r="J90" s="70">
        <f t="shared" si="5"/>
        <v>0.55</v>
      </c>
    </row>
    <row r="91" ht="22.5" customHeight="1" outlineLevel="2">
      <c r="A91" s="66" t="s">
        <v>239</v>
      </c>
      <c r="B91" s="67" t="s">
        <v>240</v>
      </c>
      <c r="C91" s="67" t="s">
        <v>241</v>
      </c>
      <c r="D91" s="71">
        <v>45461.0</v>
      </c>
      <c r="E91" s="71">
        <v>45461.0</v>
      </c>
      <c r="F91" s="69">
        <v>1500000.0</v>
      </c>
      <c r="G91" s="69">
        <v>1500000.0</v>
      </c>
      <c r="H91" s="69">
        <v>825000.0000000001</v>
      </c>
      <c r="I91" s="69">
        <v>1500000.0</v>
      </c>
      <c r="J91" s="70">
        <f t="shared" si="5"/>
        <v>0.55</v>
      </c>
    </row>
    <row r="92" ht="22.5" customHeight="1" outlineLevel="2">
      <c r="A92" s="66" t="s">
        <v>242</v>
      </c>
      <c r="B92" s="67" t="s">
        <v>232</v>
      </c>
      <c r="C92" s="67" t="s">
        <v>243</v>
      </c>
      <c r="D92" s="71">
        <v>45481.0</v>
      </c>
      <c r="E92" s="71">
        <v>45491.0</v>
      </c>
      <c r="F92" s="69">
        <v>6800000.0</v>
      </c>
      <c r="G92" s="69">
        <v>6800000.0</v>
      </c>
      <c r="H92" s="69">
        <v>3740000.0000000005</v>
      </c>
      <c r="I92" s="69">
        <v>6800000.0</v>
      </c>
      <c r="J92" s="70">
        <f t="shared" si="5"/>
        <v>0.55</v>
      </c>
    </row>
    <row r="93" ht="22.5" customHeight="1" outlineLevel="2">
      <c r="A93" s="66" t="s">
        <v>244</v>
      </c>
      <c r="B93" s="67" t="s">
        <v>245</v>
      </c>
      <c r="C93" s="67" t="s">
        <v>246</v>
      </c>
      <c r="D93" s="71">
        <v>45477.0</v>
      </c>
      <c r="E93" s="71">
        <v>45477.0</v>
      </c>
      <c r="F93" s="69">
        <v>1500000.0</v>
      </c>
      <c r="G93" s="69">
        <v>1500000.0</v>
      </c>
      <c r="H93" s="69"/>
      <c r="I93" s="69">
        <v>1500000.0</v>
      </c>
      <c r="J93" s="70">
        <f t="shared" si="5"/>
        <v>0</v>
      </c>
    </row>
    <row r="94" ht="22.5" customHeight="1" outlineLevel="2">
      <c r="A94" s="66" t="s">
        <v>247</v>
      </c>
      <c r="B94" s="67" t="s">
        <v>245</v>
      </c>
      <c r="C94" s="67" t="s">
        <v>248</v>
      </c>
      <c r="D94" s="71">
        <v>45491.0</v>
      </c>
      <c r="E94" s="71">
        <v>45491.0</v>
      </c>
      <c r="F94" s="69">
        <v>1500000.0</v>
      </c>
      <c r="G94" s="69">
        <v>1500000.0</v>
      </c>
      <c r="H94" s="69"/>
      <c r="I94" s="69">
        <v>1500000.0</v>
      </c>
      <c r="J94" s="70">
        <f t="shared" si="5"/>
        <v>0</v>
      </c>
    </row>
    <row r="95" ht="22.5" customHeight="1" outlineLevel="2">
      <c r="A95" s="66" t="s">
        <v>249</v>
      </c>
      <c r="B95" s="67" t="s">
        <v>250</v>
      </c>
      <c r="C95" s="67" t="s">
        <v>251</v>
      </c>
      <c r="D95" s="71">
        <v>45489.0</v>
      </c>
      <c r="E95" s="71">
        <v>45489.0</v>
      </c>
      <c r="F95" s="69">
        <v>7200000.0</v>
      </c>
      <c r="G95" s="69">
        <v>7200000.0</v>
      </c>
      <c r="H95" s="69">
        <v>3960000.0000000005</v>
      </c>
      <c r="I95" s="69">
        <v>7200000.0</v>
      </c>
      <c r="J95" s="70">
        <f t="shared" si="5"/>
        <v>0.55</v>
      </c>
    </row>
    <row r="96" ht="22.5" customHeight="1" outlineLevel="2">
      <c r="A96" s="66" t="s">
        <v>252</v>
      </c>
      <c r="B96" s="67" t="s">
        <v>188</v>
      </c>
      <c r="C96" s="67" t="s">
        <v>253</v>
      </c>
      <c r="D96" s="71">
        <v>45502.0</v>
      </c>
      <c r="E96" s="71">
        <v>45502.0</v>
      </c>
      <c r="F96" s="69">
        <v>1000000.0</v>
      </c>
      <c r="G96" s="69">
        <v>1000000.0</v>
      </c>
      <c r="H96" s="69"/>
      <c r="I96" s="69">
        <v>1000000.0</v>
      </c>
      <c r="J96" s="70">
        <f t="shared" si="5"/>
        <v>0</v>
      </c>
    </row>
    <row r="97" ht="22.5" customHeight="1" outlineLevel="2">
      <c r="A97" s="66" t="s">
        <v>254</v>
      </c>
      <c r="B97" s="67" t="s">
        <v>188</v>
      </c>
      <c r="C97" s="67" t="s">
        <v>255</v>
      </c>
      <c r="D97" s="71">
        <v>45517.0</v>
      </c>
      <c r="E97" s="71">
        <v>45520.0</v>
      </c>
      <c r="F97" s="69">
        <v>1350000.0</v>
      </c>
      <c r="G97" s="69">
        <v>1350000.0</v>
      </c>
      <c r="H97" s="69">
        <v>742500.0000000001</v>
      </c>
      <c r="I97" s="69">
        <v>1350000.0</v>
      </c>
      <c r="J97" s="70">
        <f t="shared" si="5"/>
        <v>0.55</v>
      </c>
    </row>
    <row r="98" ht="22.5" customHeight="1" outlineLevel="2">
      <c r="A98" s="66" t="s">
        <v>256</v>
      </c>
      <c r="B98" s="67" t="s">
        <v>245</v>
      </c>
      <c r="C98" s="67" t="s">
        <v>257</v>
      </c>
      <c r="D98" s="71">
        <v>45533.0</v>
      </c>
      <c r="E98" s="71">
        <v>45533.0</v>
      </c>
      <c r="F98" s="69">
        <v>1500000.0</v>
      </c>
      <c r="G98" s="69">
        <v>1500000.0</v>
      </c>
      <c r="H98" s="69">
        <v>825000.0000000001</v>
      </c>
      <c r="I98" s="69">
        <v>1500000.0</v>
      </c>
      <c r="J98" s="70">
        <f t="shared" si="5"/>
        <v>0.55</v>
      </c>
    </row>
    <row r="99" ht="22.5" customHeight="1" outlineLevel="2">
      <c r="A99" s="66" t="s">
        <v>258</v>
      </c>
      <c r="B99" s="67" t="s">
        <v>259</v>
      </c>
      <c r="C99" s="67" t="s">
        <v>260</v>
      </c>
      <c r="D99" s="71">
        <v>45481.0</v>
      </c>
      <c r="E99" s="71">
        <v>45548.0</v>
      </c>
      <c r="F99" s="69">
        <v>3600000.0</v>
      </c>
      <c r="G99" s="69">
        <v>3600000.0</v>
      </c>
      <c r="H99" s="69">
        <v>1980000.0000000002</v>
      </c>
      <c r="I99" s="69">
        <v>3600000.0</v>
      </c>
      <c r="J99" s="70">
        <f t="shared" si="5"/>
        <v>0.55</v>
      </c>
    </row>
    <row r="100" ht="22.5" customHeight="1" outlineLevel="2">
      <c r="A100" s="66" t="s">
        <v>261</v>
      </c>
      <c r="B100" s="67" t="s">
        <v>262</v>
      </c>
      <c r="C100" s="67" t="s">
        <v>263</v>
      </c>
      <c r="D100" s="71">
        <v>45544.0</v>
      </c>
      <c r="E100" s="71">
        <v>45544.0</v>
      </c>
      <c r="F100" s="69">
        <v>2000000.0</v>
      </c>
      <c r="G100" s="69">
        <v>2000000.0</v>
      </c>
      <c r="H100" s="69">
        <v>1100000.0</v>
      </c>
      <c r="I100" s="69">
        <v>2000000.0</v>
      </c>
      <c r="J100" s="70">
        <f t="shared" si="5"/>
        <v>0.55</v>
      </c>
    </row>
    <row r="101" ht="22.5" customHeight="1" outlineLevel="2">
      <c r="A101" s="66" t="s">
        <v>264</v>
      </c>
      <c r="B101" s="67" t="s">
        <v>232</v>
      </c>
      <c r="C101" s="67" t="s">
        <v>265</v>
      </c>
      <c r="D101" s="71">
        <v>45561.0</v>
      </c>
      <c r="E101" s="71">
        <v>45561.0</v>
      </c>
      <c r="F101" s="69">
        <v>3600000.0</v>
      </c>
      <c r="G101" s="69">
        <v>3600000.0</v>
      </c>
      <c r="H101" s="69">
        <v>1980000.0000000002</v>
      </c>
      <c r="I101" s="69">
        <v>3600000.0</v>
      </c>
      <c r="J101" s="70">
        <f t="shared" si="5"/>
        <v>0.55</v>
      </c>
    </row>
    <row r="102" ht="22.5" customHeight="1" outlineLevel="2">
      <c r="A102" s="66" t="s">
        <v>266</v>
      </c>
      <c r="B102" s="67" t="s">
        <v>267</v>
      </c>
      <c r="C102" s="67" t="s">
        <v>268</v>
      </c>
      <c r="D102" s="71">
        <v>45562.0</v>
      </c>
      <c r="E102" s="71">
        <v>45565.0</v>
      </c>
      <c r="F102" s="69">
        <v>400000.0</v>
      </c>
      <c r="G102" s="69">
        <v>400000.0</v>
      </c>
      <c r="H102" s="69">
        <v>220000.00000000003</v>
      </c>
      <c r="I102" s="69">
        <v>400000.0</v>
      </c>
      <c r="J102" s="70">
        <f t="shared" si="5"/>
        <v>0.55</v>
      </c>
    </row>
    <row r="103" ht="22.5" customHeight="1" outlineLevel="2">
      <c r="A103" s="66" t="s">
        <v>269</v>
      </c>
      <c r="B103" s="67" t="s">
        <v>262</v>
      </c>
      <c r="C103" s="67" t="s">
        <v>270</v>
      </c>
      <c r="D103" s="71">
        <v>45575.0</v>
      </c>
      <c r="E103" s="71">
        <v>45575.0</v>
      </c>
      <c r="F103" s="69">
        <v>2000000.0</v>
      </c>
      <c r="G103" s="69">
        <v>2000000.0</v>
      </c>
      <c r="H103" s="69">
        <v>1100000.0</v>
      </c>
      <c r="I103" s="69">
        <v>2000000.0</v>
      </c>
      <c r="J103" s="70">
        <f t="shared" si="5"/>
        <v>0.55</v>
      </c>
    </row>
    <row r="104" ht="22.5" customHeight="1" outlineLevel="2">
      <c r="A104" s="66" t="s">
        <v>271</v>
      </c>
      <c r="B104" s="67" t="s">
        <v>272</v>
      </c>
      <c r="C104" s="67" t="s">
        <v>273</v>
      </c>
      <c r="D104" s="71">
        <v>45636.0</v>
      </c>
      <c r="E104" s="71">
        <v>45636.0</v>
      </c>
      <c r="F104" s="69">
        <v>4000000.0</v>
      </c>
      <c r="G104" s="69">
        <v>4000000.0</v>
      </c>
      <c r="H104" s="69">
        <v>2200000.0</v>
      </c>
      <c r="I104" s="69">
        <v>4000000.0</v>
      </c>
      <c r="J104" s="70">
        <f t="shared" si="5"/>
        <v>0.55</v>
      </c>
    </row>
    <row r="105" ht="22.5" customHeight="1" outlineLevel="2">
      <c r="A105" s="66" t="s">
        <v>274</v>
      </c>
      <c r="B105" s="67" t="s">
        <v>275</v>
      </c>
      <c r="C105" s="67" t="s">
        <v>276</v>
      </c>
      <c r="D105" s="71">
        <v>45684.0</v>
      </c>
      <c r="E105" s="71">
        <v>45684.0</v>
      </c>
      <c r="F105" s="69">
        <v>1350000.0</v>
      </c>
      <c r="G105" s="69">
        <v>1350000.0</v>
      </c>
      <c r="H105" s="69">
        <v>742500.0000000001</v>
      </c>
      <c r="I105" s="69">
        <v>1350000.0</v>
      </c>
      <c r="J105" s="70">
        <f t="shared" si="5"/>
        <v>0.55</v>
      </c>
    </row>
    <row r="106" ht="22.5" customHeight="1" outlineLevel="1">
      <c r="A106" s="63" t="s">
        <v>277</v>
      </c>
      <c r="F106" s="64">
        <f t="shared" ref="F106:I106" si="6">sum(F107:F353)</f>
        <v>54112267493</v>
      </c>
      <c r="G106" s="64">
        <f t="shared" si="6"/>
        <v>47687801897</v>
      </c>
      <c r="H106" s="64">
        <f t="shared" si="6"/>
        <v>9389813215</v>
      </c>
      <c r="I106" s="64">
        <f t="shared" si="6"/>
        <v>39255696188</v>
      </c>
      <c r="J106" s="65"/>
    </row>
    <row r="107" ht="22.5" customHeight="1" outlineLevel="2">
      <c r="A107" s="66" t="s">
        <v>278</v>
      </c>
      <c r="B107" s="67" t="s">
        <v>279</v>
      </c>
      <c r="C107" s="67" t="s">
        <v>280</v>
      </c>
      <c r="D107" s="71">
        <v>45296.0</v>
      </c>
      <c r="E107" s="71">
        <v>45300.0</v>
      </c>
      <c r="F107" s="69">
        <v>1.2E7</v>
      </c>
      <c r="G107" s="69">
        <v>1.2E7</v>
      </c>
      <c r="H107" s="69">
        <v>7569175.0</v>
      </c>
      <c r="I107" s="69">
        <v>1.2E7</v>
      </c>
      <c r="J107" s="70">
        <f t="shared" ref="J107:J353" si="7">H107/G107</f>
        <v>0.6307645833</v>
      </c>
    </row>
    <row r="108" ht="22.5" customHeight="1" outlineLevel="2">
      <c r="A108" s="66" t="s">
        <v>281</v>
      </c>
      <c r="B108" s="67" t="s">
        <v>282</v>
      </c>
      <c r="C108" s="67" t="s">
        <v>283</v>
      </c>
      <c r="D108" s="71">
        <v>45299.0</v>
      </c>
      <c r="E108" s="71">
        <v>45308.0</v>
      </c>
      <c r="F108" s="69">
        <v>2.1E8</v>
      </c>
      <c r="G108" s="69">
        <v>2.1E8</v>
      </c>
      <c r="H108" s="69">
        <v>1.8375379E7</v>
      </c>
      <c r="I108" s="69">
        <v>2.1E8</v>
      </c>
      <c r="J108" s="70">
        <f t="shared" si="7"/>
        <v>0.08750180476</v>
      </c>
    </row>
    <row r="109" ht="22.5" customHeight="1" outlineLevel="2">
      <c r="A109" s="66" t="s">
        <v>284</v>
      </c>
      <c r="B109" s="67" t="s">
        <v>285</v>
      </c>
      <c r="C109" s="67" t="s">
        <v>286</v>
      </c>
      <c r="D109" s="71">
        <v>45299.0</v>
      </c>
      <c r="E109" s="71">
        <v>45307.0</v>
      </c>
      <c r="F109" s="69">
        <v>1.18E8</v>
      </c>
      <c r="G109" s="69">
        <v>1.18E8</v>
      </c>
      <c r="H109" s="69">
        <v>2.7582E7</v>
      </c>
      <c r="I109" s="69">
        <v>1.18E8</v>
      </c>
      <c r="J109" s="70">
        <f t="shared" si="7"/>
        <v>0.2337457627</v>
      </c>
    </row>
    <row r="110" ht="22.5" customHeight="1" outlineLevel="2">
      <c r="A110" s="66" t="s">
        <v>287</v>
      </c>
      <c r="B110" s="67" t="s">
        <v>288</v>
      </c>
      <c r="C110" s="67" t="s">
        <v>289</v>
      </c>
      <c r="D110" s="71">
        <v>45299.0</v>
      </c>
      <c r="E110" s="71">
        <v>45307.0</v>
      </c>
      <c r="F110" s="69">
        <v>3.08466E8</v>
      </c>
      <c r="G110" s="69">
        <v>3.08466E8</v>
      </c>
      <c r="H110" s="69">
        <v>5.731813740277779E7</v>
      </c>
      <c r="I110" s="69">
        <v>3.08466E8</v>
      </c>
      <c r="J110" s="70">
        <f t="shared" si="7"/>
        <v>0.1858167104</v>
      </c>
    </row>
    <row r="111" ht="22.5" customHeight="1" outlineLevel="2">
      <c r="A111" s="66" t="s">
        <v>290</v>
      </c>
      <c r="B111" s="67" t="s">
        <v>291</v>
      </c>
      <c r="C111" s="67" t="s">
        <v>292</v>
      </c>
      <c r="D111" s="71">
        <v>45310.0</v>
      </c>
      <c r="E111" s="71">
        <v>45320.0</v>
      </c>
      <c r="F111" s="69">
        <v>2.1244E8</v>
      </c>
      <c r="G111" s="69">
        <v>2.1244E8</v>
      </c>
      <c r="H111" s="69">
        <v>1.3596264E7</v>
      </c>
      <c r="I111" s="69">
        <v>2.1244E8</v>
      </c>
      <c r="J111" s="70">
        <f t="shared" si="7"/>
        <v>0.06400048955</v>
      </c>
    </row>
    <row r="112" ht="22.5" customHeight="1" outlineLevel="2">
      <c r="A112" s="66" t="s">
        <v>293</v>
      </c>
      <c r="B112" s="67" t="s">
        <v>294</v>
      </c>
      <c r="C112" s="67" t="s">
        <v>295</v>
      </c>
      <c r="D112" s="71">
        <v>45348.0</v>
      </c>
      <c r="E112" s="71">
        <v>45371.0</v>
      </c>
      <c r="F112" s="69">
        <v>1.09779E8</v>
      </c>
      <c r="G112" s="69">
        <v>1.09779E8</v>
      </c>
      <c r="H112" s="69">
        <v>7168824.0</v>
      </c>
      <c r="I112" s="69">
        <v>1.09779E8</v>
      </c>
      <c r="J112" s="70">
        <f t="shared" si="7"/>
        <v>0.06530232558</v>
      </c>
    </row>
    <row r="113" ht="22.5" customHeight="1" outlineLevel="2">
      <c r="A113" s="66" t="s">
        <v>296</v>
      </c>
      <c r="B113" s="67" t="s">
        <v>297</v>
      </c>
      <c r="C113" s="67" t="s">
        <v>298</v>
      </c>
      <c r="D113" s="71">
        <v>45316.0</v>
      </c>
      <c r="E113" s="71">
        <v>45320.0</v>
      </c>
      <c r="F113" s="69">
        <v>8917000.0</v>
      </c>
      <c r="G113" s="69">
        <v>8917000.0</v>
      </c>
      <c r="H113" s="69">
        <v>3140085.555555556</v>
      </c>
      <c r="I113" s="69">
        <v>8917000.0</v>
      </c>
      <c r="J113" s="70">
        <f t="shared" si="7"/>
        <v>0.3521459634</v>
      </c>
    </row>
    <row r="114" ht="22.5" customHeight="1" outlineLevel="2">
      <c r="A114" s="66" t="s">
        <v>299</v>
      </c>
      <c r="B114" s="67" t="s">
        <v>291</v>
      </c>
      <c r="C114" s="67" t="s">
        <v>300</v>
      </c>
      <c r="D114" s="71">
        <v>45317.0</v>
      </c>
      <c r="E114" s="71">
        <v>45342.0</v>
      </c>
      <c r="F114" s="69">
        <v>1.16375E8</v>
      </c>
      <c r="G114" s="69">
        <v>1.16375E8</v>
      </c>
      <c r="H114" s="69">
        <v>7431038.0</v>
      </c>
      <c r="I114" s="69">
        <v>1.16375E8</v>
      </c>
      <c r="J114" s="70">
        <f t="shared" si="7"/>
        <v>0.06385424705</v>
      </c>
    </row>
    <row r="115" ht="22.5" customHeight="1" outlineLevel="2">
      <c r="A115" s="66" t="s">
        <v>57</v>
      </c>
      <c r="B115" s="67" t="s">
        <v>301</v>
      </c>
      <c r="C115" s="67" t="s">
        <v>302</v>
      </c>
      <c r="D115" s="71">
        <v>45310.0</v>
      </c>
      <c r="E115" s="71">
        <v>45342.0</v>
      </c>
      <c r="F115" s="69">
        <v>7750000.0</v>
      </c>
      <c r="G115" s="69">
        <v>7750000.0</v>
      </c>
      <c r="H115" s="69">
        <v>1478000.0</v>
      </c>
      <c r="I115" s="69">
        <v>7750000.0</v>
      </c>
      <c r="J115" s="70">
        <f t="shared" si="7"/>
        <v>0.1907096774</v>
      </c>
    </row>
    <row r="116" ht="22.5" customHeight="1" outlineLevel="2">
      <c r="A116" s="66" t="s">
        <v>303</v>
      </c>
      <c r="B116" s="67" t="s">
        <v>279</v>
      </c>
      <c r="C116" s="67" t="s">
        <v>304</v>
      </c>
      <c r="D116" s="71">
        <v>45327.0</v>
      </c>
      <c r="E116" s="71">
        <v>45327.0</v>
      </c>
      <c r="F116" s="69">
        <v>1.47E8</v>
      </c>
      <c r="G116" s="69">
        <v>1.47E8</v>
      </c>
      <c r="H116" s="69">
        <v>6.02688848E7</v>
      </c>
      <c r="I116" s="69">
        <v>1.47E8</v>
      </c>
      <c r="J116" s="70">
        <f t="shared" si="7"/>
        <v>0.4099924136</v>
      </c>
    </row>
    <row r="117" ht="22.5" customHeight="1" outlineLevel="2">
      <c r="A117" s="66" t="s">
        <v>66</v>
      </c>
      <c r="B117" s="67" t="s">
        <v>279</v>
      </c>
      <c r="C117" s="67" t="s">
        <v>305</v>
      </c>
      <c r="D117" s="71">
        <v>45328.0</v>
      </c>
      <c r="E117" s="71">
        <v>45328.0</v>
      </c>
      <c r="F117" s="69">
        <v>5.58E7</v>
      </c>
      <c r="G117" s="69">
        <v>5.58E7</v>
      </c>
      <c r="H117" s="69">
        <v>3.581421208333333E7</v>
      </c>
      <c r="I117" s="69">
        <v>5.58E7</v>
      </c>
      <c r="J117" s="70">
        <f t="shared" si="7"/>
        <v>0.6418317578</v>
      </c>
    </row>
    <row r="118" ht="22.5" customHeight="1" outlineLevel="2">
      <c r="A118" s="66" t="s">
        <v>306</v>
      </c>
      <c r="B118" s="67" t="s">
        <v>297</v>
      </c>
      <c r="C118" s="67" t="s">
        <v>307</v>
      </c>
      <c r="D118" s="71">
        <v>45327.0</v>
      </c>
      <c r="E118" s="71">
        <v>45328.0</v>
      </c>
      <c r="F118" s="69">
        <v>1.946E7</v>
      </c>
      <c r="G118" s="69">
        <v>1.946E7</v>
      </c>
      <c r="H118" s="69">
        <v>7048028.222222222</v>
      </c>
      <c r="I118" s="69">
        <v>1.946E7</v>
      </c>
      <c r="J118" s="70">
        <f t="shared" si="7"/>
        <v>0.3621802786</v>
      </c>
    </row>
    <row r="119" ht="22.5" customHeight="1" outlineLevel="2">
      <c r="A119" s="66" t="s">
        <v>308</v>
      </c>
      <c r="B119" s="67" t="s">
        <v>294</v>
      </c>
      <c r="C119" s="67" t="s">
        <v>309</v>
      </c>
      <c r="D119" s="71">
        <v>45341.0</v>
      </c>
      <c r="E119" s="71">
        <v>45343.0</v>
      </c>
      <c r="F119" s="69">
        <v>8.1E7</v>
      </c>
      <c r="G119" s="69">
        <v>8.1E7</v>
      </c>
      <c r="H119" s="69">
        <v>2.0843004E7</v>
      </c>
      <c r="I119" s="69">
        <v>8.1E7</v>
      </c>
      <c r="J119" s="70">
        <f t="shared" si="7"/>
        <v>0.257321037</v>
      </c>
    </row>
    <row r="120" ht="22.5" customHeight="1" outlineLevel="2">
      <c r="A120" s="66" t="s">
        <v>310</v>
      </c>
      <c r="B120" s="67" t="s">
        <v>282</v>
      </c>
      <c r="C120" s="67" t="s">
        <v>311</v>
      </c>
      <c r="D120" s="71">
        <v>45315.0</v>
      </c>
      <c r="E120" s="71">
        <v>45342.0</v>
      </c>
      <c r="F120" s="69">
        <v>1.65275E8</v>
      </c>
      <c r="G120" s="69">
        <v>1.65275E8</v>
      </c>
      <c r="H120" s="69">
        <v>4.75869713E7</v>
      </c>
      <c r="I120" s="69">
        <v>1.65275E8</v>
      </c>
      <c r="J120" s="70">
        <f t="shared" si="7"/>
        <v>0.28792601</v>
      </c>
    </row>
    <row r="121" ht="22.5" customHeight="1" outlineLevel="2">
      <c r="A121" s="66" t="s">
        <v>312</v>
      </c>
      <c r="B121" s="67" t="s">
        <v>285</v>
      </c>
      <c r="C121" s="67" t="s">
        <v>313</v>
      </c>
      <c r="D121" s="71">
        <v>45345.0</v>
      </c>
      <c r="E121" s="71">
        <v>45355.0</v>
      </c>
      <c r="F121" s="69">
        <v>3.8E7</v>
      </c>
      <c r="G121" s="69">
        <v>3.8E7</v>
      </c>
      <c r="H121" s="69">
        <v>8896000.0</v>
      </c>
      <c r="I121" s="69">
        <v>3.8E7</v>
      </c>
      <c r="J121" s="70">
        <f t="shared" si="7"/>
        <v>0.2341052632</v>
      </c>
    </row>
    <row r="122" ht="22.5" customHeight="1" outlineLevel="2">
      <c r="A122" s="66" t="s">
        <v>314</v>
      </c>
      <c r="B122" s="67" t="s">
        <v>315</v>
      </c>
      <c r="C122" s="67" t="s">
        <v>316</v>
      </c>
      <c r="D122" s="71">
        <v>45344.0</v>
      </c>
      <c r="E122" s="71">
        <v>45362.0</v>
      </c>
      <c r="F122" s="69">
        <v>3.59E7</v>
      </c>
      <c r="G122" s="69">
        <v>3.59E7</v>
      </c>
      <c r="H122" s="69">
        <v>7570480.777777776</v>
      </c>
      <c r="I122" s="69">
        <v>3.59E7</v>
      </c>
      <c r="J122" s="70">
        <f t="shared" si="7"/>
        <v>0.2108769019</v>
      </c>
    </row>
    <row r="123" ht="22.5" customHeight="1" outlineLevel="2">
      <c r="A123" s="66" t="s">
        <v>317</v>
      </c>
      <c r="B123" s="67" t="s">
        <v>297</v>
      </c>
      <c r="C123" s="67" t="s">
        <v>307</v>
      </c>
      <c r="D123" s="71">
        <v>45345.0</v>
      </c>
      <c r="E123" s="71">
        <v>45348.0</v>
      </c>
      <c r="F123" s="69">
        <v>9813000.0</v>
      </c>
      <c r="G123" s="69">
        <v>9813000.0</v>
      </c>
      <c r="H123" s="69">
        <v>3470386.888888889</v>
      </c>
      <c r="I123" s="69">
        <v>9813000.0</v>
      </c>
      <c r="J123" s="70">
        <f t="shared" si="7"/>
        <v>0.3536519809</v>
      </c>
    </row>
    <row r="124" ht="22.5" customHeight="1" outlineLevel="2">
      <c r="A124" s="66" t="s">
        <v>318</v>
      </c>
      <c r="B124" s="67" t="s">
        <v>291</v>
      </c>
      <c r="C124" s="67" t="s">
        <v>319</v>
      </c>
      <c r="D124" s="71">
        <v>45348.0</v>
      </c>
      <c r="E124" s="71">
        <v>45357.0</v>
      </c>
      <c r="F124" s="69">
        <v>2.0108E8</v>
      </c>
      <c r="G124" s="69">
        <v>2.0108E8</v>
      </c>
      <c r="H124" s="69">
        <v>1.4933057E7</v>
      </c>
      <c r="I124" s="69">
        <v>2.0108E8</v>
      </c>
      <c r="J124" s="70">
        <f t="shared" si="7"/>
        <v>0.07426425801</v>
      </c>
    </row>
    <row r="125" ht="22.5" customHeight="1" outlineLevel="2">
      <c r="A125" s="66" t="s">
        <v>75</v>
      </c>
      <c r="B125" s="67" t="s">
        <v>320</v>
      </c>
      <c r="C125" s="67" t="s">
        <v>321</v>
      </c>
      <c r="D125" s="71">
        <v>45345.0</v>
      </c>
      <c r="E125" s="71">
        <v>45350.0</v>
      </c>
      <c r="F125" s="69">
        <v>1.28476E8</v>
      </c>
      <c r="G125" s="69">
        <v>1.28476E8</v>
      </c>
      <c r="H125" s="69">
        <v>5542948.329999998</v>
      </c>
      <c r="I125" s="69">
        <v>1.28476E8</v>
      </c>
      <c r="J125" s="70">
        <f t="shared" si="7"/>
        <v>0.04314384266</v>
      </c>
    </row>
    <row r="126" ht="22.5" customHeight="1" outlineLevel="2">
      <c r="A126" s="66" t="s">
        <v>322</v>
      </c>
      <c r="B126" s="67" t="s">
        <v>285</v>
      </c>
      <c r="C126" s="67" t="s">
        <v>323</v>
      </c>
      <c r="D126" s="71">
        <v>45349.0</v>
      </c>
      <c r="E126" s="71">
        <v>45355.0</v>
      </c>
      <c r="F126" s="69">
        <v>3.28E7</v>
      </c>
      <c r="G126" s="69">
        <v>3.28E7</v>
      </c>
      <c r="H126" s="69">
        <v>8151000.0</v>
      </c>
      <c r="I126" s="69">
        <v>3.28E7</v>
      </c>
      <c r="J126" s="70">
        <f t="shared" si="7"/>
        <v>0.2485060976</v>
      </c>
    </row>
    <row r="127" ht="22.5" customHeight="1" outlineLevel="2">
      <c r="A127" s="66" t="s">
        <v>324</v>
      </c>
      <c r="B127" s="67" t="s">
        <v>325</v>
      </c>
      <c r="C127" s="67" t="s">
        <v>326</v>
      </c>
      <c r="D127" s="71">
        <v>45346.0</v>
      </c>
      <c r="E127" s="71">
        <v>45365.0</v>
      </c>
      <c r="F127" s="69">
        <v>4.165E8</v>
      </c>
      <c r="G127" s="69">
        <v>4.165E8</v>
      </c>
      <c r="H127" s="69">
        <v>6.7136517E7</v>
      </c>
      <c r="I127" s="69">
        <v>4.165E8</v>
      </c>
      <c r="J127" s="70">
        <f t="shared" si="7"/>
        <v>0.1611921176</v>
      </c>
    </row>
    <row r="128" ht="22.5" customHeight="1" outlineLevel="2">
      <c r="A128" s="66" t="s">
        <v>327</v>
      </c>
      <c r="B128" s="67" t="s">
        <v>279</v>
      </c>
      <c r="C128" s="67" t="s">
        <v>328</v>
      </c>
      <c r="D128" s="71">
        <v>45351.0</v>
      </c>
      <c r="E128" s="71">
        <v>45355.0</v>
      </c>
      <c r="F128" s="69">
        <v>1.2E7</v>
      </c>
      <c r="G128" s="69">
        <v>1.2E7</v>
      </c>
      <c r="H128" s="69">
        <v>7046775.555555556</v>
      </c>
      <c r="I128" s="69">
        <v>1.2E7</v>
      </c>
      <c r="J128" s="70">
        <f t="shared" si="7"/>
        <v>0.5872312963</v>
      </c>
    </row>
    <row r="129" ht="22.5" customHeight="1" outlineLevel="2">
      <c r="A129" s="66" t="s">
        <v>77</v>
      </c>
      <c r="B129" s="67" t="s">
        <v>297</v>
      </c>
      <c r="C129" s="67" t="s">
        <v>307</v>
      </c>
      <c r="D129" s="71">
        <v>45351.0</v>
      </c>
      <c r="E129" s="71">
        <v>45352.0</v>
      </c>
      <c r="F129" s="69">
        <v>9829000.0</v>
      </c>
      <c r="G129" s="69">
        <v>9829000.0</v>
      </c>
      <c r="H129" s="69">
        <v>3491497.777777778</v>
      </c>
      <c r="I129" s="69">
        <v>9829000.0</v>
      </c>
      <c r="J129" s="70">
        <f t="shared" si="7"/>
        <v>0.3552241101</v>
      </c>
    </row>
    <row r="130" ht="22.5" customHeight="1" outlineLevel="2">
      <c r="A130" s="66" t="s">
        <v>79</v>
      </c>
      <c r="B130" s="67" t="s">
        <v>329</v>
      </c>
      <c r="C130" s="67" t="s">
        <v>330</v>
      </c>
      <c r="D130" s="71">
        <v>45356.0</v>
      </c>
      <c r="E130" s="71">
        <v>45365.0</v>
      </c>
      <c r="F130" s="69">
        <v>1.33E7</v>
      </c>
      <c r="G130" s="69">
        <v>1.33E7</v>
      </c>
      <c r="H130" s="69">
        <v>943733.222222222</v>
      </c>
      <c r="I130" s="69">
        <v>1.33E7</v>
      </c>
      <c r="J130" s="70">
        <f t="shared" si="7"/>
        <v>0.07095738513</v>
      </c>
    </row>
    <row r="131" ht="22.5" customHeight="1" outlineLevel="2">
      <c r="A131" s="66" t="s">
        <v>331</v>
      </c>
      <c r="B131" s="67" t="s">
        <v>291</v>
      </c>
      <c r="C131" s="67" t="s">
        <v>332</v>
      </c>
      <c r="D131" s="71">
        <v>45359.0</v>
      </c>
      <c r="E131" s="71">
        <v>45370.0</v>
      </c>
      <c r="F131" s="69">
        <v>4.28E7</v>
      </c>
      <c r="G131" s="69">
        <v>4.28E7</v>
      </c>
      <c r="H131" s="69">
        <v>2228000.0</v>
      </c>
      <c r="I131" s="69">
        <v>4.28E7</v>
      </c>
      <c r="J131" s="70">
        <f t="shared" si="7"/>
        <v>0.05205607477</v>
      </c>
    </row>
    <row r="132" ht="22.5" customHeight="1" outlineLevel="2">
      <c r="A132" s="66" t="s">
        <v>333</v>
      </c>
      <c r="B132" s="67" t="s">
        <v>291</v>
      </c>
      <c r="C132" s="67" t="s">
        <v>334</v>
      </c>
      <c r="D132" s="71">
        <v>45357.0</v>
      </c>
      <c r="E132" s="71">
        <v>45369.0</v>
      </c>
      <c r="F132" s="69">
        <v>8400000.0</v>
      </c>
      <c r="G132" s="69">
        <v>8400000.0</v>
      </c>
      <c r="H132" s="69">
        <v>481328.5999999996</v>
      </c>
      <c r="I132" s="69">
        <v>8400000.0</v>
      </c>
      <c r="J132" s="70">
        <f t="shared" si="7"/>
        <v>0.05730102381</v>
      </c>
    </row>
    <row r="133" ht="22.5" customHeight="1" outlineLevel="2">
      <c r="A133" s="66" t="s">
        <v>335</v>
      </c>
      <c r="B133" s="67" t="s">
        <v>282</v>
      </c>
      <c r="C133" s="67" t="s">
        <v>336</v>
      </c>
      <c r="D133" s="71">
        <v>45359.0</v>
      </c>
      <c r="E133" s="71">
        <v>45366.0</v>
      </c>
      <c r="F133" s="69">
        <v>7.4394E7</v>
      </c>
      <c r="G133" s="69">
        <v>7.4394E7</v>
      </c>
      <c r="H133" s="69">
        <v>3.107051407E7</v>
      </c>
      <c r="I133" s="69">
        <v>7.4394E7</v>
      </c>
      <c r="J133" s="70">
        <f t="shared" si="7"/>
        <v>0.4176481177</v>
      </c>
    </row>
    <row r="134" ht="22.5" customHeight="1" outlineLevel="2">
      <c r="A134" s="66" t="s">
        <v>337</v>
      </c>
      <c r="B134" s="67" t="s">
        <v>282</v>
      </c>
      <c r="C134" s="67" t="s">
        <v>338</v>
      </c>
      <c r="D134" s="71">
        <v>45352.0</v>
      </c>
      <c r="E134" s="71">
        <v>45405.0</v>
      </c>
      <c r="F134" s="69">
        <v>5.586E8</v>
      </c>
      <c r="G134" s="69">
        <v>5.586E8</v>
      </c>
      <c r="H134" s="69">
        <v>5.127648668000001E7</v>
      </c>
      <c r="I134" s="69">
        <v>5.586E8</v>
      </c>
      <c r="J134" s="70">
        <f t="shared" si="7"/>
        <v>0.09179464139</v>
      </c>
    </row>
    <row r="135" ht="22.5" customHeight="1" outlineLevel="2">
      <c r="A135" s="66" t="s">
        <v>83</v>
      </c>
      <c r="B135" s="67" t="s">
        <v>282</v>
      </c>
      <c r="C135" s="67" t="s">
        <v>339</v>
      </c>
      <c r="D135" s="71">
        <v>45362.0</v>
      </c>
      <c r="E135" s="71">
        <v>45364.0</v>
      </c>
      <c r="F135" s="69">
        <v>1.2E8</v>
      </c>
      <c r="G135" s="69">
        <v>1.2E8</v>
      </c>
      <c r="H135" s="69">
        <v>2.9757616E7</v>
      </c>
      <c r="I135" s="69">
        <v>1.2E8</v>
      </c>
      <c r="J135" s="70">
        <f t="shared" si="7"/>
        <v>0.2479801333</v>
      </c>
    </row>
    <row r="136" ht="22.5" customHeight="1" outlineLevel="2">
      <c r="A136" s="66" t="s">
        <v>340</v>
      </c>
      <c r="B136" s="67" t="s">
        <v>282</v>
      </c>
      <c r="C136" s="67" t="s">
        <v>341</v>
      </c>
      <c r="D136" s="71">
        <v>45356.0</v>
      </c>
      <c r="E136" s="71">
        <v>45369.0</v>
      </c>
      <c r="F136" s="69">
        <v>2.5E8</v>
      </c>
      <c r="G136" s="69">
        <v>2.5E8</v>
      </c>
      <c r="H136" s="69">
        <v>7.164878E7</v>
      </c>
      <c r="I136" s="69">
        <v>2.5E8</v>
      </c>
      <c r="J136" s="70">
        <f t="shared" si="7"/>
        <v>0.28659512</v>
      </c>
    </row>
    <row r="137" ht="22.5" customHeight="1" outlineLevel="2">
      <c r="A137" s="66" t="s">
        <v>342</v>
      </c>
      <c r="B137" s="67" t="s">
        <v>343</v>
      </c>
      <c r="C137" s="67" t="s">
        <v>344</v>
      </c>
      <c r="D137" s="71">
        <v>45359.0</v>
      </c>
      <c r="E137" s="71">
        <v>45387.0</v>
      </c>
      <c r="F137" s="69">
        <v>3.343E9</v>
      </c>
      <c r="G137" s="69">
        <v>3.343E9</v>
      </c>
      <c r="H137" s="69">
        <v>7.70035915352778E8</v>
      </c>
      <c r="I137" s="69">
        <v>3.343E9</v>
      </c>
      <c r="J137" s="70">
        <f t="shared" si="7"/>
        <v>0.2303427805</v>
      </c>
    </row>
    <row r="138" ht="22.5" customHeight="1" outlineLevel="2">
      <c r="A138" s="66" t="s">
        <v>85</v>
      </c>
      <c r="B138" s="67" t="s">
        <v>345</v>
      </c>
      <c r="C138" s="67" t="s">
        <v>346</v>
      </c>
      <c r="D138" s="71">
        <v>45363.0</v>
      </c>
      <c r="E138" s="71">
        <v>45379.0</v>
      </c>
      <c r="F138" s="69">
        <v>8.1E7</v>
      </c>
      <c r="G138" s="69">
        <v>8.1E7</v>
      </c>
      <c r="H138" s="69">
        <v>7140785.0</v>
      </c>
      <c r="I138" s="69">
        <v>8.1E7</v>
      </c>
      <c r="J138" s="70">
        <f t="shared" si="7"/>
        <v>0.08815783951</v>
      </c>
    </row>
    <row r="139" ht="22.5" customHeight="1" outlineLevel="2">
      <c r="A139" s="66" t="s">
        <v>87</v>
      </c>
      <c r="B139" s="67" t="s">
        <v>291</v>
      </c>
      <c r="C139" s="67" t="s">
        <v>347</v>
      </c>
      <c r="D139" s="71">
        <v>45365.0</v>
      </c>
      <c r="E139" s="71">
        <v>45376.0</v>
      </c>
      <c r="F139" s="69">
        <v>6.96E8</v>
      </c>
      <c r="G139" s="69">
        <v>6.96E8</v>
      </c>
      <c r="H139" s="69">
        <v>3.5538E7</v>
      </c>
      <c r="I139" s="69">
        <v>6.96E8</v>
      </c>
      <c r="J139" s="70">
        <f t="shared" si="7"/>
        <v>0.05106034483</v>
      </c>
    </row>
    <row r="140" ht="22.5" customHeight="1" outlineLevel="2">
      <c r="A140" s="66" t="s">
        <v>348</v>
      </c>
      <c r="B140" s="67" t="s">
        <v>291</v>
      </c>
      <c r="C140" s="67" t="s">
        <v>349</v>
      </c>
      <c r="D140" s="71">
        <v>45363.0</v>
      </c>
      <c r="E140" s="71">
        <v>45370.0</v>
      </c>
      <c r="F140" s="69">
        <v>8.8275E7</v>
      </c>
      <c r="G140" s="69">
        <v>8.8275E7</v>
      </c>
      <c r="H140" s="69">
        <v>8347894.0</v>
      </c>
      <c r="I140" s="69">
        <v>8.8275E7</v>
      </c>
      <c r="J140" s="70">
        <f t="shared" si="7"/>
        <v>0.09456691022</v>
      </c>
    </row>
    <row r="141" ht="22.5" customHeight="1" outlineLevel="2">
      <c r="A141" s="66" t="s">
        <v>350</v>
      </c>
      <c r="B141" s="67" t="s">
        <v>291</v>
      </c>
      <c r="C141" s="67" t="s">
        <v>351</v>
      </c>
      <c r="D141" s="71">
        <v>45365.0</v>
      </c>
      <c r="E141" s="71">
        <v>45373.0</v>
      </c>
      <c r="F141" s="69">
        <v>1.57872E8</v>
      </c>
      <c r="G141" s="69">
        <v>1.57872E8</v>
      </c>
      <c r="H141" s="69">
        <v>2.2052126E7</v>
      </c>
      <c r="I141" s="69">
        <v>1.57872E8</v>
      </c>
      <c r="J141" s="70">
        <f t="shared" si="7"/>
        <v>0.1396835791</v>
      </c>
    </row>
    <row r="142" ht="22.5" customHeight="1" outlineLevel="2">
      <c r="A142" s="66" t="s">
        <v>352</v>
      </c>
      <c r="B142" s="67" t="s">
        <v>291</v>
      </c>
      <c r="C142" s="67" t="s">
        <v>353</v>
      </c>
      <c r="D142" s="71">
        <v>45371.0</v>
      </c>
      <c r="E142" s="71">
        <v>45377.0</v>
      </c>
      <c r="F142" s="69">
        <v>3.81E7</v>
      </c>
      <c r="G142" s="69">
        <v>3.81E7</v>
      </c>
      <c r="H142" s="69">
        <v>5978000.0</v>
      </c>
      <c r="I142" s="69">
        <v>3.81E7</v>
      </c>
      <c r="J142" s="70">
        <f t="shared" si="7"/>
        <v>0.1569028871</v>
      </c>
    </row>
    <row r="143" ht="22.5" customHeight="1" outlineLevel="2">
      <c r="A143" s="66" t="s">
        <v>354</v>
      </c>
      <c r="B143" s="67" t="s">
        <v>291</v>
      </c>
      <c r="C143" s="67" t="s">
        <v>355</v>
      </c>
      <c r="D143" s="71">
        <v>45373.0</v>
      </c>
      <c r="E143" s="71">
        <v>45383.0</v>
      </c>
      <c r="F143" s="69">
        <v>6.05E7</v>
      </c>
      <c r="G143" s="69">
        <v>6.05E7</v>
      </c>
      <c r="H143" s="69">
        <v>4818000.0</v>
      </c>
      <c r="I143" s="69">
        <v>6.05E7</v>
      </c>
      <c r="J143" s="70">
        <f t="shared" si="7"/>
        <v>0.07963636364</v>
      </c>
    </row>
    <row r="144" ht="22.5" customHeight="1" outlineLevel="2">
      <c r="A144" s="66" t="s">
        <v>356</v>
      </c>
      <c r="B144" s="67" t="s">
        <v>320</v>
      </c>
      <c r="C144" s="67" t="s">
        <v>357</v>
      </c>
      <c r="D144" s="71">
        <v>45373.0</v>
      </c>
      <c r="E144" s="71">
        <v>45386.0</v>
      </c>
      <c r="F144" s="69">
        <v>6.5E9</v>
      </c>
      <c r="G144" s="69">
        <v>3.4475E9</v>
      </c>
      <c r="H144" s="69">
        <v>5.0731732477610016E8</v>
      </c>
      <c r="I144" s="69">
        <v>3.4475E9</v>
      </c>
      <c r="J144" s="70">
        <f t="shared" si="7"/>
        <v>0.1471551341</v>
      </c>
    </row>
    <row r="145" ht="22.5" customHeight="1" outlineLevel="2">
      <c r="A145" s="66" t="s">
        <v>93</v>
      </c>
      <c r="B145" s="67" t="s">
        <v>291</v>
      </c>
      <c r="C145" s="67" t="s">
        <v>347</v>
      </c>
      <c r="D145" s="71">
        <v>45376.0</v>
      </c>
      <c r="E145" s="71">
        <v>45379.0</v>
      </c>
      <c r="F145" s="69">
        <v>5.52E8</v>
      </c>
      <c r="G145" s="69">
        <v>5.52E8</v>
      </c>
      <c r="H145" s="69">
        <v>1.46241E7</v>
      </c>
      <c r="I145" s="69">
        <v>5.52E8</v>
      </c>
      <c r="J145" s="70">
        <f t="shared" si="7"/>
        <v>0.02649293478</v>
      </c>
    </row>
    <row r="146" ht="22.5" customHeight="1" outlineLevel="2">
      <c r="A146" s="66" t="s">
        <v>97</v>
      </c>
      <c r="B146" s="67" t="s">
        <v>358</v>
      </c>
      <c r="C146" s="67" t="s">
        <v>359</v>
      </c>
      <c r="D146" s="71">
        <v>45376.0</v>
      </c>
      <c r="E146" s="71">
        <v>45384.0</v>
      </c>
      <c r="F146" s="69">
        <v>9.36216E8</v>
      </c>
      <c r="G146" s="69">
        <v>9.36216E8</v>
      </c>
      <c r="H146" s="69">
        <v>2.921172553399999E8</v>
      </c>
      <c r="I146" s="69">
        <v>9.36216E8</v>
      </c>
      <c r="J146" s="70">
        <f t="shared" si="7"/>
        <v>0.3120190804</v>
      </c>
    </row>
    <row r="147" ht="22.5" customHeight="1" outlineLevel="2">
      <c r="A147" s="66" t="s">
        <v>360</v>
      </c>
      <c r="B147" s="67" t="s">
        <v>282</v>
      </c>
      <c r="C147" s="67" t="s">
        <v>311</v>
      </c>
      <c r="D147" s="71">
        <v>45379.0</v>
      </c>
      <c r="E147" s="71">
        <v>45383.0</v>
      </c>
      <c r="F147" s="69">
        <v>1.1775E8</v>
      </c>
      <c r="G147" s="69">
        <v>1.1775E8</v>
      </c>
      <c r="H147" s="69">
        <v>2.904789656050001E7</v>
      </c>
      <c r="I147" s="69">
        <v>1.1775E8</v>
      </c>
      <c r="J147" s="70">
        <f t="shared" si="7"/>
        <v>0.2466912659</v>
      </c>
    </row>
    <row r="148" ht="22.5" customHeight="1" outlineLevel="2">
      <c r="A148" s="66" t="s">
        <v>361</v>
      </c>
      <c r="B148" s="67" t="s">
        <v>294</v>
      </c>
      <c r="C148" s="67" t="s">
        <v>362</v>
      </c>
      <c r="D148" s="71">
        <v>45377.0</v>
      </c>
      <c r="E148" s="71">
        <v>45393.0</v>
      </c>
      <c r="F148" s="69">
        <v>2.88E7</v>
      </c>
      <c r="G148" s="69">
        <v>2.88E7</v>
      </c>
      <c r="H148" s="69">
        <v>1.0463E7</v>
      </c>
      <c r="I148" s="69">
        <v>2.88E7</v>
      </c>
      <c r="J148" s="70">
        <f t="shared" si="7"/>
        <v>0.3632986111</v>
      </c>
    </row>
    <row r="149" ht="22.5" customHeight="1" outlineLevel="2">
      <c r="A149" s="66" t="s">
        <v>101</v>
      </c>
      <c r="B149" s="67" t="s">
        <v>320</v>
      </c>
      <c r="C149" s="67" t="s">
        <v>363</v>
      </c>
      <c r="D149" s="71">
        <v>45380.0</v>
      </c>
      <c r="E149" s="71">
        <v>45383.0</v>
      </c>
      <c r="F149" s="69">
        <v>4.994E8</v>
      </c>
      <c r="G149" s="69">
        <v>4.994E8</v>
      </c>
      <c r="H149" s="69">
        <v>6.800280436000001E7</v>
      </c>
      <c r="I149" s="69">
        <v>4.994E8</v>
      </c>
      <c r="J149" s="70">
        <f t="shared" si="7"/>
        <v>0.1361690115</v>
      </c>
    </row>
    <row r="150" ht="22.5" customHeight="1" outlineLevel="2">
      <c r="A150" s="66" t="s">
        <v>364</v>
      </c>
      <c r="B150" s="67" t="s">
        <v>365</v>
      </c>
      <c r="C150" s="67" t="s">
        <v>366</v>
      </c>
      <c r="D150" s="71">
        <v>45380.0</v>
      </c>
      <c r="E150" s="71">
        <v>45390.0</v>
      </c>
      <c r="F150" s="69">
        <v>3.0E7</v>
      </c>
      <c r="G150" s="69">
        <v>3.0E7</v>
      </c>
      <c r="H150" s="69">
        <v>6956245.702500001</v>
      </c>
      <c r="I150" s="69">
        <v>3.0E7</v>
      </c>
      <c r="J150" s="70">
        <f t="shared" si="7"/>
        <v>0.2318748568</v>
      </c>
    </row>
    <row r="151" ht="22.5" customHeight="1" outlineLevel="2">
      <c r="A151" s="66" t="s">
        <v>367</v>
      </c>
      <c r="B151" s="67" t="s">
        <v>291</v>
      </c>
      <c r="C151" s="67" t="s">
        <v>353</v>
      </c>
      <c r="D151" s="71">
        <v>45380.0</v>
      </c>
      <c r="E151" s="71">
        <v>45385.0</v>
      </c>
      <c r="F151" s="69">
        <v>1.488E7</v>
      </c>
      <c r="G151" s="69">
        <v>1.488E7</v>
      </c>
      <c r="H151" s="69">
        <v>6285084.0</v>
      </c>
      <c r="I151" s="69">
        <v>1.488E7</v>
      </c>
      <c r="J151" s="70">
        <f t="shared" si="7"/>
        <v>0.4223846774</v>
      </c>
    </row>
    <row r="152" ht="22.5" customHeight="1" outlineLevel="2">
      <c r="A152" s="66" t="s">
        <v>116</v>
      </c>
      <c r="B152" s="67" t="s">
        <v>297</v>
      </c>
      <c r="C152" s="67" t="s">
        <v>368</v>
      </c>
      <c r="D152" s="71">
        <v>45380.0</v>
      </c>
      <c r="E152" s="71">
        <v>45384.0</v>
      </c>
      <c r="F152" s="69">
        <v>2.25E7</v>
      </c>
      <c r="G152" s="69">
        <v>2.25E7</v>
      </c>
      <c r="H152" s="69">
        <v>1.0530833333333334E7</v>
      </c>
      <c r="I152" s="69">
        <v>2.25E7</v>
      </c>
      <c r="J152" s="70">
        <f t="shared" si="7"/>
        <v>0.468037037</v>
      </c>
    </row>
    <row r="153" ht="22.5" customHeight="1" outlineLevel="2">
      <c r="A153" s="66" t="s">
        <v>369</v>
      </c>
      <c r="B153" s="67" t="s">
        <v>297</v>
      </c>
      <c r="C153" s="67" t="s">
        <v>307</v>
      </c>
      <c r="D153" s="71">
        <v>45380.0</v>
      </c>
      <c r="E153" s="71">
        <v>45383.0</v>
      </c>
      <c r="F153" s="69">
        <v>7331000.0</v>
      </c>
      <c r="G153" s="69">
        <v>7331000.0</v>
      </c>
      <c r="H153" s="69">
        <v>691263.888888889</v>
      </c>
      <c r="I153" s="69">
        <v>7331000.0</v>
      </c>
      <c r="J153" s="70">
        <f t="shared" si="7"/>
        <v>0.09429325998</v>
      </c>
    </row>
    <row r="154" ht="22.5" customHeight="1" outlineLevel="2">
      <c r="A154" s="66" t="s">
        <v>370</v>
      </c>
      <c r="B154" s="67" t="s">
        <v>282</v>
      </c>
      <c r="C154" s="67" t="s">
        <v>371</v>
      </c>
      <c r="D154" s="71">
        <v>45385.0</v>
      </c>
      <c r="E154" s="71">
        <v>45387.0</v>
      </c>
      <c r="F154" s="69">
        <v>2.5E7</v>
      </c>
      <c r="G154" s="69">
        <v>2.5E7</v>
      </c>
      <c r="H154" s="69">
        <v>6842852.0</v>
      </c>
      <c r="I154" s="69">
        <v>2.5E7</v>
      </c>
      <c r="J154" s="70">
        <f t="shared" si="7"/>
        <v>0.27371408</v>
      </c>
    </row>
    <row r="155" ht="22.5" customHeight="1" outlineLevel="2">
      <c r="A155" s="66" t="s">
        <v>372</v>
      </c>
      <c r="B155" s="67" t="s">
        <v>282</v>
      </c>
      <c r="C155" s="67" t="s">
        <v>363</v>
      </c>
      <c r="D155" s="71">
        <v>45386.0</v>
      </c>
      <c r="E155" s="71">
        <v>45394.0</v>
      </c>
      <c r="F155" s="69">
        <v>1.06983E8</v>
      </c>
      <c r="G155" s="69">
        <v>1.06983E8</v>
      </c>
      <c r="H155" s="69">
        <v>2.70829225E7</v>
      </c>
      <c r="I155" s="69">
        <v>1.06983E8</v>
      </c>
      <c r="J155" s="70">
        <f t="shared" si="7"/>
        <v>0.2531516456</v>
      </c>
    </row>
    <row r="156" ht="22.5" customHeight="1" outlineLevel="2">
      <c r="A156" s="66" t="s">
        <v>373</v>
      </c>
      <c r="B156" s="67" t="s">
        <v>282</v>
      </c>
      <c r="C156" s="67" t="s">
        <v>374</v>
      </c>
      <c r="D156" s="71">
        <v>45390.0</v>
      </c>
      <c r="E156" s="71">
        <v>45481.0</v>
      </c>
      <c r="F156" s="69">
        <v>1.26E7</v>
      </c>
      <c r="G156" s="69">
        <v>1.26E7</v>
      </c>
      <c r="H156" s="69">
        <v>5581812.5</v>
      </c>
      <c r="I156" s="69">
        <v>1.26E7</v>
      </c>
      <c r="J156" s="70">
        <f t="shared" si="7"/>
        <v>0.4430009921</v>
      </c>
    </row>
    <row r="157" ht="22.5" customHeight="1" outlineLevel="2">
      <c r="A157" s="66" t="s">
        <v>375</v>
      </c>
      <c r="B157" s="67" t="s">
        <v>297</v>
      </c>
      <c r="C157" s="67" t="s">
        <v>376</v>
      </c>
      <c r="D157" s="71">
        <v>45387.0</v>
      </c>
      <c r="E157" s="71">
        <v>45390.0</v>
      </c>
      <c r="F157" s="69">
        <v>7684000.0</v>
      </c>
      <c r="G157" s="69">
        <v>7684000.0</v>
      </c>
      <c r="H157" s="69">
        <v>2690527.777777778</v>
      </c>
      <c r="I157" s="69">
        <v>7684000.0</v>
      </c>
      <c r="J157" s="70">
        <f t="shared" si="7"/>
        <v>0.3501467696</v>
      </c>
    </row>
    <row r="158" ht="22.5" customHeight="1" outlineLevel="2">
      <c r="A158" s="66" t="s">
        <v>377</v>
      </c>
      <c r="B158" s="67" t="s">
        <v>378</v>
      </c>
      <c r="C158" s="67" t="s">
        <v>379</v>
      </c>
      <c r="D158" s="71">
        <v>45390.0</v>
      </c>
      <c r="E158" s="71">
        <v>45405.0</v>
      </c>
      <c r="F158" s="69">
        <v>7.7853E7</v>
      </c>
      <c r="G158" s="69">
        <v>7.7853E7</v>
      </c>
      <c r="H158" s="69">
        <v>1.2981E7</v>
      </c>
      <c r="I158" s="69">
        <v>7.7853E7</v>
      </c>
      <c r="J158" s="70">
        <f t="shared" si="7"/>
        <v>0.1667373126</v>
      </c>
    </row>
    <row r="159" ht="22.5" customHeight="1" outlineLevel="2">
      <c r="A159" s="66" t="s">
        <v>380</v>
      </c>
      <c r="B159" s="67" t="s">
        <v>381</v>
      </c>
      <c r="C159" s="67" t="s">
        <v>382</v>
      </c>
      <c r="D159" s="71">
        <v>45392.0</v>
      </c>
      <c r="E159" s="71">
        <v>45401.0</v>
      </c>
      <c r="F159" s="69">
        <v>3.669E8</v>
      </c>
      <c r="G159" s="69">
        <v>3.669E8</v>
      </c>
      <c r="H159" s="69">
        <v>8.865487278666663E7</v>
      </c>
      <c r="I159" s="69">
        <v>3.669E8</v>
      </c>
      <c r="J159" s="70">
        <f t="shared" si="7"/>
        <v>0.2416322507</v>
      </c>
    </row>
    <row r="160" ht="22.5" customHeight="1" outlineLevel="2">
      <c r="A160" s="66" t="s">
        <v>383</v>
      </c>
      <c r="B160" s="67" t="s">
        <v>294</v>
      </c>
      <c r="C160" s="67" t="s">
        <v>384</v>
      </c>
      <c r="D160" s="71">
        <v>45391.0</v>
      </c>
      <c r="E160" s="71">
        <v>45418.0</v>
      </c>
      <c r="F160" s="69">
        <v>1.26E8</v>
      </c>
      <c r="G160" s="69">
        <v>1.26E8</v>
      </c>
      <c r="H160" s="69">
        <v>8838000.0</v>
      </c>
      <c r="I160" s="69">
        <v>1.26E8</v>
      </c>
      <c r="J160" s="70">
        <f t="shared" si="7"/>
        <v>0.07014285714</v>
      </c>
    </row>
    <row r="161" ht="22.5" customHeight="1" outlineLevel="2">
      <c r="A161" s="66" t="s">
        <v>385</v>
      </c>
      <c r="B161" s="67" t="s">
        <v>282</v>
      </c>
      <c r="C161" s="67" t="s">
        <v>386</v>
      </c>
      <c r="D161" s="71">
        <v>45392.0</v>
      </c>
      <c r="E161" s="71">
        <v>45394.0</v>
      </c>
      <c r="F161" s="69">
        <v>4.5E7</v>
      </c>
      <c r="G161" s="69">
        <v>4.5E7</v>
      </c>
      <c r="H161" s="69">
        <v>1.5921037719999999E7</v>
      </c>
      <c r="I161" s="69">
        <v>4.5E7</v>
      </c>
      <c r="J161" s="70">
        <f t="shared" si="7"/>
        <v>0.3538008382</v>
      </c>
    </row>
    <row r="162" ht="22.5" customHeight="1" outlineLevel="2">
      <c r="A162" s="66" t="s">
        <v>387</v>
      </c>
      <c r="B162" s="67" t="s">
        <v>282</v>
      </c>
      <c r="C162" s="67" t="s">
        <v>388</v>
      </c>
      <c r="D162" s="71">
        <v>45394.0</v>
      </c>
      <c r="E162" s="71">
        <v>45405.0</v>
      </c>
      <c r="F162" s="69">
        <v>1.57625E8</v>
      </c>
      <c r="G162" s="69">
        <v>1.57625E8</v>
      </c>
      <c r="H162" s="69">
        <v>6.5987560474999994E7</v>
      </c>
      <c r="I162" s="69">
        <v>1.57625E8</v>
      </c>
      <c r="J162" s="70">
        <f t="shared" si="7"/>
        <v>0.4186363868</v>
      </c>
    </row>
    <row r="163" ht="22.5" customHeight="1" outlineLevel="2">
      <c r="A163" s="66" t="s">
        <v>389</v>
      </c>
      <c r="B163" s="67" t="s">
        <v>285</v>
      </c>
      <c r="C163" s="67" t="s">
        <v>390</v>
      </c>
      <c r="D163" s="71">
        <v>45393.0</v>
      </c>
      <c r="E163" s="71">
        <v>45401.0</v>
      </c>
      <c r="F163" s="69">
        <v>1.085E8</v>
      </c>
      <c r="G163" s="69">
        <v>1.085E8</v>
      </c>
      <c r="H163" s="69">
        <v>2.7029E7</v>
      </c>
      <c r="I163" s="69">
        <v>1.085E8</v>
      </c>
      <c r="J163" s="70">
        <f t="shared" si="7"/>
        <v>0.2491152074</v>
      </c>
    </row>
    <row r="164" ht="22.5" customHeight="1" outlineLevel="2">
      <c r="A164" s="66" t="s">
        <v>391</v>
      </c>
      <c r="B164" s="67" t="s">
        <v>294</v>
      </c>
      <c r="C164" s="67" t="s">
        <v>392</v>
      </c>
      <c r="D164" s="71">
        <v>45377.0</v>
      </c>
      <c r="E164" s="71">
        <v>45416.0</v>
      </c>
      <c r="F164" s="69">
        <v>4.5E7</v>
      </c>
      <c r="G164" s="69">
        <v>4.5E7</v>
      </c>
      <c r="H164" s="69">
        <v>2821680.0</v>
      </c>
      <c r="I164" s="69">
        <v>4.5E7</v>
      </c>
      <c r="J164" s="70">
        <f t="shared" si="7"/>
        <v>0.062704</v>
      </c>
    </row>
    <row r="165" ht="22.5" customHeight="1" outlineLevel="2">
      <c r="A165" s="66" t="s">
        <v>393</v>
      </c>
      <c r="B165" s="67" t="s">
        <v>394</v>
      </c>
      <c r="C165" s="67" t="s">
        <v>395</v>
      </c>
      <c r="D165" s="71">
        <v>45408.0</v>
      </c>
      <c r="E165" s="71">
        <v>45436.0</v>
      </c>
      <c r="F165" s="69">
        <v>6.87E8</v>
      </c>
      <c r="G165" s="69">
        <v>6.87E8</v>
      </c>
      <c r="H165" s="69">
        <v>3.95471E7</v>
      </c>
      <c r="I165" s="69">
        <v>6.87E8</v>
      </c>
      <c r="J165" s="70">
        <f t="shared" si="7"/>
        <v>0.05756491994</v>
      </c>
    </row>
    <row r="166" ht="22.5" customHeight="1" outlineLevel="2">
      <c r="A166" s="66" t="s">
        <v>396</v>
      </c>
      <c r="B166" s="67" t="s">
        <v>291</v>
      </c>
      <c r="C166" s="67" t="s">
        <v>397</v>
      </c>
      <c r="D166" s="71">
        <v>45404.0</v>
      </c>
      <c r="E166" s="71">
        <v>45408.0</v>
      </c>
      <c r="F166" s="69">
        <v>5.415E8</v>
      </c>
      <c r="G166" s="69">
        <v>5.415E8</v>
      </c>
      <c r="H166" s="69">
        <v>2.7274361E7</v>
      </c>
      <c r="I166" s="69">
        <v>5.415E8</v>
      </c>
      <c r="J166" s="70">
        <f t="shared" si="7"/>
        <v>0.05036816436</v>
      </c>
    </row>
    <row r="167" ht="22.5" customHeight="1" outlineLevel="2">
      <c r="A167" s="66" t="s">
        <v>133</v>
      </c>
      <c r="B167" s="67" t="s">
        <v>297</v>
      </c>
      <c r="C167" s="67" t="s">
        <v>398</v>
      </c>
      <c r="D167" s="71">
        <v>45404.0</v>
      </c>
      <c r="E167" s="71">
        <v>45405.0</v>
      </c>
      <c r="F167" s="69">
        <v>8.4222E7</v>
      </c>
      <c r="G167" s="69">
        <v>8.4222E7</v>
      </c>
      <c r="H167" s="69">
        <v>3.475792457666667E7</v>
      </c>
      <c r="I167" s="69">
        <v>8.4222E7</v>
      </c>
      <c r="J167" s="70">
        <f t="shared" si="7"/>
        <v>0.4126941248</v>
      </c>
    </row>
    <row r="168" ht="22.5" customHeight="1" outlineLevel="2">
      <c r="A168" s="66" t="s">
        <v>135</v>
      </c>
      <c r="B168" s="67" t="s">
        <v>297</v>
      </c>
      <c r="C168" s="67" t="s">
        <v>307</v>
      </c>
      <c r="D168" s="71">
        <v>45405.0</v>
      </c>
      <c r="E168" s="71">
        <v>45406.0</v>
      </c>
      <c r="F168" s="69">
        <v>3.0279E7</v>
      </c>
      <c r="G168" s="69">
        <v>3.0279E7</v>
      </c>
      <c r="H168" s="69">
        <v>1.2230873021666668E7</v>
      </c>
      <c r="I168" s="69">
        <v>3.0279E7</v>
      </c>
      <c r="J168" s="70">
        <f t="shared" si="7"/>
        <v>0.4039391334</v>
      </c>
    </row>
    <row r="169" ht="22.5" customHeight="1" outlineLevel="2">
      <c r="A169" s="66" t="s">
        <v>399</v>
      </c>
      <c r="B169" s="67" t="s">
        <v>279</v>
      </c>
      <c r="C169" s="67" t="s">
        <v>400</v>
      </c>
      <c r="D169" s="71">
        <v>45407.0</v>
      </c>
      <c r="E169" s="71">
        <v>45407.0</v>
      </c>
      <c r="F169" s="69">
        <v>3.8032E7</v>
      </c>
      <c r="G169" s="69">
        <v>3.8032E7</v>
      </c>
      <c r="H169" s="69">
        <v>1.2230873021666668E7</v>
      </c>
      <c r="I169" s="69">
        <v>3.8032E7</v>
      </c>
      <c r="J169" s="70">
        <f t="shared" si="7"/>
        <v>0.3215942633</v>
      </c>
    </row>
    <row r="170" ht="22.5" customHeight="1" outlineLevel="2">
      <c r="A170" s="66" t="s">
        <v>401</v>
      </c>
      <c r="B170" s="67" t="s">
        <v>320</v>
      </c>
      <c r="C170" s="67" t="s">
        <v>353</v>
      </c>
      <c r="D170" s="71">
        <v>45418.0</v>
      </c>
      <c r="E170" s="71">
        <v>45427.0</v>
      </c>
      <c r="F170" s="69">
        <v>1.62824E8</v>
      </c>
      <c r="G170" s="69">
        <v>1.62824E8</v>
      </c>
      <c r="H170" s="69">
        <v>1.9315775749000013E7</v>
      </c>
      <c r="I170" s="69">
        <v>1.62824E8</v>
      </c>
      <c r="J170" s="70">
        <f t="shared" si="7"/>
        <v>0.1186297828</v>
      </c>
    </row>
    <row r="171" ht="22.5" customHeight="1" outlineLevel="2">
      <c r="A171" s="66" t="s">
        <v>402</v>
      </c>
      <c r="B171" s="67" t="s">
        <v>282</v>
      </c>
      <c r="C171" s="67" t="s">
        <v>403</v>
      </c>
      <c r="D171" s="71">
        <v>45407.0</v>
      </c>
      <c r="E171" s="71">
        <v>45446.0</v>
      </c>
      <c r="F171" s="69">
        <v>3.66282E8</v>
      </c>
      <c r="G171" s="69">
        <v>3.66282E8</v>
      </c>
      <c r="H171" s="69">
        <v>3.510199590199995E7</v>
      </c>
      <c r="I171" s="69">
        <v>3.66282E8</v>
      </c>
      <c r="J171" s="70">
        <f t="shared" si="7"/>
        <v>0.09583325389</v>
      </c>
    </row>
    <row r="172" ht="22.5" customHeight="1" outlineLevel="2">
      <c r="A172" s="66" t="s">
        <v>404</v>
      </c>
      <c r="B172" s="67" t="s">
        <v>329</v>
      </c>
      <c r="C172" s="67" t="s">
        <v>405</v>
      </c>
      <c r="D172" s="71">
        <v>45408.0</v>
      </c>
      <c r="E172" s="71">
        <v>45421.0</v>
      </c>
      <c r="F172" s="69">
        <v>9430000.0</v>
      </c>
      <c r="G172" s="69">
        <v>9430000.0</v>
      </c>
      <c r="H172" s="69">
        <v>1327798.0</v>
      </c>
      <c r="I172" s="69">
        <v>9430000.0</v>
      </c>
      <c r="J172" s="70">
        <f t="shared" si="7"/>
        <v>0.1408057264</v>
      </c>
    </row>
    <row r="173" ht="22.5" customHeight="1" outlineLevel="2">
      <c r="A173" s="66" t="s">
        <v>406</v>
      </c>
      <c r="B173" s="67" t="s">
        <v>282</v>
      </c>
      <c r="C173" s="67" t="s">
        <v>379</v>
      </c>
      <c r="D173" s="71">
        <v>45405.0</v>
      </c>
      <c r="E173" s="71">
        <v>45416.0</v>
      </c>
      <c r="F173" s="69">
        <v>9.98E7</v>
      </c>
      <c r="G173" s="69">
        <v>9.98E7</v>
      </c>
      <c r="H173" s="69">
        <v>3.4464477379999995E7</v>
      </c>
      <c r="I173" s="69">
        <v>9.98E7</v>
      </c>
      <c r="J173" s="70">
        <f t="shared" si="7"/>
        <v>0.3453354447</v>
      </c>
    </row>
    <row r="174" ht="22.5" customHeight="1" outlineLevel="2">
      <c r="A174" s="66" t="s">
        <v>142</v>
      </c>
      <c r="B174" s="67" t="s">
        <v>282</v>
      </c>
      <c r="C174" s="67" t="s">
        <v>407</v>
      </c>
      <c r="D174" s="71">
        <v>45414.0</v>
      </c>
      <c r="E174" s="71">
        <v>45415.0</v>
      </c>
      <c r="F174" s="69">
        <v>8.85E7</v>
      </c>
      <c r="G174" s="69">
        <v>8.85E7</v>
      </c>
      <c r="H174" s="69">
        <v>3.0397079310000002E7</v>
      </c>
      <c r="I174" s="69">
        <v>8.85E7</v>
      </c>
      <c r="J174" s="70">
        <f t="shared" si="7"/>
        <v>0.3434698227</v>
      </c>
    </row>
    <row r="175" ht="22.5" customHeight="1" outlineLevel="2">
      <c r="A175" s="66" t="s">
        <v>408</v>
      </c>
      <c r="B175" s="67" t="s">
        <v>294</v>
      </c>
      <c r="C175" s="67" t="s">
        <v>409</v>
      </c>
      <c r="D175" s="71">
        <v>45418.0</v>
      </c>
      <c r="E175" s="71">
        <v>45468.0</v>
      </c>
      <c r="F175" s="69">
        <v>7.68E7</v>
      </c>
      <c r="G175" s="69">
        <v>7.68E7</v>
      </c>
      <c r="H175" s="69">
        <v>6144000.0</v>
      </c>
      <c r="I175" s="69">
        <v>7.68E7</v>
      </c>
      <c r="J175" s="70">
        <f t="shared" si="7"/>
        <v>0.08</v>
      </c>
    </row>
    <row r="176" ht="22.5" customHeight="1" outlineLevel="2">
      <c r="A176" s="66" t="s">
        <v>410</v>
      </c>
      <c r="B176" s="67" t="s">
        <v>285</v>
      </c>
      <c r="C176" s="67" t="s">
        <v>286</v>
      </c>
      <c r="D176" s="71">
        <v>45416.0</v>
      </c>
      <c r="E176" s="71">
        <v>45426.0</v>
      </c>
      <c r="F176" s="69">
        <v>2.29E7</v>
      </c>
      <c r="G176" s="69">
        <v>2.29E7</v>
      </c>
      <c r="H176" s="69">
        <v>4934000.0</v>
      </c>
      <c r="I176" s="69">
        <v>2.29E7</v>
      </c>
      <c r="J176" s="70">
        <f t="shared" si="7"/>
        <v>0.2154585153</v>
      </c>
    </row>
    <row r="177" ht="22.5" customHeight="1" outlineLevel="2">
      <c r="A177" s="66" t="s">
        <v>411</v>
      </c>
      <c r="B177" s="67" t="s">
        <v>279</v>
      </c>
      <c r="C177" s="67" t="s">
        <v>412</v>
      </c>
      <c r="D177" s="71">
        <v>45406.0</v>
      </c>
      <c r="E177" s="71">
        <v>45428.0</v>
      </c>
      <c r="F177" s="69">
        <v>4.77E8</v>
      </c>
      <c r="G177" s="69">
        <v>4.77E8</v>
      </c>
      <c r="H177" s="69">
        <v>1.590197288E8</v>
      </c>
      <c r="I177" s="69">
        <v>4.77E8</v>
      </c>
      <c r="J177" s="70">
        <f t="shared" si="7"/>
        <v>0.3333746935</v>
      </c>
    </row>
    <row r="178" ht="22.5" customHeight="1" outlineLevel="2">
      <c r="A178" s="66" t="s">
        <v>413</v>
      </c>
      <c r="B178" s="67" t="s">
        <v>279</v>
      </c>
      <c r="C178" s="67" t="s">
        <v>414</v>
      </c>
      <c r="D178" s="71">
        <v>45418.0</v>
      </c>
      <c r="E178" s="71">
        <v>45421.0</v>
      </c>
      <c r="F178" s="69">
        <v>8.268E7</v>
      </c>
      <c r="G178" s="69">
        <v>8.268E7</v>
      </c>
      <c r="H178" s="69">
        <v>5.543216116666667E7</v>
      </c>
      <c r="I178" s="69">
        <v>8.268E7</v>
      </c>
      <c r="J178" s="70">
        <f t="shared" si="7"/>
        <v>0.6704422009</v>
      </c>
    </row>
    <row r="179" ht="22.5" customHeight="1" outlineLevel="2">
      <c r="A179" s="66" t="s">
        <v>415</v>
      </c>
      <c r="B179" s="67" t="s">
        <v>416</v>
      </c>
      <c r="C179" s="67" t="s">
        <v>412</v>
      </c>
      <c r="D179" s="71">
        <v>45414.0</v>
      </c>
      <c r="E179" s="71">
        <v>45510.0</v>
      </c>
      <c r="F179" s="69">
        <v>6.28E7</v>
      </c>
      <c r="G179" s="69">
        <v>6.28E7</v>
      </c>
      <c r="H179" s="69">
        <v>1.422039E7</v>
      </c>
      <c r="I179" s="69">
        <v>6.28E7</v>
      </c>
      <c r="J179" s="70">
        <f t="shared" si="7"/>
        <v>0.2264393312</v>
      </c>
    </row>
    <row r="180" ht="22.5" customHeight="1" outlineLevel="2">
      <c r="A180" s="66" t="s">
        <v>147</v>
      </c>
      <c r="B180" s="67" t="s">
        <v>297</v>
      </c>
      <c r="C180" s="67" t="s">
        <v>417</v>
      </c>
      <c r="D180" s="71">
        <v>45419.0</v>
      </c>
      <c r="E180" s="71">
        <v>45420.0</v>
      </c>
      <c r="F180" s="69">
        <v>2.7492E7</v>
      </c>
      <c r="G180" s="69">
        <v>2.7492E7</v>
      </c>
      <c r="H180" s="69">
        <v>1.1019325E7</v>
      </c>
      <c r="I180" s="69">
        <v>2.7492E7</v>
      </c>
      <c r="J180" s="70">
        <f t="shared" si="7"/>
        <v>0.4008193293</v>
      </c>
    </row>
    <row r="181" ht="22.5" customHeight="1" outlineLevel="2">
      <c r="A181" s="66" t="s">
        <v>418</v>
      </c>
      <c r="B181" s="67" t="s">
        <v>419</v>
      </c>
      <c r="C181" s="67" t="s">
        <v>319</v>
      </c>
      <c r="D181" s="71">
        <v>45422.0</v>
      </c>
      <c r="E181" s="71">
        <v>45450.0</v>
      </c>
      <c r="F181" s="69">
        <v>2.09484E8</v>
      </c>
      <c r="G181" s="69">
        <v>2.09484E8</v>
      </c>
      <c r="H181" s="69">
        <v>6.6137696849999994E7</v>
      </c>
      <c r="I181" s="69">
        <v>2.09484E8</v>
      </c>
      <c r="J181" s="70">
        <f t="shared" si="7"/>
        <v>0.3157171758</v>
      </c>
    </row>
    <row r="182" ht="22.5" customHeight="1" outlineLevel="2">
      <c r="A182" s="66" t="s">
        <v>420</v>
      </c>
      <c r="B182" s="67" t="s">
        <v>282</v>
      </c>
      <c r="C182" s="67" t="s">
        <v>421</v>
      </c>
      <c r="D182" s="71">
        <v>45422.0</v>
      </c>
      <c r="E182" s="71">
        <v>45462.0</v>
      </c>
      <c r="F182" s="69">
        <v>3.4272E8</v>
      </c>
      <c r="G182" s="69">
        <v>3.4272E8</v>
      </c>
      <c r="H182" s="69">
        <v>3.2827587920000017E7</v>
      </c>
      <c r="I182" s="69">
        <v>3.4272E8</v>
      </c>
      <c r="J182" s="70">
        <f t="shared" si="7"/>
        <v>0.09578544561</v>
      </c>
    </row>
    <row r="183" ht="22.5" customHeight="1" outlineLevel="2">
      <c r="A183" s="66" t="s">
        <v>422</v>
      </c>
      <c r="B183" s="67" t="s">
        <v>423</v>
      </c>
      <c r="C183" s="67" t="s">
        <v>424</v>
      </c>
      <c r="D183" s="71">
        <v>45422.0</v>
      </c>
      <c r="E183" s="71">
        <v>45433.0</v>
      </c>
      <c r="F183" s="69">
        <v>1.7582E8</v>
      </c>
      <c r="G183" s="69">
        <v>1.7582E8</v>
      </c>
      <c r="H183" s="69">
        <v>7.3742817835E7</v>
      </c>
      <c r="I183" s="69">
        <v>1.7582E8</v>
      </c>
      <c r="J183" s="70">
        <f t="shared" si="7"/>
        <v>0.4194222377</v>
      </c>
    </row>
    <row r="184" ht="22.5" customHeight="1" outlineLevel="2">
      <c r="A184" s="66" t="s">
        <v>151</v>
      </c>
      <c r="B184" s="67" t="s">
        <v>282</v>
      </c>
      <c r="C184" s="67" t="s">
        <v>425</v>
      </c>
      <c r="D184" s="71">
        <v>45421.0</v>
      </c>
      <c r="E184" s="71">
        <v>45422.0</v>
      </c>
      <c r="F184" s="69">
        <v>2.29788E8</v>
      </c>
      <c r="G184" s="69">
        <v>2.29788E8</v>
      </c>
      <c r="H184" s="69">
        <v>6.81740592575E7</v>
      </c>
      <c r="I184" s="69">
        <v>2.29788E8</v>
      </c>
      <c r="J184" s="70">
        <f t="shared" si="7"/>
        <v>0.2966824171</v>
      </c>
    </row>
    <row r="185" ht="22.5" customHeight="1" outlineLevel="2">
      <c r="A185" s="66" t="s">
        <v>157</v>
      </c>
      <c r="B185" s="67" t="s">
        <v>282</v>
      </c>
      <c r="C185" s="67" t="s">
        <v>426</v>
      </c>
      <c r="D185" s="71">
        <v>45419.0</v>
      </c>
      <c r="E185" s="71">
        <v>45450.0</v>
      </c>
      <c r="F185" s="69">
        <v>6.375E7</v>
      </c>
      <c r="G185" s="69">
        <v>6.3685E7</v>
      </c>
      <c r="H185" s="69">
        <v>2.25312119E7</v>
      </c>
      <c r="I185" s="69">
        <v>6.3685E7</v>
      </c>
      <c r="J185" s="70">
        <f t="shared" si="7"/>
        <v>0.3537915035</v>
      </c>
    </row>
    <row r="186" ht="22.5" customHeight="1" outlineLevel="2">
      <c r="A186" s="66" t="s">
        <v>427</v>
      </c>
      <c r="B186" s="67" t="s">
        <v>378</v>
      </c>
      <c r="C186" s="67" t="s">
        <v>428</v>
      </c>
      <c r="D186" s="71">
        <v>45426.0</v>
      </c>
      <c r="E186" s="71">
        <v>45441.0</v>
      </c>
      <c r="F186" s="69">
        <v>1.45E8</v>
      </c>
      <c r="G186" s="69">
        <v>1.45E8</v>
      </c>
      <c r="H186" s="69">
        <v>2.605E7</v>
      </c>
      <c r="I186" s="69">
        <v>1.45E8</v>
      </c>
      <c r="J186" s="70">
        <f t="shared" si="7"/>
        <v>0.1796551724</v>
      </c>
    </row>
    <row r="187" ht="22.5" customHeight="1" outlineLevel="2">
      <c r="A187" s="66" t="s">
        <v>429</v>
      </c>
      <c r="B187" s="67" t="s">
        <v>320</v>
      </c>
      <c r="C187" s="67" t="s">
        <v>430</v>
      </c>
      <c r="D187" s="71">
        <v>45429.0</v>
      </c>
      <c r="E187" s="71">
        <v>45435.0</v>
      </c>
      <c r="F187" s="69">
        <v>1.30959E8</v>
      </c>
      <c r="G187" s="69">
        <v>1.30959E8</v>
      </c>
      <c r="H187" s="69">
        <v>8459908.474999994</v>
      </c>
      <c r="I187" s="69">
        <v>1.30959E8</v>
      </c>
      <c r="J187" s="70">
        <f t="shared" si="7"/>
        <v>0.06459967223</v>
      </c>
    </row>
    <row r="188" ht="22.5" customHeight="1" outlineLevel="2">
      <c r="A188" s="66" t="s">
        <v>431</v>
      </c>
      <c r="B188" s="67" t="s">
        <v>432</v>
      </c>
      <c r="C188" s="67" t="s">
        <v>433</v>
      </c>
      <c r="D188" s="71">
        <v>45390.0</v>
      </c>
      <c r="E188" s="71">
        <v>45404.0</v>
      </c>
      <c r="F188" s="69">
        <v>2.4569E8</v>
      </c>
      <c r="G188" s="69">
        <v>2.4569E8</v>
      </c>
      <c r="H188" s="69">
        <v>4.2104739E7</v>
      </c>
      <c r="I188" s="69"/>
      <c r="J188" s="70">
        <f t="shared" si="7"/>
        <v>0.171373434</v>
      </c>
    </row>
    <row r="189" ht="22.5" customHeight="1" outlineLevel="2">
      <c r="A189" s="66" t="s">
        <v>434</v>
      </c>
      <c r="B189" s="67" t="s">
        <v>282</v>
      </c>
      <c r="C189" s="67" t="s">
        <v>386</v>
      </c>
      <c r="D189" s="71">
        <v>45435.0</v>
      </c>
      <c r="E189" s="71">
        <v>45436.0</v>
      </c>
      <c r="F189" s="69">
        <v>6.4736E8</v>
      </c>
      <c r="G189" s="69">
        <v>6.4736E8</v>
      </c>
      <c r="H189" s="69">
        <v>2.0151438626E8</v>
      </c>
      <c r="I189" s="69">
        <v>6.4736E8</v>
      </c>
      <c r="J189" s="70">
        <f t="shared" si="7"/>
        <v>0.3112864345</v>
      </c>
    </row>
    <row r="190" ht="22.5" customHeight="1" outlineLevel="2">
      <c r="A190" s="66" t="s">
        <v>435</v>
      </c>
      <c r="B190" s="67" t="s">
        <v>291</v>
      </c>
      <c r="C190" s="67" t="s">
        <v>353</v>
      </c>
      <c r="D190" s="71">
        <v>45429.0</v>
      </c>
      <c r="E190" s="71">
        <v>45441.0</v>
      </c>
      <c r="F190" s="69">
        <v>1.721E7</v>
      </c>
      <c r="G190" s="69">
        <v>1.721E7</v>
      </c>
      <c r="H190" s="69">
        <v>2538000.0</v>
      </c>
      <c r="I190" s="69">
        <v>1.721E7</v>
      </c>
      <c r="J190" s="70">
        <f t="shared" si="7"/>
        <v>0.1474723998</v>
      </c>
    </row>
    <row r="191" ht="22.5" customHeight="1" outlineLevel="2">
      <c r="A191" s="66" t="s">
        <v>436</v>
      </c>
      <c r="B191" s="67" t="s">
        <v>279</v>
      </c>
      <c r="C191" s="67" t="s">
        <v>437</v>
      </c>
      <c r="D191" s="71">
        <v>45433.0</v>
      </c>
      <c r="E191" s="71">
        <v>45443.0</v>
      </c>
      <c r="F191" s="69">
        <v>4.76E8</v>
      </c>
      <c r="G191" s="69">
        <v>4.76E8</v>
      </c>
      <c r="H191" s="69">
        <v>1.85742548875E8</v>
      </c>
      <c r="I191" s="69">
        <v>4.76E8</v>
      </c>
      <c r="J191" s="70">
        <f t="shared" si="7"/>
        <v>0.3902154388</v>
      </c>
    </row>
    <row r="192" ht="22.5" customHeight="1" outlineLevel="2">
      <c r="A192" s="66" t="s">
        <v>438</v>
      </c>
      <c r="B192" s="67" t="s">
        <v>282</v>
      </c>
      <c r="C192" s="67" t="s">
        <v>439</v>
      </c>
      <c r="D192" s="71">
        <v>45435.0</v>
      </c>
      <c r="E192" s="71">
        <v>45435.0</v>
      </c>
      <c r="F192" s="69">
        <v>4.7124E8</v>
      </c>
      <c r="G192" s="69">
        <v>4.7124E8</v>
      </c>
      <c r="H192" s="69">
        <v>4.6496931E7</v>
      </c>
      <c r="I192" s="69">
        <v>4.7124E8</v>
      </c>
      <c r="J192" s="70">
        <f t="shared" si="7"/>
        <v>0.09866932136</v>
      </c>
    </row>
    <row r="193" ht="22.5" customHeight="1" outlineLevel="2">
      <c r="A193" s="66" t="s">
        <v>440</v>
      </c>
      <c r="B193" s="67" t="s">
        <v>291</v>
      </c>
      <c r="C193" s="67" t="s">
        <v>441</v>
      </c>
      <c r="D193" s="71">
        <v>45435.0</v>
      </c>
      <c r="E193" s="71">
        <v>45443.0</v>
      </c>
      <c r="F193" s="69">
        <v>1.6632E8</v>
      </c>
      <c r="G193" s="69">
        <v>1.6632E8</v>
      </c>
      <c r="H193" s="69">
        <v>153765.0</v>
      </c>
      <c r="I193" s="69">
        <v>1.6632E8</v>
      </c>
      <c r="J193" s="70">
        <f t="shared" si="7"/>
        <v>0.000924512987</v>
      </c>
    </row>
    <row r="194" ht="22.5" customHeight="1" outlineLevel="2">
      <c r="A194" s="66" t="s">
        <v>161</v>
      </c>
      <c r="B194" s="67" t="s">
        <v>297</v>
      </c>
      <c r="C194" s="67" t="s">
        <v>442</v>
      </c>
      <c r="D194" s="71">
        <v>45436.0</v>
      </c>
      <c r="E194" s="71">
        <v>45436.0</v>
      </c>
      <c r="F194" s="69">
        <v>3.0294E7</v>
      </c>
      <c r="G194" s="69">
        <v>3.0294E7</v>
      </c>
      <c r="H194" s="69">
        <v>1.2223769170000002E7</v>
      </c>
      <c r="I194" s="69">
        <v>3.0294E7</v>
      </c>
      <c r="J194" s="70">
        <f t="shared" si="7"/>
        <v>0.403504627</v>
      </c>
    </row>
    <row r="195" ht="22.5" customHeight="1" outlineLevel="2">
      <c r="A195" s="66" t="s">
        <v>163</v>
      </c>
      <c r="B195" s="67" t="s">
        <v>297</v>
      </c>
      <c r="C195" s="67" t="s">
        <v>442</v>
      </c>
      <c r="D195" s="71">
        <v>45439.0</v>
      </c>
      <c r="E195" s="71">
        <v>45440.0</v>
      </c>
      <c r="F195" s="69">
        <v>9180000.0</v>
      </c>
      <c r="G195" s="69">
        <v>9180000.0</v>
      </c>
      <c r="H195" s="69">
        <v>3242628.666666667</v>
      </c>
      <c r="I195" s="69">
        <v>9180000.0</v>
      </c>
      <c r="J195" s="70">
        <f t="shared" si="7"/>
        <v>0.3532275236</v>
      </c>
    </row>
    <row r="196" ht="22.5" customHeight="1" outlineLevel="2">
      <c r="A196" s="66" t="s">
        <v>443</v>
      </c>
      <c r="B196" s="67" t="s">
        <v>279</v>
      </c>
      <c r="C196" s="67" t="s">
        <v>444</v>
      </c>
      <c r="D196" s="71">
        <v>45443.0</v>
      </c>
      <c r="E196" s="71">
        <v>45446.0</v>
      </c>
      <c r="F196" s="69">
        <v>2.375E8</v>
      </c>
      <c r="G196" s="69">
        <v>2.375E8</v>
      </c>
      <c r="H196" s="69">
        <v>1.099381371111111E8</v>
      </c>
      <c r="I196" s="69">
        <v>2.375E8</v>
      </c>
      <c r="J196" s="70">
        <f t="shared" si="7"/>
        <v>0.4628974194</v>
      </c>
    </row>
    <row r="197" ht="22.5" customHeight="1" outlineLevel="2">
      <c r="A197" s="66" t="s">
        <v>445</v>
      </c>
      <c r="B197" s="67" t="s">
        <v>297</v>
      </c>
      <c r="C197" s="67" t="s">
        <v>446</v>
      </c>
      <c r="D197" s="71">
        <v>45441.0</v>
      </c>
      <c r="E197" s="71">
        <v>45454.0</v>
      </c>
      <c r="F197" s="69">
        <v>1.044434E7</v>
      </c>
      <c r="G197" s="69">
        <v>1.044434E7</v>
      </c>
      <c r="H197" s="69">
        <v>3691764.797222222</v>
      </c>
      <c r="I197" s="69">
        <v>1.044434E7</v>
      </c>
      <c r="J197" s="70">
        <f t="shared" si="7"/>
        <v>0.353470377</v>
      </c>
    </row>
    <row r="198" ht="22.5" customHeight="1" outlineLevel="2">
      <c r="A198" s="66" t="s">
        <v>167</v>
      </c>
      <c r="B198" s="67" t="s">
        <v>297</v>
      </c>
      <c r="C198" s="67" t="s">
        <v>447</v>
      </c>
      <c r="D198" s="71">
        <v>45446.0</v>
      </c>
      <c r="E198" s="71">
        <v>45447.0</v>
      </c>
      <c r="F198" s="69">
        <v>3.0E7</v>
      </c>
      <c r="G198" s="69">
        <v>3.0E7</v>
      </c>
      <c r="H198" s="69">
        <v>1.5534465277777778E7</v>
      </c>
      <c r="I198" s="69">
        <v>3.0E7</v>
      </c>
      <c r="J198" s="70">
        <f t="shared" si="7"/>
        <v>0.5178155093</v>
      </c>
    </row>
    <row r="199" ht="22.5" customHeight="1" outlineLevel="2">
      <c r="A199" s="66" t="s">
        <v>448</v>
      </c>
      <c r="B199" s="67" t="s">
        <v>297</v>
      </c>
      <c r="C199" s="67" t="s">
        <v>449</v>
      </c>
      <c r="D199" s="71">
        <v>45447.0</v>
      </c>
      <c r="E199" s="71">
        <v>45448.0</v>
      </c>
      <c r="F199" s="69">
        <v>1.04E7</v>
      </c>
      <c r="G199" s="69">
        <v>1.04E7</v>
      </c>
      <c r="H199" s="69">
        <v>5313649.194444444</v>
      </c>
      <c r="I199" s="69">
        <v>1.04E7</v>
      </c>
      <c r="J199" s="70">
        <f t="shared" si="7"/>
        <v>0.5109278072</v>
      </c>
    </row>
    <row r="200" ht="22.5" customHeight="1" outlineLevel="2">
      <c r="A200" s="66" t="s">
        <v>173</v>
      </c>
      <c r="B200" s="67" t="s">
        <v>297</v>
      </c>
      <c r="C200" s="67" t="s">
        <v>450</v>
      </c>
      <c r="D200" s="71">
        <v>45448.0</v>
      </c>
      <c r="E200" s="71">
        <v>45448.0</v>
      </c>
      <c r="F200" s="69">
        <v>2.0196E7</v>
      </c>
      <c r="G200" s="69">
        <v>2.0196E7</v>
      </c>
      <c r="H200" s="69">
        <v>7435771.444444444</v>
      </c>
      <c r="I200" s="69">
        <v>2.0196E7</v>
      </c>
      <c r="J200" s="70">
        <f t="shared" si="7"/>
        <v>0.3681804043</v>
      </c>
    </row>
    <row r="201" ht="22.5" customHeight="1" outlineLevel="2">
      <c r="A201" s="66" t="s">
        <v>175</v>
      </c>
      <c r="B201" s="67" t="s">
        <v>451</v>
      </c>
      <c r="C201" s="67" t="s">
        <v>452</v>
      </c>
      <c r="D201" s="71">
        <v>45451.0</v>
      </c>
      <c r="E201" s="71">
        <v>45455.0</v>
      </c>
      <c r="F201" s="69">
        <v>1.235E7</v>
      </c>
      <c r="G201" s="69">
        <v>1.235E7</v>
      </c>
      <c r="H201" s="69">
        <v>242000.0</v>
      </c>
      <c r="I201" s="69">
        <v>1.235E7</v>
      </c>
      <c r="J201" s="70">
        <f t="shared" si="7"/>
        <v>0.0195951417</v>
      </c>
    </row>
    <row r="202" ht="22.5" customHeight="1" outlineLevel="2">
      <c r="A202" s="66" t="s">
        <v>453</v>
      </c>
      <c r="B202" s="67" t="s">
        <v>291</v>
      </c>
      <c r="C202" s="67" t="s">
        <v>454</v>
      </c>
      <c r="D202" s="71">
        <v>45453.0</v>
      </c>
      <c r="E202" s="71">
        <v>45463.0</v>
      </c>
      <c r="F202" s="69">
        <v>4.935E7</v>
      </c>
      <c r="G202" s="69">
        <v>4.935E7</v>
      </c>
      <c r="H202" s="69">
        <v>1328000.0</v>
      </c>
      <c r="I202" s="69">
        <v>4.935E7</v>
      </c>
      <c r="J202" s="70">
        <f t="shared" si="7"/>
        <v>0.02690982776</v>
      </c>
    </row>
    <row r="203" ht="22.5" customHeight="1" outlineLevel="2">
      <c r="A203" s="66" t="s">
        <v>455</v>
      </c>
      <c r="B203" s="67" t="s">
        <v>291</v>
      </c>
      <c r="C203" s="67" t="s">
        <v>353</v>
      </c>
      <c r="D203" s="71">
        <v>45450.0</v>
      </c>
      <c r="E203" s="71">
        <v>45460.0</v>
      </c>
      <c r="F203" s="69">
        <v>1.6065E7</v>
      </c>
      <c r="G203" s="69">
        <v>1.6065E7</v>
      </c>
      <c r="H203" s="69">
        <v>1393000.0</v>
      </c>
      <c r="I203" s="69">
        <v>1.6065E7</v>
      </c>
      <c r="J203" s="70">
        <f t="shared" si="7"/>
        <v>0.08671023965</v>
      </c>
    </row>
    <row r="204" ht="22.5" customHeight="1" outlineLevel="2">
      <c r="A204" s="66" t="s">
        <v>456</v>
      </c>
      <c r="B204" s="67" t="s">
        <v>457</v>
      </c>
      <c r="C204" s="67" t="s">
        <v>319</v>
      </c>
      <c r="D204" s="71">
        <v>45454.0</v>
      </c>
      <c r="E204" s="71">
        <v>45462.0</v>
      </c>
      <c r="F204" s="69">
        <v>1.685E8</v>
      </c>
      <c r="G204" s="69">
        <v>1.685E8</v>
      </c>
      <c r="H204" s="69">
        <v>1.5524286E7</v>
      </c>
      <c r="I204" s="69">
        <v>1.685E8</v>
      </c>
      <c r="J204" s="70">
        <f t="shared" si="7"/>
        <v>0.09213226113</v>
      </c>
    </row>
    <row r="205" ht="22.5" customHeight="1" outlineLevel="2">
      <c r="A205" s="66" t="s">
        <v>458</v>
      </c>
      <c r="B205" s="67" t="s">
        <v>343</v>
      </c>
      <c r="C205" s="67" t="s">
        <v>459</v>
      </c>
      <c r="D205" s="71">
        <v>45457.0</v>
      </c>
      <c r="E205" s="71">
        <v>45484.0</v>
      </c>
      <c r="F205" s="69">
        <v>3.5506E8</v>
      </c>
      <c r="G205" s="69">
        <v>3.54650909E8</v>
      </c>
      <c r="H205" s="69">
        <v>7954104.155555546</v>
      </c>
      <c r="I205" s="69">
        <v>3.5506E8</v>
      </c>
      <c r="J205" s="70">
        <f t="shared" si="7"/>
        <v>0.02242798187</v>
      </c>
    </row>
    <row r="206" ht="22.5" customHeight="1" outlineLevel="2">
      <c r="A206" s="66" t="s">
        <v>460</v>
      </c>
      <c r="B206" s="67" t="s">
        <v>282</v>
      </c>
      <c r="C206" s="67" t="s">
        <v>461</v>
      </c>
      <c r="D206" s="71">
        <v>45455.0</v>
      </c>
      <c r="E206" s="71">
        <v>45471.0</v>
      </c>
      <c r="F206" s="69">
        <v>2.142E8</v>
      </c>
      <c r="G206" s="69">
        <v>2.142E8</v>
      </c>
      <c r="H206" s="69">
        <v>2.0391295E7</v>
      </c>
      <c r="I206" s="69">
        <v>2.142E8</v>
      </c>
      <c r="J206" s="70">
        <f t="shared" si="7"/>
        <v>0.09519745565</v>
      </c>
    </row>
    <row r="207" ht="22.5" customHeight="1" outlineLevel="2">
      <c r="A207" s="66" t="s">
        <v>462</v>
      </c>
      <c r="B207" s="67" t="s">
        <v>463</v>
      </c>
      <c r="C207" s="67" t="s">
        <v>433</v>
      </c>
      <c r="D207" s="71">
        <v>45440.0</v>
      </c>
      <c r="E207" s="71">
        <v>45460.0</v>
      </c>
      <c r="F207" s="69">
        <v>8.55E8</v>
      </c>
      <c r="G207" s="69">
        <v>8.55E8</v>
      </c>
      <c r="H207" s="69">
        <v>8.2828594E7</v>
      </c>
      <c r="I207" s="69"/>
      <c r="J207" s="70">
        <f t="shared" si="7"/>
        <v>0.09687554854</v>
      </c>
    </row>
    <row r="208" ht="22.5" customHeight="1" outlineLevel="2">
      <c r="A208" s="66" t="s">
        <v>464</v>
      </c>
      <c r="B208" s="67" t="s">
        <v>465</v>
      </c>
      <c r="C208" s="67" t="s">
        <v>433</v>
      </c>
      <c r="D208" s="71">
        <v>45455.0</v>
      </c>
      <c r="E208" s="71">
        <v>45467.0</v>
      </c>
      <c r="F208" s="69">
        <v>1.7E9</v>
      </c>
      <c r="G208" s="69">
        <v>1.7E9</v>
      </c>
      <c r="H208" s="69">
        <v>2.78877784E8</v>
      </c>
      <c r="I208" s="69"/>
      <c r="J208" s="70">
        <f t="shared" si="7"/>
        <v>0.1640457553</v>
      </c>
    </row>
    <row r="209" ht="22.5" customHeight="1" outlineLevel="2">
      <c r="A209" s="66" t="s">
        <v>466</v>
      </c>
      <c r="B209" s="67" t="s">
        <v>467</v>
      </c>
      <c r="C209" s="67" t="s">
        <v>468</v>
      </c>
      <c r="D209" s="71">
        <v>45457.0</v>
      </c>
      <c r="E209" s="71">
        <v>45462.0</v>
      </c>
      <c r="F209" s="69">
        <v>4.335E7</v>
      </c>
      <c r="G209" s="69">
        <v>4.335E7</v>
      </c>
      <c r="H209" s="69">
        <v>2278000.0</v>
      </c>
      <c r="I209" s="69">
        <v>4.335E7</v>
      </c>
      <c r="J209" s="70">
        <f t="shared" si="7"/>
        <v>0.05254901961</v>
      </c>
    </row>
    <row r="210" ht="22.5" customHeight="1" outlineLevel="2">
      <c r="A210" s="66" t="s">
        <v>469</v>
      </c>
      <c r="B210" s="67" t="s">
        <v>470</v>
      </c>
      <c r="C210" s="67" t="s">
        <v>341</v>
      </c>
      <c r="D210" s="71">
        <v>45457.0</v>
      </c>
      <c r="E210" s="71">
        <v>45460.0</v>
      </c>
      <c r="F210" s="69">
        <v>2.0884E7</v>
      </c>
      <c r="G210" s="69">
        <v>2.0884E7</v>
      </c>
      <c r="H210" s="69">
        <v>1106465.8777777776</v>
      </c>
      <c r="I210" s="69">
        <v>2.0884E7</v>
      </c>
      <c r="J210" s="70">
        <f t="shared" si="7"/>
        <v>0.0529815111</v>
      </c>
    </row>
    <row r="211" ht="22.5" customHeight="1" outlineLevel="2">
      <c r="A211" s="66" t="s">
        <v>471</v>
      </c>
      <c r="B211" s="67" t="s">
        <v>285</v>
      </c>
      <c r="C211" s="67" t="s">
        <v>286</v>
      </c>
      <c r="D211" s="71">
        <v>45460.0</v>
      </c>
      <c r="E211" s="71">
        <v>45488.0</v>
      </c>
      <c r="F211" s="69">
        <v>5.3742E7</v>
      </c>
      <c r="G211" s="69">
        <v>5.3742E7</v>
      </c>
      <c r="H211" s="69">
        <v>1.2610953407499999E7</v>
      </c>
      <c r="I211" s="69">
        <v>5.3742E7</v>
      </c>
      <c r="J211" s="70">
        <f t="shared" si="7"/>
        <v>0.2346573147</v>
      </c>
    </row>
    <row r="212" ht="22.5" customHeight="1" outlineLevel="2">
      <c r="A212" s="66" t="s">
        <v>472</v>
      </c>
      <c r="B212" s="67" t="s">
        <v>291</v>
      </c>
      <c r="C212" s="67" t="s">
        <v>473</v>
      </c>
      <c r="D212" s="71">
        <v>45460.0</v>
      </c>
      <c r="E212" s="71">
        <v>45467.0</v>
      </c>
      <c r="F212" s="69">
        <v>4.602E7</v>
      </c>
      <c r="G212" s="69">
        <v>4.602E7</v>
      </c>
      <c r="H212" s="69">
        <v>5992000.0</v>
      </c>
      <c r="I212" s="69">
        <v>4.602E7</v>
      </c>
      <c r="J212" s="70">
        <f t="shared" si="7"/>
        <v>0.130204259</v>
      </c>
    </row>
    <row r="213" ht="22.5" customHeight="1" outlineLevel="2">
      <c r="A213" s="66" t="s">
        <v>474</v>
      </c>
      <c r="B213" s="67" t="s">
        <v>282</v>
      </c>
      <c r="C213" s="67" t="s">
        <v>475</v>
      </c>
      <c r="D213" s="71">
        <v>45460.0</v>
      </c>
      <c r="E213" s="71">
        <v>45469.0</v>
      </c>
      <c r="F213" s="69">
        <v>1.20225E8</v>
      </c>
      <c r="G213" s="69">
        <v>1.202256E8</v>
      </c>
      <c r="H213" s="69">
        <v>4.21072875E7</v>
      </c>
      <c r="I213" s="69">
        <v>8.02256E7</v>
      </c>
      <c r="J213" s="70">
        <f t="shared" si="7"/>
        <v>0.3502356195</v>
      </c>
    </row>
    <row r="214" ht="22.5" customHeight="1" outlineLevel="2">
      <c r="A214" s="66" t="s">
        <v>476</v>
      </c>
      <c r="B214" s="67" t="s">
        <v>320</v>
      </c>
      <c r="C214" s="67" t="s">
        <v>477</v>
      </c>
      <c r="D214" s="71">
        <v>45461.0</v>
      </c>
      <c r="E214" s="71">
        <v>45477.0</v>
      </c>
      <c r="F214" s="69">
        <v>3.3E7</v>
      </c>
      <c r="G214" s="69">
        <v>3.3E7</v>
      </c>
      <c r="H214" s="69">
        <v>2484048.0</v>
      </c>
      <c r="I214" s="69">
        <v>3.3E7</v>
      </c>
      <c r="J214" s="70">
        <f t="shared" si="7"/>
        <v>0.07527418182</v>
      </c>
    </row>
    <row r="215" ht="22.5" customHeight="1" outlineLevel="2">
      <c r="A215" s="66" t="s">
        <v>478</v>
      </c>
      <c r="B215" s="67" t="s">
        <v>279</v>
      </c>
      <c r="C215" s="67" t="s">
        <v>479</v>
      </c>
      <c r="D215" s="71">
        <v>45462.0</v>
      </c>
      <c r="E215" s="71">
        <v>45463.0</v>
      </c>
      <c r="F215" s="69">
        <v>5.9375E7</v>
      </c>
      <c r="G215" s="69">
        <v>5.9375E7</v>
      </c>
      <c r="H215" s="69">
        <v>2.4877696375E7</v>
      </c>
      <c r="I215" s="69">
        <v>5.9375E7</v>
      </c>
      <c r="J215" s="70">
        <f t="shared" si="7"/>
        <v>0.4189927811</v>
      </c>
    </row>
    <row r="216" ht="22.5" customHeight="1" outlineLevel="2">
      <c r="A216" s="66" t="s">
        <v>64</v>
      </c>
      <c r="B216" s="67" t="s">
        <v>297</v>
      </c>
      <c r="C216" s="67" t="s">
        <v>450</v>
      </c>
      <c r="D216" s="71">
        <v>45463.0</v>
      </c>
      <c r="E216" s="71">
        <v>45463.0</v>
      </c>
      <c r="F216" s="69">
        <v>1.0098E7</v>
      </c>
      <c r="G216" s="69">
        <v>1.0098E7</v>
      </c>
      <c r="H216" s="69">
        <v>3590560.722222222</v>
      </c>
      <c r="I216" s="69">
        <v>1.0098E7</v>
      </c>
      <c r="J216" s="70">
        <f t="shared" si="7"/>
        <v>0.3555714718</v>
      </c>
    </row>
    <row r="217" ht="22.5" customHeight="1" outlineLevel="2">
      <c r="A217" s="66" t="s">
        <v>480</v>
      </c>
      <c r="B217" s="67" t="s">
        <v>282</v>
      </c>
      <c r="C217" s="67" t="s">
        <v>481</v>
      </c>
      <c r="D217" s="71">
        <v>45464.0</v>
      </c>
      <c r="E217" s="71">
        <v>45471.0</v>
      </c>
      <c r="F217" s="69">
        <v>2.18E8</v>
      </c>
      <c r="G217" s="69">
        <v>2.18E8</v>
      </c>
      <c r="H217" s="69">
        <v>9.37363625E7</v>
      </c>
      <c r="I217" s="69">
        <v>2.18E8</v>
      </c>
      <c r="J217" s="70">
        <f t="shared" si="7"/>
        <v>0.4299833142</v>
      </c>
    </row>
    <row r="218" ht="22.5" customHeight="1" outlineLevel="2">
      <c r="A218" s="66" t="s">
        <v>482</v>
      </c>
      <c r="B218" s="67" t="s">
        <v>297</v>
      </c>
      <c r="C218" s="67" t="s">
        <v>483</v>
      </c>
      <c r="D218" s="71">
        <v>45463.0</v>
      </c>
      <c r="E218" s="71">
        <v>45463.0</v>
      </c>
      <c r="F218" s="69">
        <v>3.39E7</v>
      </c>
      <c r="G218" s="69">
        <v>3.39E7</v>
      </c>
      <c r="H218" s="69">
        <v>1.7444941416666664E7</v>
      </c>
      <c r="I218" s="69">
        <v>3.39E7</v>
      </c>
      <c r="J218" s="70">
        <f t="shared" si="7"/>
        <v>0.5146000418</v>
      </c>
    </row>
    <row r="219" ht="22.5" customHeight="1" outlineLevel="2">
      <c r="A219" s="66" t="s">
        <v>484</v>
      </c>
      <c r="B219" s="67" t="s">
        <v>279</v>
      </c>
      <c r="C219" s="67" t="s">
        <v>338</v>
      </c>
      <c r="D219" s="71">
        <v>45464.0</v>
      </c>
      <c r="E219" s="71">
        <v>45491.0</v>
      </c>
      <c r="F219" s="69">
        <v>2.66E8</v>
      </c>
      <c r="G219" s="69">
        <v>2.66E8</v>
      </c>
      <c r="H219" s="69">
        <v>1.1857402083333331E8</v>
      </c>
      <c r="I219" s="69">
        <v>2.66E8</v>
      </c>
      <c r="J219" s="70">
        <f t="shared" si="7"/>
        <v>0.4457669956</v>
      </c>
    </row>
    <row r="220" ht="22.5" customHeight="1" outlineLevel="2">
      <c r="A220" s="66" t="s">
        <v>485</v>
      </c>
      <c r="B220" s="67" t="s">
        <v>486</v>
      </c>
      <c r="C220" s="67" t="s">
        <v>487</v>
      </c>
      <c r="D220" s="71">
        <v>45460.0</v>
      </c>
      <c r="E220" s="71">
        <v>45488.0</v>
      </c>
      <c r="F220" s="69">
        <v>3.172E7</v>
      </c>
      <c r="G220" s="69">
        <v>3.172E7</v>
      </c>
      <c r="H220" s="69">
        <v>1.0451632E7</v>
      </c>
      <c r="I220" s="69">
        <v>3.172E7</v>
      </c>
      <c r="J220" s="70">
        <f t="shared" si="7"/>
        <v>0.3294965952</v>
      </c>
    </row>
    <row r="221" ht="22.5" customHeight="1" outlineLevel="2">
      <c r="A221" s="66" t="s">
        <v>488</v>
      </c>
      <c r="B221" s="67" t="s">
        <v>320</v>
      </c>
      <c r="C221" s="67" t="s">
        <v>489</v>
      </c>
      <c r="D221" s="71">
        <v>45468.0</v>
      </c>
      <c r="E221" s="71">
        <v>45477.0</v>
      </c>
      <c r="F221" s="69">
        <v>1.1515E8</v>
      </c>
      <c r="G221" s="69">
        <v>1.1515E8</v>
      </c>
      <c r="H221" s="69">
        <v>1.066539475E7</v>
      </c>
      <c r="I221" s="69">
        <v>1.1515E8</v>
      </c>
      <c r="J221" s="70">
        <f t="shared" si="7"/>
        <v>0.09262175206</v>
      </c>
    </row>
    <row r="222" ht="22.5" customHeight="1" outlineLevel="2">
      <c r="A222" s="66" t="s">
        <v>490</v>
      </c>
      <c r="B222" s="67" t="s">
        <v>294</v>
      </c>
      <c r="C222" s="67" t="s">
        <v>491</v>
      </c>
      <c r="D222" s="71">
        <v>45468.0</v>
      </c>
      <c r="E222" s="71">
        <v>45503.0</v>
      </c>
      <c r="F222" s="69">
        <v>3.38E7</v>
      </c>
      <c r="G222" s="69">
        <v>3.38E7</v>
      </c>
      <c r="H222" s="69">
        <v>1.2872166666666668E7</v>
      </c>
      <c r="I222" s="69">
        <v>3.38E7</v>
      </c>
      <c r="J222" s="70">
        <f t="shared" si="7"/>
        <v>0.3808333333</v>
      </c>
    </row>
    <row r="223" ht="22.5" customHeight="1" outlineLevel="2">
      <c r="A223" s="66" t="s">
        <v>492</v>
      </c>
      <c r="B223" s="67" t="s">
        <v>493</v>
      </c>
      <c r="C223" s="67" t="s">
        <v>319</v>
      </c>
      <c r="D223" s="71">
        <v>45474.0</v>
      </c>
      <c r="E223" s="71">
        <v>45484.0</v>
      </c>
      <c r="F223" s="69">
        <v>3.4034E7</v>
      </c>
      <c r="G223" s="69">
        <v>3.4034E7</v>
      </c>
      <c r="H223" s="69">
        <v>1.4151445E7</v>
      </c>
      <c r="I223" s="69">
        <v>3.4034E7</v>
      </c>
      <c r="J223" s="70">
        <f t="shared" si="7"/>
        <v>0.4158031674</v>
      </c>
    </row>
    <row r="224" ht="22.5" customHeight="1" outlineLevel="2">
      <c r="A224" s="66" t="s">
        <v>494</v>
      </c>
      <c r="B224" s="67" t="s">
        <v>297</v>
      </c>
      <c r="C224" s="67" t="s">
        <v>450</v>
      </c>
      <c r="D224" s="71">
        <v>45474.0</v>
      </c>
      <c r="E224" s="71">
        <v>45474.0</v>
      </c>
      <c r="F224" s="69">
        <v>2.0196E7</v>
      </c>
      <c r="G224" s="69">
        <v>2.0196E7</v>
      </c>
      <c r="H224" s="69">
        <v>7423233.333333334</v>
      </c>
      <c r="I224" s="69">
        <v>2.0196E7</v>
      </c>
      <c r="J224" s="70">
        <f t="shared" si="7"/>
        <v>0.3675595828</v>
      </c>
    </row>
    <row r="225" ht="22.5" customHeight="1" outlineLevel="2">
      <c r="A225" s="66" t="s">
        <v>495</v>
      </c>
      <c r="B225" s="67" t="s">
        <v>279</v>
      </c>
      <c r="C225" s="67" t="s">
        <v>496</v>
      </c>
      <c r="D225" s="71">
        <v>45474.0</v>
      </c>
      <c r="E225" s="71">
        <v>45475.0</v>
      </c>
      <c r="F225" s="69">
        <v>2.52E7</v>
      </c>
      <c r="G225" s="69">
        <v>2.52E7</v>
      </c>
      <c r="H225" s="69">
        <v>1.5273316666666666E7</v>
      </c>
      <c r="I225" s="69">
        <v>2.52E7</v>
      </c>
      <c r="J225" s="70">
        <f t="shared" si="7"/>
        <v>0.6060839947</v>
      </c>
    </row>
    <row r="226" ht="22.5" customHeight="1" outlineLevel="2">
      <c r="A226" s="66" t="s">
        <v>497</v>
      </c>
      <c r="B226" s="67" t="s">
        <v>285</v>
      </c>
      <c r="C226" s="67" t="s">
        <v>498</v>
      </c>
      <c r="D226" s="71">
        <v>45478.0</v>
      </c>
      <c r="E226" s="71">
        <v>45497.0</v>
      </c>
      <c r="F226" s="69">
        <v>4.87E7</v>
      </c>
      <c r="G226" s="69">
        <v>4.87E7</v>
      </c>
      <c r="H226" s="69">
        <v>1.2251503899999999E7</v>
      </c>
      <c r="I226" s="69">
        <v>4.87E7</v>
      </c>
      <c r="J226" s="70">
        <f t="shared" si="7"/>
        <v>0.251570922</v>
      </c>
    </row>
    <row r="227" ht="22.5" customHeight="1" outlineLevel="2">
      <c r="A227" s="66" t="s">
        <v>499</v>
      </c>
      <c r="B227" s="67" t="s">
        <v>500</v>
      </c>
      <c r="C227" s="67" t="s">
        <v>501</v>
      </c>
      <c r="D227" s="71">
        <v>45484.0</v>
      </c>
      <c r="E227" s="71">
        <v>45510.0</v>
      </c>
      <c r="F227" s="69">
        <v>5.6E7</v>
      </c>
      <c r="G227" s="69">
        <v>5.6E7</v>
      </c>
      <c r="H227" s="69">
        <v>1.457102E7</v>
      </c>
      <c r="I227" s="69">
        <v>5.6E7</v>
      </c>
      <c r="J227" s="70">
        <f t="shared" si="7"/>
        <v>0.2601967857</v>
      </c>
    </row>
    <row r="228" ht="22.5" customHeight="1" outlineLevel="2">
      <c r="A228" s="66" t="s">
        <v>502</v>
      </c>
      <c r="B228" s="67" t="s">
        <v>503</v>
      </c>
      <c r="C228" s="67" t="s">
        <v>319</v>
      </c>
      <c r="D228" s="71">
        <v>45485.0</v>
      </c>
      <c r="E228" s="71">
        <v>45491.0</v>
      </c>
      <c r="F228" s="69">
        <v>2.6605E7</v>
      </c>
      <c r="G228" s="69">
        <v>2.6605E7</v>
      </c>
      <c r="H228" s="69">
        <v>2158291.666666668</v>
      </c>
      <c r="I228" s="69">
        <v>2.6605E7</v>
      </c>
      <c r="J228" s="70">
        <f t="shared" si="7"/>
        <v>0.08112353568</v>
      </c>
    </row>
    <row r="229" ht="22.5" customHeight="1" outlineLevel="2">
      <c r="A229" s="66" t="s">
        <v>504</v>
      </c>
      <c r="B229" s="67" t="s">
        <v>500</v>
      </c>
      <c r="C229" s="67" t="s">
        <v>505</v>
      </c>
      <c r="D229" s="71">
        <v>45485.0</v>
      </c>
      <c r="E229" s="71">
        <v>45531.0</v>
      </c>
      <c r="F229" s="69">
        <v>2.8E7</v>
      </c>
      <c r="G229" s="69">
        <v>2.8E7</v>
      </c>
      <c r="H229" s="69">
        <v>3082570.0</v>
      </c>
      <c r="I229" s="69">
        <v>2.8E7</v>
      </c>
      <c r="J229" s="70">
        <f t="shared" si="7"/>
        <v>0.1100917857</v>
      </c>
    </row>
    <row r="230" ht="22.5" customHeight="1" outlineLevel="2">
      <c r="A230" s="66" t="s">
        <v>506</v>
      </c>
      <c r="B230" s="67" t="s">
        <v>285</v>
      </c>
      <c r="C230" s="67" t="s">
        <v>498</v>
      </c>
      <c r="D230" s="71">
        <v>45488.0</v>
      </c>
      <c r="E230" s="71">
        <v>45502.0</v>
      </c>
      <c r="F230" s="69">
        <v>4.87E7</v>
      </c>
      <c r="G230" s="69">
        <v>4.87E7</v>
      </c>
      <c r="H230" s="69">
        <v>1.2251503899999999E7</v>
      </c>
      <c r="I230" s="69">
        <v>4.87E7</v>
      </c>
      <c r="J230" s="70">
        <f t="shared" si="7"/>
        <v>0.251570922</v>
      </c>
    </row>
    <row r="231" ht="22.5" customHeight="1" outlineLevel="2">
      <c r="A231" s="66" t="s">
        <v>507</v>
      </c>
      <c r="B231" s="67" t="s">
        <v>297</v>
      </c>
      <c r="C231" s="67" t="s">
        <v>508</v>
      </c>
      <c r="D231" s="71">
        <v>45488.0</v>
      </c>
      <c r="E231" s="71">
        <v>45488.0</v>
      </c>
      <c r="F231" s="69">
        <v>1.4097E7</v>
      </c>
      <c r="G231" s="69">
        <v>1.4097E7</v>
      </c>
      <c r="H231" s="69">
        <v>6897556.666666667</v>
      </c>
      <c r="I231" s="69">
        <v>1.4097E7</v>
      </c>
      <c r="J231" s="70">
        <f t="shared" si="7"/>
        <v>0.4892925209</v>
      </c>
    </row>
    <row r="232" ht="22.5" customHeight="1" outlineLevel="2">
      <c r="A232" s="66" t="s">
        <v>509</v>
      </c>
      <c r="B232" s="67" t="s">
        <v>282</v>
      </c>
      <c r="C232" s="67" t="s">
        <v>510</v>
      </c>
      <c r="D232" s="71">
        <v>45475.0</v>
      </c>
      <c r="E232" s="71">
        <v>45524.0</v>
      </c>
      <c r="F232" s="69">
        <v>1.467525E8</v>
      </c>
      <c r="G232" s="69">
        <v>1.45647595E8</v>
      </c>
      <c r="H232" s="69">
        <v>4.2849839175E7</v>
      </c>
      <c r="I232" s="69">
        <v>1.45647595E8</v>
      </c>
      <c r="J232" s="70">
        <f t="shared" si="7"/>
        <v>0.2942021746</v>
      </c>
    </row>
    <row r="233" ht="22.5" customHeight="1" outlineLevel="2">
      <c r="A233" s="66" t="s">
        <v>511</v>
      </c>
      <c r="B233" s="67" t="s">
        <v>279</v>
      </c>
      <c r="C233" s="67" t="s">
        <v>512</v>
      </c>
      <c r="D233" s="71">
        <v>45496.0</v>
      </c>
      <c r="E233" s="71">
        <v>45502.0</v>
      </c>
      <c r="F233" s="69">
        <v>7.56E7</v>
      </c>
      <c r="G233" s="69">
        <v>7.56E7</v>
      </c>
      <c r="H233" s="69">
        <v>3.723025E7</v>
      </c>
      <c r="I233" s="69">
        <v>7.56E7</v>
      </c>
      <c r="J233" s="70">
        <f t="shared" si="7"/>
        <v>0.4924636243</v>
      </c>
    </row>
    <row r="234" ht="22.5" customHeight="1" outlineLevel="2">
      <c r="A234" s="66" t="s">
        <v>513</v>
      </c>
      <c r="B234" s="67" t="s">
        <v>320</v>
      </c>
      <c r="C234" s="67" t="s">
        <v>514</v>
      </c>
      <c r="D234" s="71">
        <v>45498.0</v>
      </c>
      <c r="E234" s="71">
        <v>45523.0</v>
      </c>
      <c r="F234" s="69">
        <v>1.738152E9</v>
      </c>
      <c r="G234" s="69">
        <v>1.738152E9</v>
      </c>
      <c r="H234" s="69">
        <v>2.201166110250001E8</v>
      </c>
      <c r="I234" s="69">
        <v>1.2828912E9</v>
      </c>
      <c r="J234" s="70">
        <f t="shared" si="7"/>
        <v>0.126638298</v>
      </c>
    </row>
    <row r="235" ht="22.5" customHeight="1" outlineLevel="2">
      <c r="A235" s="66" t="s">
        <v>515</v>
      </c>
      <c r="B235" s="67" t="s">
        <v>516</v>
      </c>
      <c r="C235" s="67" t="s">
        <v>517</v>
      </c>
      <c r="D235" s="71">
        <v>45498.0</v>
      </c>
      <c r="E235" s="71">
        <v>45520.0</v>
      </c>
      <c r="F235" s="69">
        <v>4.15E8</v>
      </c>
      <c r="G235" s="69">
        <v>4.15E8</v>
      </c>
      <c r="H235" s="69">
        <v>4.8514344E7</v>
      </c>
      <c r="I235" s="69">
        <v>4.15E8</v>
      </c>
      <c r="J235" s="70">
        <f t="shared" si="7"/>
        <v>0.1169020337</v>
      </c>
    </row>
    <row r="236" ht="22.5" customHeight="1" outlineLevel="2">
      <c r="A236" s="66" t="s">
        <v>518</v>
      </c>
      <c r="B236" s="67" t="s">
        <v>282</v>
      </c>
      <c r="C236" s="67" t="s">
        <v>519</v>
      </c>
      <c r="D236" s="71">
        <v>45498.0</v>
      </c>
      <c r="E236" s="71">
        <v>45506.0</v>
      </c>
      <c r="F236" s="69">
        <v>5.093E7</v>
      </c>
      <c r="G236" s="69">
        <v>5.093E7</v>
      </c>
      <c r="H236" s="69">
        <v>2.43617775E7</v>
      </c>
      <c r="I236" s="69">
        <v>5.093E7</v>
      </c>
      <c r="J236" s="70">
        <f t="shared" si="7"/>
        <v>0.4783384547</v>
      </c>
    </row>
    <row r="237" ht="22.5" customHeight="1" outlineLevel="2">
      <c r="A237" s="66" t="s">
        <v>520</v>
      </c>
      <c r="B237" s="67" t="s">
        <v>521</v>
      </c>
      <c r="C237" s="67" t="s">
        <v>319</v>
      </c>
      <c r="D237" s="71">
        <v>45502.0</v>
      </c>
      <c r="E237" s="71">
        <v>45519.0</v>
      </c>
      <c r="F237" s="69">
        <v>3.0E7</v>
      </c>
      <c r="G237" s="69">
        <v>3.0E7</v>
      </c>
      <c r="H237" s="69">
        <v>7728000.0</v>
      </c>
      <c r="I237" s="69">
        <v>3.0E7</v>
      </c>
      <c r="J237" s="70">
        <f t="shared" si="7"/>
        <v>0.2576</v>
      </c>
    </row>
    <row r="238" ht="22.5" customHeight="1" outlineLevel="2">
      <c r="A238" s="66" t="s">
        <v>522</v>
      </c>
      <c r="B238" s="67" t="s">
        <v>523</v>
      </c>
      <c r="C238" s="67" t="s">
        <v>524</v>
      </c>
      <c r="D238" s="71">
        <v>45503.0</v>
      </c>
      <c r="E238" s="71">
        <v>45516.0</v>
      </c>
      <c r="F238" s="69">
        <v>1.5E7</v>
      </c>
      <c r="G238" s="69">
        <v>1.5E7</v>
      </c>
      <c r="H238" s="69">
        <v>6589000.0</v>
      </c>
      <c r="I238" s="69">
        <v>1.5E7</v>
      </c>
      <c r="J238" s="70">
        <f t="shared" si="7"/>
        <v>0.4392666667</v>
      </c>
    </row>
    <row r="239" ht="22.5" customHeight="1" outlineLevel="2">
      <c r="A239" s="66" t="s">
        <v>525</v>
      </c>
      <c r="B239" s="67" t="s">
        <v>279</v>
      </c>
      <c r="C239" s="67" t="s">
        <v>526</v>
      </c>
      <c r="D239" s="71">
        <v>45497.0</v>
      </c>
      <c r="E239" s="71">
        <v>45504.0</v>
      </c>
      <c r="F239" s="69">
        <v>1.5E7</v>
      </c>
      <c r="G239" s="69">
        <v>1.5E7</v>
      </c>
      <c r="H239" s="69">
        <v>8488616.666666668</v>
      </c>
      <c r="I239" s="69">
        <v>1.5E7</v>
      </c>
      <c r="J239" s="70">
        <f t="shared" si="7"/>
        <v>0.5659077778</v>
      </c>
    </row>
    <row r="240" ht="22.5" customHeight="1" outlineLevel="2">
      <c r="A240" s="66" t="s">
        <v>527</v>
      </c>
      <c r="B240" s="67" t="s">
        <v>297</v>
      </c>
      <c r="C240" s="67" t="s">
        <v>528</v>
      </c>
      <c r="D240" s="71">
        <v>45504.0</v>
      </c>
      <c r="E240" s="71">
        <v>45505.0</v>
      </c>
      <c r="F240" s="69">
        <v>1.0098E7</v>
      </c>
      <c r="G240" s="69">
        <v>1.0098E7</v>
      </c>
      <c r="H240" s="69">
        <v>3581616.666666667</v>
      </c>
      <c r="I240" s="69">
        <v>1.0098E7</v>
      </c>
      <c r="J240" s="70">
        <f t="shared" si="7"/>
        <v>0.3546857464</v>
      </c>
    </row>
    <row r="241" ht="22.5" customHeight="1" outlineLevel="2">
      <c r="A241" s="66" t="s">
        <v>529</v>
      </c>
      <c r="B241" s="67" t="s">
        <v>530</v>
      </c>
      <c r="C241" s="67" t="s">
        <v>346</v>
      </c>
      <c r="D241" s="71">
        <v>45504.0</v>
      </c>
      <c r="E241" s="71">
        <v>45509.0</v>
      </c>
      <c r="F241" s="69">
        <v>1.38E8</v>
      </c>
      <c r="G241" s="69">
        <v>1.38E8</v>
      </c>
      <c r="H241" s="69">
        <v>4.0216986E7</v>
      </c>
      <c r="I241" s="69">
        <v>1.38E8</v>
      </c>
      <c r="J241" s="70">
        <f t="shared" si="7"/>
        <v>0.2914274348</v>
      </c>
    </row>
    <row r="242" ht="22.5" customHeight="1" outlineLevel="2">
      <c r="A242" s="66" t="s">
        <v>531</v>
      </c>
      <c r="B242" s="67" t="s">
        <v>493</v>
      </c>
      <c r="C242" s="67" t="s">
        <v>532</v>
      </c>
      <c r="D242" s="71">
        <v>45505.0</v>
      </c>
      <c r="E242" s="71">
        <v>45518.0</v>
      </c>
      <c r="F242" s="69">
        <v>2.026863E8</v>
      </c>
      <c r="G242" s="69">
        <v>2.026863E8</v>
      </c>
      <c r="H242" s="69">
        <v>7.4704187E7</v>
      </c>
      <c r="I242" s="69">
        <v>2.026863E8</v>
      </c>
      <c r="J242" s="70">
        <f t="shared" si="7"/>
        <v>0.3685704806</v>
      </c>
    </row>
    <row r="243" ht="22.5" customHeight="1" outlineLevel="2">
      <c r="A243" s="66" t="s">
        <v>533</v>
      </c>
      <c r="B243" s="67" t="s">
        <v>285</v>
      </c>
      <c r="C243" s="67" t="s">
        <v>534</v>
      </c>
      <c r="D243" s="71">
        <v>45505.0</v>
      </c>
      <c r="E243" s="71">
        <v>45524.0</v>
      </c>
      <c r="F243" s="69">
        <v>8.28E7</v>
      </c>
      <c r="G243" s="69">
        <v>8.28E7</v>
      </c>
      <c r="H243" s="69">
        <v>1.6955991435000002E7</v>
      </c>
      <c r="I243" s="69">
        <v>8.28E7</v>
      </c>
      <c r="J243" s="70">
        <f t="shared" si="7"/>
        <v>0.2047825053</v>
      </c>
    </row>
    <row r="244" ht="22.5" customHeight="1" outlineLevel="2">
      <c r="A244" s="66" t="s">
        <v>535</v>
      </c>
      <c r="B244" s="67" t="s">
        <v>279</v>
      </c>
      <c r="C244" s="67" t="s">
        <v>536</v>
      </c>
      <c r="D244" s="71">
        <v>45495.0</v>
      </c>
      <c r="E244" s="71">
        <v>45511.0</v>
      </c>
      <c r="F244" s="69">
        <v>1.8E7</v>
      </c>
      <c r="G244" s="69">
        <v>1.8E7</v>
      </c>
      <c r="H244" s="69">
        <v>8113616.666666668</v>
      </c>
      <c r="I244" s="69">
        <v>1.8E7</v>
      </c>
      <c r="J244" s="70">
        <f t="shared" si="7"/>
        <v>0.4507564815</v>
      </c>
    </row>
    <row r="245" ht="22.5" customHeight="1" outlineLevel="2">
      <c r="A245" s="66" t="s">
        <v>537</v>
      </c>
      <c r="B245" s="67" t="s">
        <v>282</v>
      </c>
      <c r="C245" s="67" t="s">
        <v>538</v>
      </c>
      <c r="D245" s="71">
        <v>45511.0</v>
      </c>
      <c r="E245" s="71">
        <v>45512.0</v>
      </c>
      <c r="F245" s="69">
        <v>1.0015E8</v>
      </c>
      <c r="G245" s="69">
        <v>1.0015E8</v>
      </c>
      <c r="H245" s="69">
        <v>2.8138E7</v>
      </c>
      <c r="I245" s="69">
        <v>1.0015E8</v>
      </c>
      <c r="J245" s="70">
        <f t="shared" si="7"/>
        <v>0.2809585622</v>
      </c>
    </row>
    <row r="246" ht="22.5" customHeight="1" outlineLevel="2">
      <c r="A246" s="66" t="s">
        <v>539</v>
      </c>
      <c r="B246" s="67" t="s">
        <v>285</v>
      </c>
      <c r="C246" s="67" t="s">
        <v>498</v>
      </c>
      <c r="D246" s="71">
        <v>45512.0</v>
      </c>
      <c r="E246" s="71">
        <v>45553.0</v>
      </c>
      <c r="F246" s="69">
        <v>4.87E7</v>
      </c>
      <c r="G246" s="69">
        <v>4.87E7</v>
      </c>
      <c r="H246" s="69">
        <v>1.2251503899999999E7</v>
      </c>
      <c r="I246" s="69">
        <v>4.87E7</v>
      </c>
      <c r="J246" s="70">
        <f t="shared" si="7"/>
        <v>0.251570922</v>
      </c>
    </row>
    <row r="247" ht="22.5" customHeight="1" outlineLevel="2">
      <c r="A247" s="66" t="s">
        <v>540</v>
      </c>
      <c r="B247" s="67" t="s">
        <v>297</v>
      </c>
      <c r="C247" s="67" t="s">
        <v>541</v>
      </c>
      <c r="D247" s="71">
        <v>45513.0</v>
      </c>
      <c r="E247" s="71">
        <v>45516.0</v>
      </c>
      <c r="F247" s="69">
        <v>1.3464E7</v>
      </c>
      <c r="G247" s="69">
        <v>1.3464E7</v>
      </c>
      <c r="H247" s="69">
        <v>6947616.666666667</v>
      </c>
      <c r="I247" s="69">
        <v>1.3464E7</v>
      </c>
      <c r="J247" s="70">
        <f t="shared" si="7"/>
        <v>0.5160143098</v>
      </c>
    </row>
    <row r="248" ht="22.5" customHeight="1" outlineLevel="2">
      <c r="A248" s="66" t="s">
        <v>542</v>
      </c>
      <c r="B248" s="67" t="s">
        <v>282</v>
      </c>
      <c r="C248" s="67" t="s">
        <v>543</v>
      </c>
      <c r="D248" s="71">
        <v>45513.0</v>
      </c>
      <c r="E248" s="71">
        <v>45526.0</v>
      </c>
      <c r="F248" s="69">
        <v>5.61E7</v>
      </c>
      <c r="G248" s="69">
        <v>5.61E7</v>
      </c>
      <c r="H248" s="69">
        <v>1.637865E7</v>
      </c>
      <c r="I248" s="69">
        <v>5.61E7</v>
      </c>
      <c r="J248" s="70">
        <f t="shared" si="7"/>
        <v>0.2919545455</v>
      </c>
    </row>
    <row r="249" ht="22.5" customHeight="1" outlineLevel="2">
      <c r="A249" s="66" t="s">
        <v>544</v>
      </c>
      <c r="B249" s="67" t="s">
        <v>320</v>
      </c>
      <c r="C249" s="67" t="s">
        <v>545</v>
      </c>
      <c r="D249" s="71">
        <v>45513.0</v>
      </c>
      <c r="E249" s="71">
        <v>45516.0</v>
      </c>
      <c r="F249" s="69">
        <v>1.104E7</v>
      </c>
      <c r="G249" s="69">
        <v>1.104E7</v>
      </c>
      <c r="H249" s="69">
        <v>797963.25</v>
      </c>
      <c r="I249" s="69">
        <v>1.104E7</v>
      </c>
      <c r="J249" s="70">
        <f t="shared" si="7"/>
        <v>0.07227927989</v>
      </c>
    </row>
    <row r="250" ht="22.5" customHeight="1" outlineLevel="2">
      <c r="A250" s="66" t="s">
        <v>546</v>
      </c>
      <c r="B250" s="67" t="s">
        <v>320</v>
      </c>
      <c r="C250" s="67" t="s">
        <v>547</v>
      </c>
      <c r="D250" s="71">
        <v>45516.0</v>
      </c>
      <c r="E250" s="71">
        <v>45534.0</v>
      </c>
      <c r="F250" s="69">
        <v>4.4739E8</v>
      </c>
      <c r="G250" s="69">
        <v>4.4739E8</v>
      </c>
      <c r="H250" s="69">
        <v>3.695071125E7</v>
      </c>
      <c r="I250" s="69">
        <v>4.4739E8</v>
      </c>
      <c r="J250" s="70">
        <f t="shared" si="7"/>
        <v>0.08259172366</v>
      </c>
    </row>
    <row r="251" ht="22.5" customHeight="1" outlineLevel="2">
      <c r="A251" s="66" t="s">
        <v>548</v>
      </c>
      <c r="B251" s="67" t="s">
        <v>291</v>
      </c>
      <c r="C251" s="67" t="s">
        <v>319</v>
      </c>
      <c r="D251" s="71">
        <v>45516.0</v>
      </c>
      <c r="E251" s="71">
        <v>45526.0</v>
      </c>
      <c r="F251" s="69">
        <v>1.58E8</v>
      </c>
      <c r="G251" s="69">
        <v>1.58E8</v>
      </c>
      <c r="H251" s="69">
        <v>9896400.0</v>
      </c>
      <c r="I251" s="69">
        <v>1.58E8</v>
      </c>
      <c r="J251" s="70">
        <f t="shared" si="7"/>
        <v>0.06263544304</v>
      </c>
    </row>
    <row r="252" ht="22.5" customHeight="1" outlineLevel="2">
      <c r="A252" s="66" t="s">
        <v>549</v>
      </c>
      <c r="B252" s="67" t="s">
        <v>550</v>
      </c>
      <c r="C252" s="67" t="s">
        <v>551</v>
      </c>
      <c r="D252" s="71">
        <v>45516.0</v>
      </c>
      <c r="E252" s="71">
        <v>45518.0</v>
      </c>
      <c r="F252" s="69">
        <v>1.62E7</v>
      </c>
      <c r="G252" s="69">
        <v>1.62E7</v>
      </c>
      <c r="H252" s="69">
        <v>929000.0</v>
      </c>
      <c r="I252" s="69">
        <v>1.62E7</v>
      </c>
      <c r="J252" s="70">
        <f t="shared" si="7"/>
        <v>0.05734567901</v>
      </c>
    </row>
    <row r="253" ht="22.5" customHeight="1" outlineLevel="2">
      <c r="A253" s="66" t="s">
        <v>552</v>
      </c>
      <c r="B253" s="67" t="s">
        <v>297</v>
      </c>
      <c r="C253" s="67" t="s">
        <v>553</v>
      </c>
      <c r="D253" s="71">
        <v>45520.0</v>
      </c>
      <c r="E253" s="71">
        <v>45520.0</v>
      </c>
      <c r="F253" s="69">
        <v>9.712E7</v>
      </c>
      <c r="G253" s="69">
        <v>9.712E7</v>
      </c>
      <c r="H253" s="69">
        <v>5.58814E7</v>
      </c>
      <c r="I253" s="69">
        <v>9.712E7</v>
      </c>
      <c r="J253" s="70">
        <f t="shared" si="7"/>
        <v>0.5753850906</v>
      </c>
    </row>
    <row r="254" ht="22.5" customHeight="1" outlineLevel="2">
      <c r="A254" s="66" t="s">
        <v>554</v>
      </c>
      <c r="B254" s="67" t="s">
        <v>282</v>
      </c>
      <c r="C254" s="67" t="s">
        <v>555</v>
      </c>
      <c r="D254" s="71">
        <v>45523.0</v>
      </c>
      <c r="E254" s="71">
        <v>45526.0</v>
      </c>
      <c r="F254" s="69">
        <v>2.6775E7</v>
      </c>
      <c r="G254" s="69">
        <v>2.6775E7</v>
      </c>
      <c r="H254" s="69">
        <v>1.085189375E7</v>
      </c>
      <c r="I254" s="69">
        <v>2.6775E7</v>
      </c>
      <c r="J254" s="70">
        <f t="shared" si="7"/>
        <v>0.4052994865</v>
      </c>
    </row>
    <row r="255" ht="22.5" customHeight="1" outlineLevel="2">
      <c r="A255" s="66" t="s">
        <v>556</v>
      </c>
      <c r="B255" s="67" t="s">
        <v>329</v>
      </c>
      <c r="C255" s="67" t="s">
        <v>557</v>
      </c>
      <c r="D255" s="71">
        <v>45520.0</v>
      </c>
      <c r="E255" s="71">
        <v>45530.0</v>
      </c>
      <c r="F255" s="69">
        <v>3.72E7</v>
      </c>
      <c r="G255" s="69">
        <v>3.72E7</v>
      </c>
      <c r="H255" s="69">
        <v>3755516.3999999985</v>
      </c>
      <c r="I255" s="69">
        <v>3.72E7</v>
      </c>
      <c r="J255" s="70">
        <f t="shared" si="7"/>
        <v>0.1009547419</v>
      </c>
    </row>
    <row r="256" ht="22.5" customHeight="1" outlineLevel="2">
      <c r="A256" s="66" t="s">
        <v>558</v>
      </c>
      <c r="B256" s="67" t="s">
        <v>279</v>
      </c>
      <c r="C256" s="67" t="s">
        <v>559</v>
      </c>
      <c r="D256" s="71">
        <v>45524.0</v>
      </c>
      <c r="E256" s="71">
        <v>45530.0</v>
      </c>
      <c r="F256" s="69">
        <v>2.0E7</v>
      </c>
      <c r="G256" s="69">
        <v>2.0E7</v>
      </c>
      <c r="H256" s="69">
        <v>1.0302833333333332E7</v>
      </c>
      <c r="I256" s="69">
        <v>2.0E7</v>
      </c>
      <c r="J256" s="70">
        <f t="shared" si="7"/>
        <v>0.5151416667</v>
      </c>
    </row>
    <row r="257" ht="22.5" customHeight="1" outlineLevel="2">
      <c r="A257" s="66" t="s">
        <v>560</v>
      </c>
      <c r="B257" s="67" t="s">
        <v>282</v>
      </c>
      <c r="C257" s="67" t="s">
        <v>366</v>
      </c>
      <c r="D257" s="71">
        <v>45519.0</v>
      </c>
      <c r="E257" s="71">
        <v>45544.0</v>
      </c>
      <c r="F257" s="69">
        <v>5.06E7</v>
      </c>
      <c r="G257" s="69">
        <v>5.06E7</v>
      </c>
      <c r="H257" s="69">
        <v>1.44665E7</v>
      </c>
      <c r="I257" s="69">
        <v>5.06E7</v>
      </c>
      <c r="J257" s="70">
        <f t="shared" si="7"/>
        <v>0.2858992095</v>
      </c>
    </row>
    <row r="258" ht="22.5" customHeight="1" outlineLevel="2">
      <c r="A258" s="66" t="s">
        <v>561</v>
      </c>
      <c r="B258" s="67" t="s">
        <v>320</v>
      </c>
      <c r="C258" s="67" t="s">
        <v>562</v>
      </c>
      <c r="D258" s="71">
        <v>45518.0</v>
      </c>
      <c r="E258" s="71">
        <v>45553.0</v>
      </c>
      <c r="F258" s="69">
        <v>6.35511E8</v>
      </c>
      <c r="G258" s="69">
        <v>6.35511E8</v>
      </c>
      <c r="H258" s="69">
        <v>4.701718156666672E7</v>
      </c>
      <c r="I258" s="69">
        <v>6.35511E8</v>
      </c>
      <c r="J258" s="70">
        <f t="shared" si="7"/>
        <v>0.07398326947</v>
      </c>
    </row>
    <row r="259" ht="22.5" customHeight="1" outlineLevel="2">
      <c r="A259" s="66" t="s">
        <v>563</v>
      </c>
      <c r="B259" s="67" t="s">
        <v>564</v>
      </c>
      <c r="C259" s="67" t="s">
        <v>353</v>
      </c>
      <c r="D259" s="71">
        <v>45531.0</v>
      </c>
      <c r="E259" s="71">
        <v>45560.0</v>
      </c>
      <c r="F259" s="69">
        <v>1.8045E8</v>
      </c>
      <c r="G259" s="69">
        <v>1.8054E8</v>
      </c>
      <c r="H259" s="69">
        <v>1.1532E7</v>
      </c>
      <c r="I259" s="69">
        <v>1.8054E8</v>
      </c>
      <c r="J259" s="70">
        <f t="shared" si="7"/>
        <v>0.06387504154</v>
      </c>
    </row>
    <row r="260" ht="22.5" customHeight="1" outlineLevel="2">
      <c r="A260" s="66" t="s">
        <v>565</v>
      </c>
      <c r="B260" s="67" t="s">
        <v>297</v>
      </c>
      <c r="C260" s="67" t="s">
        <v>566</v>
      </c>
      <c r="D260" s="71">
        <v>45531.0</v>
      </c>
      <c r="E260" s="71">
        <v>45534.0</v>
      </c>
      <c r="F260" s="69">
        <v>8.625E7</v>
      </c>
      <c r="G260" s="69">
        <v>8.625E7</v>
      </c>
      <c r="H260" s="69">
        <v>5.39765625E7</v>
      </c>
      <c r="I260" s="69">
        <v>8.625E7</v>
      </c>
      <c r="J260" s="70">
        <f t="shared" si="7"/>
        <v>0.6258152174</v>
      </c>
    </row>
    <row r="261" ht="22.5" customHeight="1" outlineLevel="2">
      <c r="A261" s="66" t="s">
        <v>567</v>
      </c>
      <c r="B261" s="67" t="s">
        <v>568</v>
      </c>
      <c r="C261" s="67" t="s">
        <v>569</v>
      </c>
      <c r="D261" s="71">
        <v>45540.0</v>
      </c>
      <c r="E261" s="71">
        <v>45551.0</v>
      </c>
      <c r="F261" s="69">
        <v>2.995E7</v>
      </c>
      <c r="G261" s="69">
        <v>2.995E7</v>
      </c>
      <c r="H261" s="69">
        <v>1548200.0</v>
      </c>
      <c r="I261" s="69">
        <v>2.995E7</v>
      </c>
      <c r="J261" s="70">
        <f t="shared" si="7"/>
        <v>0.05169282137</v>
      </c>
    </row>
    <row r="262" ht="22.5" customHeight="1" outlineLevel="2">
      <c r="A262" s="66" t="s">
        <v>570</v>
      </c>
      <c r="B262" s="67" t="s">
        <v>279</v>
      </c>
      <c r="C262" s="67" t="s">
        <v>526</v>
      </c>
      <c r="D262" s="71">
        <v>45539.0</v>
      </c>
      <c r="E262" s="71">
        <v>45544.0</v>
      </c>
      <c r="F262" s="69">
        <v>1.5E7</v>
      </c>
      <c r="G262" s="69">
        <v>1.5E7</v>
      </c>
      <c r="H262" s="69">
        <v>8488616.666666668</v>
      </c>
      <c r="I262" s="69">
        <v>1.5E7</v>
      </c>
      <c r="J262" s="70">
        <f t="shared" si="7"/>
        <v>0.5659077778</v>
      </c>
    </row>
    <row r="263" ht="22.5" customHeight="1" outlineLevel="2">
      <c r="A263" s="66" t="s">
        <v>571</v>
      </c>
      <c r="B263" s="67" t="s">
        <v>282</v>
      </c>
      <c r="C263" s="67" t="s">
        <v>388</v>
      </c>
      <c r="D263" s="71">
        <v>45540.0</v>
      </c>
      <c r="E263" s="71">
        <v>45541.0</v>
      </c>
      <c r="F263" s="69">
        <v>7.5125E7</v>
      </c>
      <c r="G263" s="69">
        <v>7.5125E7</v>
      </c>
      <c r="H263" s="69">
        <v>2.1918361625E7</v>
      </c>
      <c r="I263" s="69">
        <v>7.5125E7</v>
      </c>
      <c r="J263" s="70">
        <f t="shared" si="7"/>
        <v>0.2917585574</v>
      </c>
    </row>
    <row r="264" ht="22.5" customHeight="1" outlineLevel="2">
      <c r="A264" s="66" t="s">
        <v>572</v>
      </c>
      <c r="B264" s="67" t="s">
        <v>573</v>
      </c>
      <c r="C264" s="67" t="s">
        <v>346</v>
      </c>
      <c r="D264" s="71">
        <v>45540.0</v>
      </c>
      <c r="E264" s="71">
        <v>45553.0</v>
      </c>
      <c r="F264" s="69">
        <v>1.18E7</v>
      </c>
      <c r="G264" s="69">
        <v>1.18E7</v>
      </c>
      <c r="H264" s="69">
        <v>848000.0</v>
      </c>
      <c r="I264" s="69">
        <v>1.18E7</v>
      </c>
      <c r="J264" s="70">
        <f t="shared" si="7"/>
        <v>0.07186440678</v>
      </c>
    </row>
    <row r="265" ht="22.5" customHeight="1" outlineLevel="2">
      <c r="A265" s="66" t="s">
        <v>574</v>
      </c>
      <c r="B265" s="67" t="s">
        <v>575</v>
      </c>
      <c r="C265" s="67" t="s">
        <v>341</v>
      </c>
      <c r="D265" s="71">
        <v>45539.0</v>
      </c>
      <c r="E265" s="71">
        <v>45541.0</v>
      </c>
      <c r="F265" s="69">
        <v>7992000.0</v>
      </c>
      <c r="G265" s="69">
        <v>7992000.0</v>
      </c>
      <c r="H265" s="69">
        <v>4208834.047499999</v>
      </c>
      <c r="I265" s="69">
        <v>7992000.0</v>
      </c>
      <c r="J265" s="70">
        <f t="shared" si="7"/>
        <v>0.5266308868</v>
      </c>
    </row>
    <row r="266" ht="22.5" customHeight="1" outlineLevel="2">
      <c r="A266" s="66" t="s">
        <v>576</v>
      </c>
      <c r="B266" s="67" t="s">
        <v>577</v>
      </c>
      <c r="C266" s="67" t="s">
        <v>578</v>
      </c>
      <c r="D266" s="71">
        <v>45540.0</v>
      </c>
      <c r="E266" s="71">
        <v>45559.0</v>
      </c>
      <c r="F266" s="69">
        <v>4.29E7</v>
      </c>
      <c r="G266" s="69">
        <v>4.29E7</v>
      </c>
      <c r="H266" s="69">
        <v>7873540.333333336</v>
      </c>
      <c r="I266" s="69">
        <v>4.29E7</v>
      </c>
      <c r="J266" s="70">
        <f t="shared" si="7"/>
        <v>0.1835324087</v>
      </c>
    </row>
    <row r="267" ht="22.5" customHeight="1" outlineLevel="2">
      <c r="A267" s="66" t="s">
        <v>579</v>
      </c>
      <c r="B267" s="67" t="s">
        <v>580</v>
      </c>
      <c r="C267" s="67" t="s">
        <v>349</v>
      </c>
      <c r="D267" s="71">
        <v>45534.0</v>
      </c>
      <c r="E267" s="71">
        <v>45553.0</v>
      </c>
      <c r="F267" s="69">
        <v>1.0E7</v>
      </c>
      <c r="G267" s="69">
        <v>1.0E7</v>
      </c>
      <c r="H267" s="69">
        <v>2675000.0</v>
      </c>
      <c r="I267" s="69">
        <v>1.0E7</v>
      </c>
      <c r="J267" s="70">
        <f t="shared" si="7"/>
        <v>0.2675</v>
      </c>
    </row>
    <row r="268" ht="22.5" customHeight="1" outlineLevel="2">
      <c r="A268" s="66" t="s">
        <v>581</v>
      </c>
      <c r="B268" s="67" t="s">
        <v>297</v>
      </c>
      <c r="C268" s="67" t="s">
        <v>582</v>
      </c>
      <c r="D268" s="71">
        <v>45545.0</v>
      </c>
      <c r="E268" s="71">
        <v>45545.0</v>
      </c>
      <c r="F268" s="69">
        <v>4.16E7</v>
      </c>
      <c r="G268" s="69">
        <v>4.16E7</v>
      </c>
      <c r="H268" s="69">
        <v>2.3288255166666668E7</v>
      </c>
      <c r="I268" s="69">
        <v>4.16E7</v>
      </c>
      <c r="J268" s="70">
        <f t="shared" si="7"/>
        <v>0.5598138261</v>
      </c>
    </row>
    <row r="269" ht="22.5" customHeight="1" outlineLevel="2">
      <c r="A269" s="66" t="s">
        <v>583</v>
      </c>
      <c r="B269" s="67" t="s">
        <v>297</v>
      </c>
      <c r="C269" s="67" t="s">
        <v>584</v>
      </c>
      <c r="D269" s="71">
        <v>45547.0</v>
      </c>
      <c r="E269" s="71">
        <v>45547.0</v>
      </c>
      <c r="F269" s="69">
        <v>1.04E7</v>
      </c>
      <c r="G269" s="69">
        <v>1.04E7</v>
      </c>
      <c r="H269" s="69">
        <v>5396540.833333333</v>
      </c>
      <c r="I269" s="69">
        <v>1.04E7</v>
      </c>
      <c r="J269" s="70">
        <f t="shared" si="7"/>
        <v>0.5188981571</v>
      </c>
    </row>
    <row r="270" ht="22.5" customHeight="1" outlineLevel="2">
      <c r="A270" s="66" t="s">
        <v>585</v>
      </c>
      <c r="B270" s="67" t="s">
        <v>297</v>
      </c>
      <c r="C270" s="67" t="s">
        <v>586</v>
      </c>
      <c r="D270" s="71">
        <v>45548.0</v>
      </c>
      <c r="E270" s="71">
        <v>45548.0</v>
      </c>
      <c r="F270" s="69">
        <v>2.0196E7</v>
      </c>
      <c r="G270" s="69">
        <v>2.0196E7</v>
      </c>
      <c r="H270" s="69">
        <v>7643723.333333334</v>
      </c>
      <c r="I270" s="69">
        <v>2.0196E7</v>
      </c>
      <c r="J270" s="70">
        <f t="shared" si="7"/>
        <v>0.3784770912</v>
      </c>
    </row>
    <row r="271" ht="22.5" customHeight="1" outlineLevel="2">
      <c r="A271" s="66" t="s">
        <v>587</v>
      </c>
      <c r="B271" s="67" t="s">
        <v>588</v>
      </c>
      <c r="C271" s="67" t="s">
        <v>589</v>
      </c>
      <c r="D271" s="71">
        <v>45547.0</v>
      </c>
      <c r="E271" s="71">
        <v>45586.0</v>
      </c>
      <c r="F271" s="69">
        <v>7.081E7</v>
      </c>
      <c r="G271" s="69">
        <v>7.081E7</v>
      </c>
      <c r="H271" s="69">
        <v>1.6474005600000001E7</v>
      </c>
      <c r="I271" s="69">
        <v>7.081E7</v>
      </c>
      <c r="J271" s="70">
        <f t="shared" si="7"/>
        <v>0.2326508346</v>
      </c>
    </row>
    <row r="272" ht="22.5" customHeight="1" outlineLevel="2">
      <c r="A272" s="66" t="s">
        <v>590</v>
      </c>
      <c r="B272" s="67" t="s">
        <v>320</v>
      </c>
      <c r="C272" s="67" t="s">
        <v>591</v>
      </c>
      <c r="D272" s="71">
        <v>45554.0</v>
      </c>
      <c r="E272" s="71">
        <v>45586.0</v>
      </c>
      <c r="F272" s="69">
        <v>1.1769E9</v>
      </c>
      <c r="G272" s="69">
        <v>8.82675E8</v>
      </c>
      <c r="H272" s="69">
        <v>3.5627056614E8</v>
      </c>
      <c r="I272" s="69">
        <v>1.1769E9</v>
      </c>
      <c r="J272" s="70">
        <f t="shared" si="7"/>
        <v>0.4036259848</v>
      </c>
    </row>
    <row r="273" ht="22.5" customHeight="1" outlineLevel="2">
      <c r="A273" s="66" t="s">
        <v>592</v>
      </c>
      <c r="B273" s="67" t="s">
        <v>593</v>
      </c>
      <c r="C273" s="67" t="s">
        <v>569</v>
      </c>
      <c r="D273" s="71">
        <v>45551.0</v>
      </c>
      <c r="E273" s="71">
        <v>45554.0</v>
      </c>
      <c r="F273" s="69">
        <v>8450000.0</v>
      </c>
      <c r="G273" s="69">
        <v>8450000.0</v>
      </c>
      <c r="H273" s="69">
        <v>535760.0</v>
      </c>
      <c r="I273" s="69">
        <v>8450000.0</v>
      </c>
      <c r="J273" s="70">
        <f t="shared" si="7"/>
        <v>0.0634035503</v>
      </c>
    </row>
    <row r="274" ht="22.5" customHeight="1" outlineLevel="2">
      <c r="A274" s="66" t="s">
        <v>594</v>
      </c>
      <c r="B274" s="67" t="s">
        <v>595</v>
      </c>
      <c r="C274" s="67" t="s">
        <v>346</v>
      </c>
      <c r="D274" s="71">
        <v>45551.0</v>
      </c>
      <c r="E274" s="71">
        <v>45554.0</v>
      </c>
      <c r="F274" s="69">
        <v>3.22E7</v>
      </c>
      <c r="G274" s="69">
        <v>3.22E7</v>
      </c>
      <c r="H274" s="69">
        <v>1.1301305E7</v>
      </c>
      <c r="I274" s="69">
        <v>3.22E7</v>
      </c>
      <c r="J274" s="70">
        <f t="shared" si="7"/>
        <v>0.350972205</v>
      </c>
    </row>
    <row r="275" ht="22.5" customHeight="1" outlineLevel="2">
      <c r="A275" s="66" t="s">
        <v>596</v>
      </c>
      <c r="B275" s="67" t="s">
        <v>282</v>
      </c>
      <c r="C275" s="67" t="s">
        <v>597</v>
      </c>
      <c r="D275" s="71">
        <v>45551.0</v>
      </c>
      <c r="E275" s="71">
        <v>45558.0</v>
      </c>
      <c r="F275" s="69">
        <v>5.72985E8</v>
      </c>
      <c r="G275" s="69">
        <v>5.72985E8</v>
      </c>
      <c r="H275" s="69">
        <v>1.37388264E8</v>
      </c>
      <c r="I275" s="69">
        <v>5.72985E8</v>
      </c>
      <c r="J275" s="70">
        <f t="shared" si="7"/>
        <v>0.2397763711</v>
      </c>
    </row>
    <row r="276" ht="22.5" customHeight="1" outlineLevel="2">
      <c r="A276" s="66" t="s">
        <v>598</v>
      </c>
      <c r="B276" s="67" t="s">
        <v>320</v>
      </c>
      <c r="C276" s="67" t="s">
        <v>562</v>
      </c>
      <c r="D276" s="71">
        <v>45555.0</v>
      </c>
      <c r="E276" s="71">
        <v>45568.0</v>
      </c>
      <c r="F276" s="69">
        <v>9.136E7</v>
      </c>
      <c r="G276" s="69">
        <v>9.136E7</v>
      </c>
      <c r="H276" s="69">
        <v>3.008683220000001E7</v>
      </c>
      <c r="I276" s="69">
        <v>9.136E7</v>
      </c>
      <c r="J276" s="70">
        <f t="shared" si="7"/>
        <v>0.3293217185</v>
      </c>
    </row>
    <row r="277" ht="22.5" customHeight="1" outlineLevel="2">
      <c r="A277" s="66" t="s">
        <v>599</v>
      </c>
      <c r="B277" s="67" t="s">
        <v>297</v>
      </c>
      <c r="C277" s="67" t="s">
        <v>600</v>
      </c>
      <c r="D277" s="71">
        <v>45555.0</v>
      </c>
      <c r="E277" s="71">
        <v>45558.0</v>
      </c>
      <c r="F277" s="69">
        <v>1.04E7</v>
      </c>
      <c r="G277" s="69">
        <v>1.04E7</v>
      </c>
      <c r="H277" s="69">
        <v>5446475.555555556</v>
      </c>
      <c r="I277" s="69">
        <v>1.04E7</v>
      </c>
      <c r="J277" s="70">
        <f t="shared" si="7"/>
        <v>0.5236995726</v>
      </c>
    </row>
    <row r="278" ht="22.5" customHeight="1" outlineLevel="2">
      <c r="A278" s="66" t="s">
        <v>601</v>
      </c>
      <c r="B278" s="67" t="s">
        <v>282</v>
      </c>
      <c r="C278" s="67" t="s">
        <v>597</v>
      </c>
      <c r="D278" s="71">
        <v>45559.0</v>
      </c>
      <c r="E278" s="71">
        <v>45565.0</v>
      </c>
      <c r="F278" s="69">
        <v>1.485E8</v>
      </c>
      <c r="G278" s="69">
        <v>1.485E8</v>
      </c>
      <c r="H278" s="69">
        <v>3.73212E7</v>
      </c>
      <c r="I278" s="69">
        <v>1.485E8</v>
      </c>
      <c r="J278" s="70">
        <f t="shared" si="7"/>
        <v>0.2513212121</v>
      </c>
    </row>
    <row r="279" ht="22.5" customHeight="1" outlineLevel="2">
      <c r="A279" s="66" t="s">
        <v>602</v>
      </c>
      <c r="B279" s="67" t="s">
        <v>297</v>
      </c>
      <c r="C279" s="67" t="s">
        <v>603</v>
      </c>
      <c r="D279" s="71">
        <v>45560.0</v>
      </c>
      <c r="E279" s="71">
        <v>45561.0</v>
      </c>
      <c r="F279" s="69">
        <v>2.66E7</v>
      </c>
      <c r="G279" s="69">
        <v>2.66E7</v>
      </c>
      <c r="H279" s="69">
        <v>1.4172995555555556E7</v>
      </c>
      <c r="I279" s="69">
        <v>2.66E7</v>
      </c>
      <c r="J279" s="70">
        <f t="shared" si="7"/>
        <v>0.5328193818</v>
      </c>
    </row>
    <row r="280" ht="22.5" customHeight="1" outlineLevel="2">
      <c r="A280" s="66" t="s">
        <v>604</v>
      </c>
      <c r="B280" s="67" t="s">
        <v>291</v>
      </c>
      <c r="C280" s="67" t="s">
        <v>441</v>
      </c>
      <c r="D280" s="71">
        <v>45565.0</v>
      </c>
      <c r="E280" s="71">
        <v>45566.0</v>
      </c>
      <c r="F280" s="69">
        <v>8.61E7</v>
      </c>
      <c r="G280" s="69">
        <v>8.61E7</v>
      </c>
      <c r="H280" s="69">
        <v>5043300.0</v>
      </c>
      <c r="I280" s="69">
        <v>8.61E7</v>
      </c>
      <c r="J280" s="70">
        <f t="shared" si="7"/>
        <v>0.05857491289</v>
      </c>
    </row>
    <row r="281" ht="22.5" customHeight="1" outlineLevel="2">
      <c r="A281" s="66" t="s">
        <v>605</v>
      </c>
      <c r="B281" s="67" t="s">
        <v>500</v>
      </c>
      <c r="C281" s="67" t="s">
        <v>412</v>
      </c>
      <c r="D281" s="71">
        <v>45558.0</v>
      </c>
      <c r="E281" s="71">
        <v>45589.0</v>
      </c>
      <c r="F281" s="69">
        <v>6.435E7</v>
      </c>
      <c r="G281" s="69">
        <v>5.85E7</v>
      </c>
      <c r="H281" s="69">
        <v>5.85E7</v>
      </c>
      <c r="I281" s="69">
        <v>6.435E7</v>
      </c>
      <c r="J281" s="70">
        <f t="shared" si="7"/>
        <v>1</v>
      </c>
    </row>
    <row r="282" ht="22.5" customHeight="1" outlineLevel="2">
      <c r="A282" s="66" t="s">
        <v>606</v>
      </c>
      <c r="B282" s="67" t="s">
        <v>279</v>
      </c>
      <c r="C282" s="67" t="s">
        <v>526</v>
      </c>
      <c r="D282" s="71">
        <v>45559.0</v>
      </c>
      <c r="E282" s="71">
        <v>45562.0</v>
      </c>
      <c r="F282" s="69">
        <v>1.5E7</v>
      </c>
      <c r="G282" s="69">
        <v>1.5E7</v>
      </c>
      <c r="H282" s="69">
        <v>1.00539625E7</v>
      </c>
      <c r="I282" s="69">
        <v>1.5E7</v>
      </c>
      <c r="J282" s="70">
        <f t="shared" si="7"/>
        <v>0.6702641667</v>
      </c>
    </row>
    <row r="283" ht="22.5" customHeight="1" outlineLevel="2">
      <c r="A283" s="66" t="s">
        <v>607</v>
      </c>
      <c r="B283" s="67" t="s">
        <v>291</v>
      </c>
      <c r="C283" s="67" t="s">
        <v>608</v>
      </c>
      <c r="D283" s="71">
        <v>45565.0</v>
      </c>
      <c r="E283" s="71">
        <v>45581.0</v>
      </c>
      <c r="F283" s="69">
        <v>1.199366E9</v>
      </c>
      <c r="G283" s="69">
        <v>1.199366E9</v>
      </c>
      <c r="H283" s="69">
        <v>1.1053567E8</v>
      </c>
      <c r="I283" s="69">
        <v>1.199366E9</v>
      </c>
      <c r="J283" s="70">
        <f t="shared" si="7"/>
        <v>0.09216175046</v>
      </c>
    </row>
    <row r="284" ht="22.5" customHeight="1" outlineLevel="2">
      <c r="A284" s="66" t="s">
        <v>609</v>
      </c>
      <c r="B284" s="67" t="s">
        <v>610</v>
      </c>
      <c r="C284" s="67" t="s">
        <v>611</v>
      </c>
      <c r="D284" s="71">
        <v>45562.0</v>
      </c>
      <c r="E284" s="71">
        <v>45579.0</v>
      </c>
      <c r="F284" s="69">
        <v>9.16E8</v>
      </c>
      <c r="G284" s="69">
        <v>9.16E8</v>
      </c>
      <c r="H284" s="69">
        <v>7.9199667E7</v>
      </c>
      <c r="I284" s="69">
        <v>9.16E8</v>
      </c>
      <c r="J284" s="70">
        <f t="shared" si="7"/>
        <v>0.08646251856</v>
      </c>
    </row>
    <row r="285" ht="22.5" customHeight="1" outlineLevel="2">
      <c r="A285" s="66" t="s">
        <v>612</v>
      </c>
      <c r="B285" s="67" t="s">
        <v>297</v>
      </c>
      <c r="C285" s="67" t="s">
        <v>450</v>
      </c>
      <c r="D285" s="71">
        <v>45565.0</v>
      </c>
      <c r="E285" s="71">
        <v>45565.0</v>
      </c>
      <c r="F285" s="69">
        <v>2.0196E7</v>
      </c>
      <c r="G285" s="69">
        <v>2.0196E7</v>
      </c>
      <c r="H285" s="69">
        <v>7768995.555555556</v>
      </c>
      <c r="I285" s="69">
        <v>2.0196E7</v>
      </c>
      <c r="J285" s="70">
        <f t="shared" si="7"/>
        <v>0.3846799146</v>
      </c>
    </row>
    <row r="286" ht="22.5" customHeight="1" outlineLevel="2">
      <c r="A286" s="66" t="s">
        <v>613</v>
      </c>
      <c r="B286" s="67" t="s">
        <v>285</v>
      </c>
      <c r="C286" s="67" t="s">
        <v>286</v>
      </c>
      <c r="D286" s="71">
        <v>45566.0</v>
      </c>
      <c r="E286" s="71">
        <v>45580.0</v>
      </c>
      <c r="F286" s="69">
        <v>2.15E7</v>
      </c>
      <c r="G286" s="69">
        <v>2.15E7</v>
      </c>
      <c r="H286" s="69">
        <v>5681484.785</v>
      </c>
      <c r="I286" s="69">
        <v>2.15E7</v>
      </c>
      <c r="J286" s="70">
        <f t="shared" si="7"/>
        <v>0.2642551063</v>
      </c>
    </row>
    <row r="287" ht="22.5" customHeight="1" outlineLevel="2">
      <c r="A287" s="66" t="s">
        <v>614</v>
      </c>
      <c r="B287" s="67" t="s">
        <v>294</v>
      </c>
      <c r="C287" s="67" t="s">
        <v>615</v>
      </c>
      <c r="D287" s="71">
        <v>45566.0</v>
      </c>
      <c r="E287" s="71">
        <v>45572.0</v>
      </c>
      <c r="F287" s="69">
        <v>6.1732E7</v>
      </c>
      <c r="G287" s="69">
        <v>6.1732E7</v>
      </c>
      <c r="H287" s="69">
        <v>6060960.0</v>
      </c>
      <c r="I287" s="69">
        <v>6.1732E7</v>
      </c>
      <c r="J287" s="70">
        <f t="shared" si="7"/>
        <v>0.09818181818</v>
      </c>
    </row>
    <row r="288" ht="22.5" customHeight="1" outlineLevel="2">
      <c r="A288" s="66" t="s">
        <v>616</v>
      </c>
      <c r="B288" s="67" t="s">
        <v>291</v>
      </c>
      <c r="C288" s="67" t="s">
        <v>617</v>
      </c>
      <c r="D288" s="71">
        <v>45565.0</v>
      </c>
      <c r="E288" s="71">
        <v>45593.0</v>
      </c>
      <c r="F288" s="69">
        <v>9.235E7</v>
      </c>
      <c r="G288" s="69">
        <v>9.235E7</v>
      </c>
      <c r="H288" s="69">
        <v>3.1891E7</v>
      </c>
      <c r="I288" s="69">
        <v>9.235E7</v>
      </c>
      <c r="J288" s="70">
        <f t="shared" si="7"/>
        <v>0.3453275582</v>
      </c>
    </row>
    <row r="289" ht="22.5" customHeight="1" outlineLevel="2">
      <c r="A289" s="66" t="s">
        <v>618</v>
      </c>
      <c r="B289" s="67" t="s">
        <v>294</v>
      </c>
      <c r="C289" s="67" t="s">
        <v>357</v>
      </c>
      <c r="D289" s="71">
        <v>45567.0</v>
      </c>
      <c r="E289" s="71">
        <v>45601.0</v>
      </c>
      <c r="F289" s="69">
        <v>6.0E7</v>
      </c>
      <c r="G289" s="69">
        <v>6.0E7</v>
      </c>
      <c r="H289" s="69">
        <v>1.821216E7</v>
      </c>
      <c r="I289" s="69">
        <v>6.0E7</v>
      </c>
      <c r="J289" s="70">
        <f t="shared" si="7"/>
        <v>0.303536</v>
      </c>
    </row>
    <row r="290" ht="22.5" customHeight="1" outlineLevel="2">
      <c r="A290" s="66" t="s">
        <v>619</v>
      </c>
      <c r="B290" s="67" t="s">
        <v>620</v>
      </c>
      <c r="C290" s="67" t="s">
        <v>621</v>
      </c>
      <c r="D290" s="71">
        <v>45540.0</v>
      </c>
      <c r="E290" s="71">
        <v>45575.0</v>
      </c>
      <c r="F290" s="69">
        <v>2.82E8</v>
      </c>
      <c r="G290" s="69">
        <v>2.82E8</v>
      </c>
      <c r="H290" s="69">
        <v>2.2833333333333343E7</v>
      </c>
      <c r="I290" s="69">
        <v>2.82E8</v>
      </c>
      <c r="J290" s="70">
        <f t="shared" si="7"/>
        <v>0.08096926714</v>
      </c>
    </row>
    <row r="291" ht="22.5" customHeight="1" outlineLevel="2">
      <c r="A291" s="66" t="s">
        <v>622</v>
      </c>
      <c r="B291" s="67" t="s">
        <v>623</v>
      </c>
      <c r="C291" s="67" t="s">
        <v>624</v>
      </c>
      <c r="D291" s="71">
        <v>45573.0</v>
      </c>
      <c r="E291" s="71">
        <v>45586.0</v>
      </c>
      <c r="F291" s="69">
        <v>1.33E7</v>
      </c>
      <c r="G291" s="69">
        <v>1.33E7</v>
      </c>
      <c r="H291" s="69">
        <v>4278000.0</v>
      </c>
      <c r="I291" s="69">
        <v>1.33E7</v>
      </c>
      <c r="J291" s="70">
        <f t="shared" si="7"/>
        <v>0.3216541353</v>
      </c>
    </row>
    <row r="292" ht="22.5" customHeight="1" outlineLevel="2">
      <c r="A292" s="66" t="s">
        <v>625</v>
      </c>
      <c r="B292" s="67" t="s">
        <v>282</v>
      </c>
      <c r="C292" s="67" t="s">
        <v>426</v>
      </c>
      <c r="D292" s="71">
        <v>45572.0</v>
      </c>
      <c r="E292" s="71">
        <v>45595.0</v>
      </c>
      <c r="F292" s="69">
        <v>5.657625E7</v>
      </c>
      <c r="G292" s="69">
        <v>5.657625E7</v>
      </c>
      <c r="H292" s="69">
        <v>1.6754375E7</v>
      </c>
      <c r="I292" s="69">
        <v>5.657625E7</v>
      </c>
      <c r="J292" s="70">
        <f t="shared" si="7"/>
        <v>0.2961379554</v>
      </c>
    </row>
    <row r="293" ht="22.5" customHeight="1" outlineLevel="2">
      <c r="A293" s="66" t="s">
        <v>626</v>
      </c>
      <c r="B293" s="67" t="s">
        <v>297</v>
      </c>
      <c r="C293" s="67" t="s">
        <v>584</v>
      </c>
      <c r="D293" s="71">
        <v>45573.0</v>
      </c>
      <c r="E293" s="71">
        <v>45574.0</v>
      </c>
      <c r="F293" s="69">
        <v>1.12E7</v>
      </c>
      <c r="G293" s="69">
        <v>1.12E7</v>
      </c>
      <c r="H293" s="69">
        <v>6196540.833333333</v>
      </c>
      <c r="I293" s="69">
        <v>1.12E7</v>
      </c>
      <c r="J293" s="70">
        <f t="shared" si="7"/>
        <v>0.5532625744</v>
      </c>
    </row>
    <row r="294" ht="22.5" customHeight="1" outlineLevel="2">
      <c r="A294" s="66" t="s">
        <v>627</v>
      </c>
      <c r="B294" s="67" t="s">
        <v>282</v>
      </c>
      <c r="C294" s="67" t="s">
        <v>363</v>
      </c>
      <c r="D294" s="71">
        <v>45568.0</v>
      </c>
      <c r="E294" s="71">
        <v>45590.0</v>
      </c>
      <c r="F294" s="69">
        <v>4.3934352E8</v>
      </c>
      <c r="G294" s="69">
        <v>4.3934352E8</v>
      </c>
      <c r="H294" s="69">
        <v>9.815623875E7</v>
      </c>
      <c r="I294" s="69">
        <v>4.3934352E8</v>
      </c>
      <c r="J294" s="70">
        <f t="shared" si="7"/>
        <v>0.223415697</v>
      </c>
    </row>
    <row r="295" ht="22.5" customHeight="1" outlineLevel="2">
      <c r="A295" s="66" t="s">
        <v>628</v>
      </c>
      <c r="B295" s="67" t="s">
        <v>365</v>
      </c>
      <c r="C295" s="67" t="s">
        <v>366</v>
      </c>
      <c r="D295" s="71">
        <v>45568.0</v>
      </c>
      <c r="E295" s="71">
        <v>45576.0</v>
      </c>
      <c r="F295" s="69">
        <v>4.95E7</v>
      </c>
      <c r="G295" s="69">
        <v>4.95E7</v>
      </c>
      <c r="H295" s="69">
        <v>1.63257E7</v>
      </c>
      <c r="I295" s="69">
        <v>4.95E7</v>
      </c>
      <c r="J295" s="70">
        <f t="shared" si="7"/>
        <v>0.3298121212</v>
      </c>
    </row>
    <row r="296" ht="22.5" customHeight="1" outlineLevel="2">
      <c r="A296" s="66" t="s">
        <v>629</v>
      </c>
      <c r="B296" s="67" t="s">
        <v>297</v>
      </c>
      <c r="C296" s="67" t="s">
        <v>450</v>
      </c>
      <c r="D296" s="71">
        <v>45575.0</v>
      </c>
      <c r="E296" s="71">
        <v>45576.0</v>
      </c>
      <c r="F296" s="69">
        <v>8300000.0</v>
      </c>
      <c r="G296" s="69">
        <v>8300000.0</v>
      </c>
      <c r="H296" s="69">
        <v>1646984.416666667</v>
      </c>
      <c r="I296" s="69">
        <v>8300000.0</v>
      </c>
      <c r="J296" s="70">
        <f t="shared" si="7"/>
        <v>0.1984318574</v>
      </c>
    </row>
    <row r="297" ht="22.5" customHeight="1" outlineLevel="2">
      <c r="A297" s="66" t="s">
        <v>630</v>
      </c>
      <c r="B297" s="67" t="s">
        <v>294</v>
      </c>
      <c r="C297" s="67" t="s">
        <v>631</v>
      </c>
      <c r="D297" s="71">
        <v>45581.0</v>
      </c>
      <c r="E297" s="71">
        <v>45601.0</v>
      </c>
      <c r="F297" s="69">
        <v>2.88E7</v>
      </c>
      <c r="G297" s="69">
        <v>2.88E7</v>
      </c>
      <c r="H297" s="69">
        <v>2303999.9999999963</v>
      </c>
      <c r="I297" s="69">
        <v>2.88E7</v>
      </c>
      <c r="J297" s="70">
        <f t="shared" si="7"/>
        <v>0.08</v>
      </c>
    </row>
    <row r="298" ht="22.5" customHeight="1" outlineLevel="2">
      <c r="A298" s="66" t="s">
        <v>632</v>
      </c>
      <c r="B298" s="67" t="s">
        <v>279</v>
      </c>
      <c r="C298" s="67" t="s">
        <v>633</v>
      </c>
      <c r="D298" s="71">
        <v>45582.0</v>
      </c>
      <c r="E298" s="71">
        <v>45587.0</v>
      </c>
      <c r="F298" s="69">
        <v>6.132E7</v>
      </c>
      <c r="G298" s="69">
        <v>6.132E7</v>
      </c>
      <c r="H298" s="69">
        <v>3.5248332E7</v>
      </c>
      <c r="I298" s="69">
        <v>6.132E7</v>
      </c>
      <c r="J298" s="70">
        <f t="shared" si="7"/>
        <v>0.5748260274</v>
      </c>
    </row>
    <row r="299" ht="22.5" customHeight="1" outlineLevel="2">
      <c r="A299" s="66" t="s">
        <v>634</v>
      </c>
      <c r="B299" s="67" t="s">
        <v>291</v>
      </c>
      <c r="C299" s="67" t="s">
        <v>635</v>
      </c>
      <c r="D299" s="71">
        <v>45582.0</v>
      </c>
      <c r="E299" s="71">
        <v>45588.0</v>
      </c>
      <c r="F299" s="69">
        <v>1.15E7</v>
      </c>
      <c r="G299" s="69">
        <v>1.15E7</v>
      </c>
      <c r="H299" s="69">
        <v>3578000.0</v>
      </c>
      <c r="I299" s="69">
        <v>1.15E7</v>
      </c>
      <c r="J299" s="70">
        <f t="shared" si="7"/>
        <v>0.3111304348</v>
      </c>
    </row>
    <row r="300" ht="22.5" customHeight="1" outlineLevel="2">
      <c r="A300" s="66" t="s">
        <v>636</v>
      </c>
      <c r="B300" s="67" t="s">
        <v>297</v>
      </c>
      <c r="C300" s="67" t="s">
        <v>637</v>
      </c>
      <c r="D300" s="71">
        <v>45589.0</v>
      </c>
      <c r="E300" s="71">
        <v>45590.0</v>
      </c>
      <c r="F300" s="69">
        <v>8910000.0</v>
      </c>
      <c r="G300" s="69">
        <v>8910000.0</v>
      </c>
      <c r="H300" s="69">
        <v>2137469.166666667</v>
      </c>
      <c r="I300" s="69">
        <v>8910000.0</v>
      </c>
      <c r="J300" s="70">
        <f t="shared" si="7"/>
        <v>0.2398955294</v>
      </c>
    </row>
    <row r="301" ht="22.5" customHeight="1" outlineLevel="2">
      <c r="A301" s="66" t="s">
        <v>638</v>
      </c>
      <c r="B301" s="67" t="s">
        <v>639</v>
      </c>
      <c r="C301" s="67" t="s">
        <v>640</v>
      </c>
      <c r="D301" s="71">
        <v>45590.0</v>
      </c>
      <c r="E301" s="71">
        <v>45595.0</v>
      </c>
      <c r="F301" s="69">
        <v>1450000.0</v>
      </c>
      <c r="G301" s="69">
        <v>1450000.0</v>
      </c>
      <c r="H301" s="69">
        <v>138000.0</v>
      </c>
      <c r="I301" s="69">
        <v>1450000.0</v>
      </c>
      <c r="J301" s="70">
        <f t="shared" si="7"/>
        <v>0.09517241379</v>
      </c>
    </row>
    <row r="302" ht="22.5" customHeight="1" outlineLevel="2">
      <c r="A302" s="66" t="s">
        <v>641</v>
      </c>
      <c r="B302" s="67" t="s">
        <v>294</v>
      </c>
      <c r="C302" s="67" t="s">
        <v>642</v>
      </c>
      <c r="D302" s="71">
        <v>45593.0</v>
      </c>
      <c r="E302" s="71">
        <v>45622.0</v>
      </c>
      <c r="F302" s="69">
        <v>8.7E7</v>
      </c>
      <c r="G302" s="69">
        <v>8.7E7</v>
      </c>
      <c r="H302" s="69">
        <v>2.443524E7</v>
      </c>
      <c r="I302" s="69">
        <v>8.7E7</v>
      </c>
      <c r="J302" s="70">
        <f t="shared" si="7"/>
        <v>0.2808648276</v>
      </c>
    </row>
    <row r="303" ht="22.5" customHeight="1" outlineLevel="2">
      <c r="A303" s="66" t="s">
        <v>643</v>
      </c>
      <c r="B303" s="67" t="s">
        <v>291</v>
      </c>
      <c r="C303" s="67" t="s">
        <v>441</v>
      </c>
      <c r="D303" s="71">
        <v>45594.0</v>
      </c>
      <c r="E303" s="71">
        <v>45600.0</v>
      </c>
      <c r="F303" s="69">
        <v>1.176E8</v>
      </c>
      <c r="G303" s="69">
        <v>1.176E8</v>
      </c>
      <c r="H303" s="69">
        <v>2520060.0</v>
      </c>
      <c r="I303" s="69">
        <v>1.176E8</v>
      </c>
      <c r="J303" s="70">
        <f t="shared" si="7"/>
        <v>0.02142908163</v>
      </c>
    </row>
    <row r="304" ht="22.5" customHeight="1" outlineLevel="2">
      <c r="A304" s="66" t="s">
        <v>644</v>
      </c>
      <c r="B304" s="67" t="s">
        <v>279</v>
      </c>
      <c r="C304" s="67" t="s">
        <v>526</v>
      </c>
      <c r="D304" s="71">
        <v>45589.0</v>
      </c>
      <c r="E304" s="71">
        <v>45594.0</v>
      </c>
      <c r="F304" s="69">
        <v>1.5E7</v>
      </c>
      <c r="G304" s="69">
        <v>1.5E7</v>
      </c>
      <c r="H304" s="69">
        <v>8488616.666666668</v>
      </c>
      <c r="I304" s="69">
        <v>1.5E7</v>
      </c>
      <c r="J304" s="70">
        <f t="shared" si="7"/>
        <v>0.5659077778</v>
      </c>
    </row>
    <row r="305" ht="22.5" customHeight="1" outlineLevel="2">
      <c r="A305" s="66" t="s">
        <v>645</v>
      </c>
      <c r="B305" s="67" t="s">
        <v>282</v>
      </c>
      <c r="C305" s="67" t="s">
        <v>646</v>
      </c>
      <c r="D305" s="71">
        <v>45593.0</v>
      </c>
      <c r="E305" s="71">
        <v>45607.0</v>
      </c>
      <c r="F305" s="69">
        <v>7.66275E7</v>
      </c>
      <c r="G305" s="69">
        <v>7.65073E7</v>
      </c>
      <c r="H305" s="69">
        <v>3.0713625E7</v>
      </c>
      <c r="I305" s="69">
        <v>7.65073E7</v>
      </c>
      <c r="J305" s="70">
        <f t="shared" si="7"/>
        <v>0.4014469861</v>
      </c>
    </row>
    <row r="306" ht="22.5" customHeight="1" outlineLevel="2">
      <c r="A306" s="66" t="s">
        <v>647</v>
      </c>
      <c r="B306" s="67" t="s">
        <v>358</v>
      </c>
      <c r="C306" s="67" t="s">
        <v>359</v>
      </c>
      <c r="D306" s="71">
        <v>45587.0</v>
      </c>
      <c r="E306" s="71">
        <v>45600.0</v>
      </c>
      <c r="F306" s="69">
        <v>4.88095E8</v>
      </c>
      <c r="G306" s="69">
        <v>4.88095E8</v>
      </c>
      <c r="H306" s="69">
        <v>1.20633949625E8</v>
      </c>
      <c r="I306" s="69">
        <v>4.88095E8</v>
      </c>
      <c r="J306" s="70">
        <f t="shared" si="7"/>
        <v>0.2471526027</v>
      </c>
    </row>
    <row r="307" ht="22.5" customHeight="1" outlineLevel="2">
      <c r="A307" s="66" t="s">
        <v>648</v>
      </c>
      <c r="B307" s="67" t="s">
        <v>294</v>
      </c>
      <c r="C307" s="67" t="s">
        <v>649</v>
      </c>
      <c r="D307" s="71">
        <v>45595.0</v>
      </c>
      <c r="E307" s="71">
        <v>45657.0</v>
      </c>
      <c r="F307" s="69">
        <v>2.9E7</v>
      </c>
      <c r="G307" s="69">
        <v>2.9E7</v>
      </c>
      <c r="H307" s="69">
        <v>7975080.0</v>
      </c>
      <c r="I307" s="69">
        <v>2.9E7</v>
      </c>
      <c r="J307" s="70">
        <f t="shared" si="7"/>
        <v>0.2750027586</v>
      </c>
    </row>
    <row r="308" ht="22.5" customHeight="1" outlineLevel="2">
      <c r="A308" s="66" t="s">
        <v>650</v>
      </c>
      <c r="B308" s="67" t="s">
        <v>282</v>
      </c>
      <c r="C308" s="67" t="s">
        <v>355</v>
      </c>
      <c r="D308" s="71">
        <v>45600.0</v>
      </c>
      <c r="E308" s="71">
        <v>45614.0</v>
      </c>
      <c r="F308" s="69">
        <v>3.125E7</v>
      </c>
      <c r="G308" s="69">
        <v>3.125E7</v>
      </c>
      <c r="H308" s="69">
        <v>1.2394590399999999E7</v>
      </c>
      <c r="I308" s="69">
        <v>3.125E7</v>
      </c>
      <c r="J308" s="70">
        <f t="shared" si="7"/>
        <v>0.3966268928</v>
      </c>
    </row>
    <row r="309" ht="22.5" customHeight="1" outlineLevel="2">
      <c r="A309" s="66" t="s">
        <v>651</v>
      </c>
      <c r="B309" s="67" t="s">
        <v>291</v>
      </c>
      <c r="C309" s="67" t="s">
        <v>319</v>
      </c>
      <c r="D309" s="71">
        <v>45600.0</v>
      </c>
      <c r="E309" s="71">
        <v>45614.0</v>
      </c>
      <c r="F309" s="69">
        <v>3.16E8</v>
      </c>
      <c r="G309" s="69">
        <v>3.16E8</v>
      </c>
      <c r="H309" s="69">
        <v>2.97998E7</v>
      </c>
      <c r="I309" s="69">
        <v>3.16E8</v>
      </c>
      <c r="J309" s="70">
        <f t="shared" si="7"/>
        <v>0.09430316456</v>
      </c>
    </row>
    <row r="310" ht="22.5" customHeight="1" outlineLevel="2">
      <c r="A310" s="66" t="s">
        <v>652</v>
      </c>
      <c r="B310" s="67" t="s">
        <v>279</v>
      </c>
      <c r="C310" s="67" t="s">
        <v>653</v>
      </c>
      <c r="D310" s="71">
        <v>45601.0</v>
      </c>
      <c r="E310" s="71">
        <v>45614.0</v>
      </c>
      <c r="F310" s="69">
        <v>2.95E7</v>
      </c>
      <c r="G310" s="69">
        <v>2.95E7</v>
      </c>
      <c r="H310" s="69">
        <v>1.266359375E7</v>
      </c>
      <c r="I310" s="69">
        <v>2.95E7</v>
      </c>
      <c r="J310" s="70">
        <f t="shared" si="7"/>
        <v>0.4292743644</v>
      </c>
    </row>
    <row r="311" ht="22.5" customHeight="1" outlineLevel="2">
      <c r="A311" s="66" t="s">
        <v>654</v>
      </c>
      <c r="B311" s="67" t="s">
        <v>279</v>
      </c>
      <c r="C311" s="67" t="s">
        <v>655</v>
      </c>
      <c r="D311" s="71">
        <v>45603.0</v>
      </c>
      <c r="E311" s="71">
        <v>45616.0</v>
      </c>
      <c r="F311" s="69">
        <v>8.7208E7</v>
      </c>
      <c r="G311" s="69">
        <v>8.7208E7</v>
      </c>
      <c r="H311" s="69">
        <v>3.636511666666667E7</v>
      </c>
      <c r="I311" s="69">
        <v>8.7208E7</v>
      </c>
      <c r="J311" s="70">
        <f t="shared" si="7"/>
        <v>0.4169928982</v>
      </c>
    </row>
    <row r="312" ht="22.5" customHeight="1" outlineLevel="2">
      <c r="A312" s="66" t="s">
        <v>656</v>
      </c>
      <c r="B312" s="67" t="s">
        <v>320</v>
      </c>
      <c r="C312" s="67" t="s">
        <v>366</v>
      </c>
      <c r="D312" s="71">
        <v>45603.0</v>
      </c>
      <c r="E312" s="71">
        <v>45614.0</v>
      </c>
      <c r="F312" s="69">
        <v>3.3238E8</v>
      </c>
      <c r="G312" s="69">
        <v>3.3238E8</v>
      </c>
      <c r="H312" s="69">
        <v>5571993.249999985</v>
      </c>
      <c r="I312" s="69">
        <v>3.3238E8</v>
      </c>
      <c r="J312" s="70">
        <f t="shared" si="7"/>
        <v>0.01676392457</v>
      </c>
    </row>
    <row r="313" ht="22.5" customHeight="1" outlineLevel="2">
      <c r="A313" s="66" t="s">
        <v>657</v>
      </c>
      <c r="B313" s="67" t="s">
        <v>291</v>
      </c>
      <c r="C313" s="67" t="s">
        <v>658</v>
      </c>
      <c r="D313" s="71">
        <v>45609.0</v>
      </c>
      <c r="E313" s="71">
        <v>45615.0</v>
      </c>
      <c r="F313" s="69">
        <v>1.75E7</v>
      </c>
      <c r="G313" s="69">
        <v>1.75E7</v>
      </c>
      <c r="H313" s="69">
        <v>1209684.7559999991</v>
      </c>
      <c r="I313" s="69">
        <v>1.75E7</v>
      </c>
      <c r="J313" s="70">
        <f t="shared" si="7"/>
        <v>0.0691248432</v>
      </c>
    </row>
    <row r="314" ht="22.5" customHeight="1" outlineLevel="2">
      <c r="A314" s="66" t="s">
        <v>659</v>
      </c>
      <c r="B314" s="67" t="s">
        <v>297</v>
      </c>
      <c r="C314" s="67" t="s">
        <v>660</v>
      </c>
      <c r="D314" s="71">
        <v>45610.0</v>
      </c>
      <c r="E314" s="71">
        <v>45614.0</v>
      </c>
      <c r="F314" s="69">
        <v>1.813E7</v>
      </c>
      <c r="G314" s="69">
        <v>1.813E7</v>
      </c>
      <c r="H314" s="69">
        <v>2156513.333333333</v>
      </c>
      <c r="I314" s="69">
        <v>1.813E7</v>
      </c>
      <c r="J314" s="70">
        <f t="shared" si="7"/>
        <v>0.1189472329</v>
      </c>
    </row>
    <row r="315" ht="22.5" customHeight="1" outlineLevel="2">
      <c r="A315" s="66" t="s">
        <v>661</v>
      </c>
      <c r="B315" s="67" t="s">
        <v>291</v>
      </c>
      <c r="C315" s="67" t="s">
        <v>662</v>
      </c>
      <c r="D315" s="71">
        <v>45610.0</v>
      </c>
      <c r="E315" s="71">
        <v>45616.0</v>
      </c>
      <c r="F315" s="69">
        <v>5.005E7</v>
      </c>
      <c r="G315" s="69">
        <v>5.005E7</v>
      </c>
      <c r="H315" s="69">
        <v>5018500.0</v>
      </c>
      <c r="I315" s="69">
        <v>5.005E7</v>
      </c>
      <c r="J315" s="70">
        <f t="shared" si="7"/>
        <v>0.1002697303</v>
      </c>
    </row>
    <row r="316" ht="22.5" customHeight="1" outlineLevel="2">
      <c r="A316" s="66" t="s">
        <v>663</v>
      </c>
      <c r="B316" s="67" t="s">
        <v>315</v>
      </c>
      <c r="C316" s="67" t="s">
        <v>316</v>
      </c>
      <c r="D316" s="71">
        <v>45607.0</v>
      </c>
      <c r="E316" s="71">
        <v>45616.0</v>
      </c>
      <c r="F316" s="69">
        <v>3.59E7</v>
      </c>
      <c r="G316" s="69">
        <v>3.59E7</v>
      </c>
      <c r="H316" s="69">
        <v>1.0284658333333332E7</v>
      </c>
      <c r="I316" s="69">
        <v>3.59E7</v>
      </c>
      <c r="J316" s="70">
        <f t="shared" si="7"/>
        <v>0.2864807335</v>
      </c>
    </row>
    <row r="317" ht="22.5" customHeight="1" outlineLevel="2">
      <c r="A317" s="66" t="s">
        <v>664</v>
      </c>
      <c r="B317" s="67" t="s">
        <v>297</v>
      </c>
      <c r="C317" s="67" t="s">
        <v>665</v>
      </c>
      <c r="D317" s="71">
        <v>45615.0</v>
      </c>
      <c r="E317" s="71">
        <v>45615.0</v>
      </c>
      <c r="F317" s="69">
        <v>1.8E7</v>
      </c>
      <c r="G317" s="69">
        <v>1.8E7</v>
      </c>
      <c r="H317" s="69">
        <v>1.0629791666666668E7</v>
      </c>
      <c r="I317" s="69">
        <v>1.8E7</v>
      </c>
      <c r="J317" s="70">
        <f t="shared" si="7"/>
        <v>0.5905439815</v>
      </c>
    </row>
    <row r="318" ht="22.5" customHeight="1" outlineLevel="2">
      <c r="A318" s="66" t="s">
        <v>666</v>
      </c>
      <c r="B318" s="67" t="s">
        <v>667</v>
      </c>
      <c r="C318" s="67" t="s">
        <v>532</v>
      </c>
      <c r="D318" s="71">
        <v>45608.0</v>
      </c>
      <c r="E318" s="71">
        <v>45616.0</v>
      </c>
      <c r="F318" s="69">
        <v>1.25E7</v>
      </c>
      <c r="G318" s="69">
        <v>1.25E7</v>
      </c>
      <c r="H318" s="69">
        <v>1892050.0</v>
      </c>
      <c r="I318" s="69">
        <v>1.25E7</v>
      </c>
      <c r="J318" s="70">
        <f t="shared" si="7"/>
        <v>0.151364</v>
      </c>
    </row>
    <row r="319" ht="22.5" customHeight="1" outlineLevel="2">
      <c r="A319" s="66" t="s">
        <v>668</v>
      </c>
      <c r="B319" s="67" t="s">
        <v>297</v>
      </c>
      <c r="C319" s="67" t="s">
        <v>450</v>
      </c>
      <c r="D319" s="71">
        <v>45616.0</v>
      </c>
      <c r="E319" s="71">
        <v>45617.0</v>
      </c>
      <c r="F319" s="69">
        <v>7500000.0</v>
      </c>
      <c r="G319" s="69">
        <v>7500000.0</v>
      </c>
      <c r="H319" s="69">
        <v>727469.166666667</v>
      </c>
      <c r="I319" s="69">
        <v>7500000.0</v>
      </c>
      <c r="J319" s="70">
        <f t="shared" si="7"/>
        <v>0.09699588889</v>
      </c>
    </row>
    <row r="320" ht="22.5" customHeight="1" outlineLevel="2">
      <c r="A320" s="66" t="s">
        <v>669</v>
      </c>
      <c r="B320" s="67" t="s">
        <v>291</v>
      </c>
      <c r="C320" s="67" t="s">
        <v>397</v>
      </c>
      <c r="D320" s="71">
        <v>45617.0</v>
      </c>
      <c r="E320" s="71">
        <v>45624.0</v>
      </c>
      <c r="F320" s="69">
        <v>2.425E8</v>
      </c>
      <c r="G320" s="69">
        <v>2.425E8</v>
      </c>
      <c r="H320" s="69">
        <v>9837250.0</v>
      </c>
      <c r="I320" s="69">
        <v>2.425E8</v>
      </c>
      <c r="J320" s="70">
        <f t="shared" si="7"/>
        <v>0.04056597938</v>
      </c>
    </row>
    <row r="321" ht="22.5" customHeight="1" outlineLevel="2">
      <c r="A321" s="66" t="s">
        <v>670</v>
      </c>
      <c r="B321" s="67" t="s">
        <v>297</v>
      </c>
      <c r="C321" s="67" t="s">
        <v>671</v>
      </c>
      <c r="D321" s="71">
        <v>45617.0</v>
      </c>
      <c r="E321" s="71">
        <v>45617.0</v>
      </c>
      <c r="F321" s="69">
        <v>1.12E7</v>
      </c>
      <c r="G321" s="69">
        <v>1.12E7</v>
      </c>
      <c r="H321" s="69">
        <v>6106658.333333333</v>
      </c>
      <c r="I321" s="69">
        <v>1.12E7</v>
      </c>
      <c r="J321" s="70">
        <f t="shared" si="7"/>
        <v>0.5452373512</v>
      </c>
    </row>
    <row r="322" ht="22.5" customHeight="1" outlineLevel="2">
      <c r="A322" s="66" t="s">
        <v>672</v>
      </c>
      <c r="B322" s="67" t="s">
        <v>673</v>
      </c>
      <c r="C322" s="67" t="s">
        <v>454</v>
      </c>
      <c r="D322" s="71">
        <v>45618.0</v>
      </c>
      <c r="E322" s="71">
        <v>45645.0</v>
      </c>
      <c r="F322" s="69">
        <v>1.74394E8</v>
      </c>
      <c r="G322" s="69">
        <v>1.74394E8</v>
      </c>
      <c r="H322" s="69">
        <v>5.233971525E7</v>
      </c>
      <c r="I322" s="69">
        <v>1.74394E8</v>
      </c>
      <c r="J322" s="70">
        <f t="shared" si="7"/>
        <v>0.3001233715</v>
      </c>
    </row>
    <row r="323" ht="22.5" customHeight="1" outlineLevel="2">
      <c r="A323" s="66" t="s">
        <v>674</v>
      </c>
      <c r="B323" s="67" t="s">
        <v>564</v>
      </c>
      <c r="C323" s="67" t="s">
        <v>382</v>
      </c>
      <c r="D323" s="71">
        <v>45618.0</v>
      </c>
      <c r="E323" s="71">
        <v>45631.0</v>
      </c>
      <c r="F323" s="69">
        <v>5.1875E7</v>
      </c>
      <c r="G323" s="69">
        <v>5.1875E7</v>
      </c>
      <c r="H323" s="69">
        <v>9375000.0</v>
      </c>
      <c r="I323" s="69">
        <v>5.1875E7</v>
      </c>
      <c r="J323" s="70">
        <f t="shared" si="7"/>
        <v>0.1807228916</v>
      </c>
    </row>
    <row r="324" ht="22.5" customHeight="1" outlineLevel="2">
      <c r="A324" s="66" t="s">
        <v>675</v>
      </c>
      <c r="B324" s="67" t="s">
        <v>378</v>
      </c>
      <c r="C324" s="67" t="s">
        <v>319</v>
      </c>
      <c r="D324" s="71">
        <v>45622.0</v>
      </c>
      <c r="E324" s="71">
        <v>45630.0</v>
      </c>
      <c r="F324" s="69">
        <v>4.5322E7</v>
      </c>
      <c r="G324" s="69">
        <v>4.5322E7</v>
      </c>
      <c r="H324" s="69">
        <v>1.27051842E7</v>
      </c>
      <c r="I324" s="69">
        <v>4.5322E7</v>
      </c>
      <c r="J324" s="70">
        <f t="shared" si="7"/>
        <v>0.2803314991</v>
      </c>
    </row>
    <row r="325" ht="22.5" customHeight="1" outlineLevel="2">
      <c r="A325" s="66" t="s">
        <v>676</v>
      </c>
      <c r="B325" s="67" t="s">
        <v>677</v>
      </c>
      <c r="C325" s="67" t="s">
        <v>678</v>
      </c>
      <c r="D325" s="71">
        <v>45555.0</v>
      </c>
      <c r="E325" s="68"/>
      <c r="F325" s="69">
        <v>8.075E8</v>
      </c>
      <c r="G325" s="69"/>
      <c r="H325" s="69"/>
      <c r="I325" s="69"/>
      <c r="J325" s="70" t="str">
        <f t="shared" si="7"/>
        <v>#DIV/0!</v>
      </c>
    </row>
    <row r="326" ht="22.5" customHeight="1" outlineLevel="2">
      <c r="A326" s="66" t="s">
        <v>679</v>
      </c>
      <c r="B326" s="67" t="s">
        <v>680</v>
      </c>
      <c r="C326" s="67" t="s">
        <v>681</v>
      </c>
      <c r="D326" s="71">
        <v>45623.0</v>
      </c>
      <c r="E326" s="71">
        <v>45624.0</v>
      </c>
      <c r="F326" s="69">
        <v>1890000.0</v>
      </c>
      <c r="G326" s="69">
        <v>1890000.0</v>
      </c>
      <c r="H326" s="69">
        <v>667331.6666666667</v>
      </c>
      <c r="I326" s="69">
        <v>1890000.0</v>
      </c>
      <c r="J326" s="70">
        <f t="shared" si="7"/>
        <v>0.3530855379</v>
      </c>
    </row>
    <row r="327" ht="22.5" customHeight="1" outlineLevel="2">
      <c r="A327" s="66" t="s">
        <v>682</v>
      </c>
      <c r="B327" s="67" t="s">
        <v>297</v>
      </c>
      <c r="C327" s="67" t="s">
        <v>508</v>
      </c>
      <c r="D327" s="71">
        <v>45625.0</v>
      </c>
      <c r="E327" s="71">
        <v>45625.0</v>
      </c>
      <c r="F327" s="69">
        <v>1.12E7</v>
      </c>
      <c r="G327" s="69">
        <v>1.12E7</v>
      </c>
      <c r="H327" s="69">
        <v>6106658.333333333</v>
      </c>
      <c r="I327" s="69">
        <v>1.12E7</v>
      </c>
      <c r="J327" s="70">
        <f t="shared" si="7"/>
        <v>0.5452373512</v>
      </c>
    </row>
    <row r="328" ht="22.5" customHeight="1" outlineLevel="2">
      <c r="A328" s="66" t="s">
        <v>683</v>
      </c>
      <c r="B328" s="67" t="s">
        <v>282</v>
      </c>
      <c r="C328" s="67" t="s">
        <v>684</v>
      </c>
      <c r="D328" s="71">
        <v>45623.0</v>
      </c>
      <c r="E328" s="71">
        <v>45643.0</v>
      </c>
      <c r="F328" s="69">
        <v>6.912E7</v>
      </c>
      <c r="G328" s="69">
        <v>6.912E7</v>
      </c>
      <c r="H328" s="69">
        <v>2.0266875E7</v>
      </c>
      <c r="I328" s="69">
        <v>6.912E7</v>
      </c>
      <c r="J328" s="70">
        <f t="shared" si="7"/>
        <v>0.2932128906</v>
      </c>
    </row>
    <row r="329" ht="22.5" customHeight="1" outlineLevel="2">
      <c r="A329" s="66" t="s">
        <v>685</v>
      </c>
      <c r="B329" s="67" t="s">
        <v>282</v>
      </c>
      <c r="C329" s="67" t="s">
        <v>686</v>
      </c>
      <c r="D329" s="71">
        <v>45607.0</v>
      </c>
      <c r="E329" s="71">
        <v>45649.0</v>
      </c>
      <c r="F329" s="69">
        <v>1.52205083E8</v>
      </c>
      <c r="G329" s="69">
        <v>1.52205083E8</v>
      </c>
      <c r="H329" s="69">
        <v>6.730725E7</v>
      </c>
      <c r="I329" s="69">
        <v>1.522050825E8</v>
      </c>
      <c r="J329" s="70">
        <f t="shared" si="7"/>
        <v>0.4422142065</v>
      </c>
    </row>
    <row r="330" ht="22.5" customHeight="1" outlineLevel="2">
      <c r="A330" s="66" t="s">
        <v>687</v>
      </c>
      <c r="B330" s="67" t="s">
        <v>320</v>
      </c>
      <c r="C330" s="67" t="s">
        <v>688</v>
      </c>
      <c r="D330" s="71">
        <v>45624.0</v>
      </c>
      <c r="E330" s="71">
        <v>45656.0</v>
      </c>
      <c r="F330" s="69">
        <v>1.73043E9</v>
      </c>
      <c r="G330" s="69">
        <v>1.73043E9</v>
      </c>
      <c r="H330" s="69">
        <v>2.4140638079999995E8</v>
      </c>
      <c r="I330" s="69">
        <v>1.1E9</v>
      </c>
      <c r="J330" s="70">
        <f t="shared" si="7"/>
        <v>0.1395065855</v>
      </c>
    </row>
    <row r="331" ht="22.5" customHeight="1" outlineLevel="2">
      <c r="A331" s="66" t="s">
        <v>689</v>
      </c>
      <c r="B331" s="67" t="s">
        <v>343</v>
      </c>
      <c r="C331" s="67" t="s">
        <v>690</v>
      </c>
      <c r="D331" s="71">
        <v>45628.0</v>
      </c>
      <c r="E331" s="71">
        <v>45656.0</v>
      </c>
      <c r="F331" s="69">
        <v>5.77166E8</v>
      </c>
      <c r="G331" s="69">
        <v>5.71028E8</v>
      </c>
      <c r="H331" s="69">
        <v>2.1468375383333337E8</v>
      </c>
      <c r="I331" s="69">
        <v>5.77166E8</v>
      </c>
      <c r="J331" s="70">
        <f t="shared" si="7"/>
        <v>0.3759601173</v>
      </c>
    </row>
    <row r="332" ht="22.5" customHeight="1" outlineLevel="2">
      <c r="A332" s="66" t="s">
        <v>691</v>
      </c>
      <c r="B332" s="67" t="s">
        <v>279</v>
      </c>
      <c r="C332" s="67" t="s">
        <v>692</v>
      </c>
      <c r="D332" s="71">
        <v>45631.0</v>
      </c>
      <c r="E332" s="71">
        <v>45644.0</v>
      </c>
      <c r="F332" s="69">
        <v>6.2304E8</v>
      </c>
      <c r="G332" s="69">
        <v>6.2304E8</v>
      </c>
      <c r="H332" s="69">
        <v>2.474025E8</v>
      </c>
      <c r="I332" s="69">
        <v>6.2304E8</v>
      </c>
      <c r="J332" s="70">
        <f t="shared" si="7"/>
        <v>0.397089272</v>
      </c>
    </row>
    <row r="333" ht="22.5" customHeight="1" outlineLevel="2">
      <c r="A333" s="66" t="s">
        <v>693</v>
      </c>
      <c r="B333" s="67" t="s">
        <v>282</v>
      </c>
      <c r="C333" s="67" t="s">
        <v>694</v>
      </c>
      <c r="D333" s="71">
        <v>45632.0</v>
      </c>
      <c r="E333" s="71">
        <v>45635.0</v>
      </c>
      <c r="F333" s="69">
        <v>1.4535E8</v>
      </c>
      <c r="G333" s="69">
        <v>1.4535E8</v>
      </c>
      <c r="H333" s="69">
        <v>3.74595E7</v>
      </c>
      <c r="I333" s="69">
        <v>1.4535E8</v>
      </c>
      <c r="J333" s="70">
        <f t="shared" si="7"/>
        <v>0.2577192982</v>
      </c>
    </row>
    <row r="334" ht="22.5" customHeight="1" outlineLevel="2">
      <c r="A334" s="66" t="s">
        <v>695</v>
      </c>
      <c r="B334" s="67" t="s">
        <v>297</v>
      </c>
      <c r="C334" s="67" t="s">
        <v>450</v>
      </c>
      <c r="D334" s="71">
        <v>45637.0</v>
      </c>
      <c r="E334" s="71">
        <v>45637.0</v>
      </c>
      <c r="F334" s="69">
        <v>7500000.0</v>
      </c>
      <c r="G334" s="69">
        <v>7500000.0</v>
      </c>
      <c r="H334" s="69">
        <v>727469.166666667</v>
      </c>
      <c r="I334" s="69">
        <v>7500000.0</v>
      </c>
      <c r="J334" s="70">
        <f t="shared" si="7"/>
        <v>0.09699588889</v>
      </c>
    </row>
    <row r="335" ht="22.5" customHeight="1" outlineLevel="2">
      <c r="A335" s="66" t="s">
        <v>696</v>
      </c>
      <c r="B335" s="67" t="s">
        <v>320</v>
      </c>
      <c r="C335" s="67" t="s">
        <v>379</v>
      </c>
      <c r="D335" s="71">
        <v>45637.0</v>
      </c>
      <c r="E335" s="71">
        <v>45657.0</v>
      </c>
      <c r="F335" s="69">
        <v>5.19465E8</v>
      </c>
      <c r="G335" s="69">
        <v>5.19465E8</v>
      </c>
      <c r="H335" s="69">
        <v>1.3192854075E8</v>
      </c>
      <c r="I335" s="69">
        <v>2.6E8</v>
      </c>
      <c r="J335" s="70">
        <f t="shared" si="7"/>
        <v>0.2539700283</v>
      </c>
    </row>
    <row r="336" ht="22.5" customHeight="1" outlineLevel="2">
      <c r="A336" s="66" t="s">
        <v>697</v>
      </c>
      <c r="B336" s="67" t="s">
        <v>320</v>
      </c>
      <c r="C336" s="67" t="s">
        <v>698</v>
      </c>
      <c r="D336" s="71">
        <v>45638.0</v>
      </c>
      <c r="E336" s="71">
        <v>45657.0</v>
      </c>
      <c r="F336" s="69">
        <v>7.242E7</v>
      </c>
      <c r="G336" s="69">
        <v>7.242E7</v>
      </c>
      <c r="H336" s="69">
        <v>2.69037944E7</v>
      </c>
      <c r="I336" s="69">
        <v>7.242E7</v>
      </c>
      <c r="J336" s="70">
        <f t="shared" si="7"/>
        <v>0.3714967468</v>
      </c>
    </row>
    <row r="337" ht="22.5" customHeight="1" outlineLevel="2">
      <c r="A337" s="66" t="s">
        <v>699</v>
      </c>
      <c r="B337" s="67" t="s">
        <v>700</v>
      </c>
      <c r="C337" s="67" t="s">
        <v>536</v>
      </c>
      <c r="D337" s="71">
        <v>45638.0</v>
      </c>
      <c r="E337" s="71">
        <v>45642.0</v>
      </c>
      <c r="F337" s="69">
        <v>2.236E7</v>
      </c>
      <c r="G337" s="69">
        <v>2.236E7</v>
      </c>
      <c r="H337" s="69">
        <v>5057897.0</v>
      </c>
      <c r="I337" s="69"/>
      <c r="J337" s="70">
        <f t="shared" si="7"/>
        <v>0.226202907</v>
      </c>
    </row>
    <row r="338" ht="22.5" customHeight="1" outlineLevel="2">
      <c r="A338" s="66" t="s">
        <v>701</v>
      </c>
      <c r="B338" s="67" t="s">
        <v>285</v>
      </c>
      <c r="C338" s="67" t="s">
        <v>702</v>
      </c>
      <c r="D338" s="71">
        <v>45637.0</v>
      </c>
      <c r="E338" s="71">
        <v>45646.0</v>
      </c>
      <c r="F338" s="69">
        <v>8.1E7</v>
      </c>
      <c r="G338" s="69">
        <v>8.1E7</v>
      </c>
      <c r="H338" s="69">
        <v>1.73434716E7</v>
      </c>
      <c r="I338" s="69">
        <v>8.1E7</v>
      </c>
      <c r="J338" s="70">
        <f t="shared" si="7"/>
        <v>0.2141169333</v>
      </c>
    </row>
    <row r="339" ht="22.5" customHeight="1" outlineLevel="2">
      <c r="A339" s="66" t="s">
        <v>703</v>
      </c>
      <c r="B339" s="67" t="s">
        <v>288</v>
      </c>
      <c r="C339" s="67" t="s">
        <v>704</v>
      </c>
      <c r="D339" s="71">
        <v>45638.0</v>
      </c>
      <c r="E339" s="71">
        <v>45651.0</v>
      </c>
      <c r="F339" s="69">
        <v>3.38487E8</v>
      </c>
      <c r="G339" s="69">
        <v>3.38487E8</v>
      </c>
      <c r="H339" s="69">
        <v>6.088259266666669E7</v>
      </c>
      <c r="I339" s="69"/>
      <c r="J339" s="70">
        <f t="shared" si="7"/>
        <v>0.1798668565</v>
      </c>
    </row>
    <row r="340" ht="22.5" customHeight="1" outlineLevel="2">
      <c r="A340" s="66" t="s">
        <v>705</v>
      </c>
      <c r="B340" s="67" t="s">
        <v>320</v>
      </c>
      <c r="C340" s="67" t="s">
        <v>706</v>
      </c>
      <c r="D340" s="71">
        <v>45644.0</v>
      </c>
      <c r="E340" s="71">
        <v>45657.0</v>
      </c>
      <c r="F340" s="69">
        <v>1.2655E8</v>
      </c>
      <c r="G340" s="69">
        <v>1.2655E8</v>
      </c>
      <c r="H340" s="69">
        <v>5.8657364349999994E7</v>
      </c>
      <c r="I340" s="69">
        <v>1.2655E8</v>
      </c>
      <c r="J340" s="70">
        <f t="shared" si="7"/>
        <v>0.4635113738</v>
      </c>
    </row>
    <row r="341" ht="22.5" customHeight="1" outlineLevel="2">
      <c r="A341" s="66" t="s">
        <v>707</v>
      </c>
      <c r="B341" s="67" t="s">
        <v>708</v>
      </c>
      <c r="C341" s="67" t="s">
        <v>319</v>
      </c>
      <c r="D341" s="71">
        <v>45646.0</v>
      </c>
      <c r="E341" s="71">
        <v>45651.0</v>
      </c>
      <c r="F341" s="69">
        <v>3025000.0</v>
      </c>
      <c r="G341" s="69">
        <v>3025000.0</v>
      </c>
      <c r="H341" s="69">
        <v>950000.0</v>
      </c>
      <c r="I341" s="69">
        <v>3025000.0</v>
      </c>
      <c r="J341" s="70">
        <f t="shared" si="7"/>
        <v>0.3140495868</v>
      </c>
    </row>
    <row r="342" ht="22.5" customHeight="1" outlineLevel="2">
      <c r="A342" s="66" t="s">
        <v>709</v>
      </c>
      <c r="B342" s="67" t="s">
        <v>279</v>
      </c>
      <c r="C342" s="67" t="s">
        <v>400</v>
      </c>
      <c r="D342" s="71">
        <v>45645.0</v>
      </c>
      <c r="E342" s="71">
        <v>45646.0</v>
      </c>
      <c r="F342" s="69">
        <v>1.7E7</v>
      </c>
      <c r="G342" s="69">
        <v>1.7E7</v>
      </c>
      <c r="H342" s="69">
        <v>1.0483616666666668E7</v>
      </c>
      <c r="I342" s="69"/>
      <c r="J342" s="70">
        <f t="shared" si="7"/>
        <v>0.6166833333</v>
      </c>
    </row>
    <row r="343" ht="22.5" customHeight="1" outlineLevel="2">
      <c r="A343" s="66" t="s">
        <v>710</v>
      </c>
      <c r="B343" s="67" t="s">
        <v>279</v>
      </c>
      <c r="C343" s="67" t="s">
        <v>526</v>
      </c>
      <c r="D343" s="71">
        <v>45642.0</v>
      </c>
      <c r="E343" s="71">
        <v>45649.0</v>
      </c>
      <c r="F343" s="69">
        <v>1.5E7</v>
      </c>
      <c r="G343" s="69">
        <v>1.5E7</v>
      </c>
      <c r="H343" s="69">
        <v>8488616.666666668</v>
      </c>
      <c r="I343" s="69">
        <v>1.5E7</v>
      </c>
      <c r="J343" s="70">
        <f t="shared" si="7"/>
        <v>0.5659077778</v>
      </c>
    </row>
    <row r="344" ht="22.5" customHeight="1" outlineLevel="2">
      <c r="A344" s="66" t="s">
        <v>711</v>
      </c>
      <c r="B344" s="67" t="s">
        <v>282</v>
      </c>
      <c r="C344" s="67" t="s">
        <v>712</v>
      </c>
      <c r="D344" s="71">
        <v>45649.0</v>
      </c>
      <c r="E344" s="68"/>
      <c r="F344" s="69">
        <v>5.144832E8</v>
      </c>
      <c r="G344" s="69"/>
      <c r="H344" s="69"/>
      <c r="I344" s="69"/>
      <c r="J344" s="70" t="str">
        <f t="shared" si="7"/>
        <v>#DIV/0!</v>
      </c>
    </row>
    <row r="345" ht="22.5" customHeight="1" outlineLevel="2">
      <c r="A345" s="66" t="s">
        <v>713</v>
      </c>
      <c r="B345" s="67" t="s">
        <v>588</v>
      </c>
      <c r="C345" s="67" t="s">
        <v>714</v>
      </c>
      <c r="D345" s="71">
        <v>45651.0</v>
      </c>
      <c r="E345" s="71">
        <v>45653.0</v>
      </c>
      <c r="F345" s="69">
        <v>2.3E7</v>
      </c>
      <c r="G345" s="69">
        <v>2.3E7</v>
      </c>
      <c r="H345" s="69">
        <v>5263664.0</v>
      </c>
      <c r="I345" s="69">
        <v>2.3E7</v>
      </c>
      <c r="J345" s="70">
        <f t="shared" si="7"/>
        <v>0.2288549565</v>
      </c>
    </row>
    <row r="346" ht="22.5" customHeight="1" outlineLevel="2">
      <c r="A346" s="66" t="s">
        <v>715</v>
      </c>
      <c r="B346" s="67" t="s">
        <v>291</v>
      </c>
      <c r="C346" s="67" t="s">
        <v>716</v>
      </c>
      <c r="D346" s="71">
        <v>45651.0</v>
      </c>
      <c r="E346" s="68"/>
      <c r="F346" s="69">
        <v>1.3763E8</v>
      </c>
      <c r="G346" s="69"/>
      <c r="H346" s="69"/>
      <c r="I346" s="69">
        <v>6.8815E7</v>
      </c>
      <c r="J346" s="70" t="str">
        <f t="shared" si="7"/>
        <v>#DIV/0!</v>
      </c>
    </row>
    <row r="347" ht="22.5" customHeight="1" outlineLevel="2">
      <c r="A347" s="66" t="s">
        <v>717</v>
      </c>
      <c r="B347" s="67" t="s">
        <v>573</v>
      </c>
      <c r="C347" s="67" t="s">
        <v>718</v>
      </c>
      <c r="D347" s="71">
        <v>45650.0</v>
      </c>
      <c r="E347" s="68"/>
      <c r="F347" s="69">
        <v>6850000.0</v>
      </c>
      <c r="G347" s="69"/>
      <c r="H347" s="69">
        <v>233000.0</v>
      </c>
      <c r="I347" s="69"/>
      <c r="J347" s="70" t="str">
        <f t="shared" si="7"/>
        <v>#DIV/0!</v>
      </c>
    </row>
    <row r="348" ht="22.5" customHeight="1" outlineLevel="2">
      <c r="A348" s="66" t="s">
        <v>719</v>
      </c>
      <c r="B348" s="67" t="s">
        <v>343</v>
      </c>
      <c r="C348" s="67" t="s">
        <v>688</v>
      </c>
      <c r="D348" s="71">
        <v>45651.0</v>
      </c>
      <c r="E348" s="68"/>
      <c r="F348" s="69">
        <v>1.37568E9</v>
      </c>
      <c r="G348" s="69"/>
      <c r="H348" s="69"/>
      <c r="I348" s="69"/>
      <c r="J348" s="70" t="str">
        <f t="shared" si="7"/>
        <v>#DIV/0!</v>
      </c>
    </row>
    <row r="349" ht="22.5" customHeight="1" outlineLevel="2">
      <c r="A349" s="66" t="s">
        <v>720</v>
      </c>
      <c r="B349" s="67" t="s">
        <v>282</v>
      </c>
      <c r="C349" s="67" t="s">
        <v>721</v>
      </c>
      <c r="D349" s="71">
        <v>45639.0</v>
      </c>
      <c r="E349" s="71">
        <v>45653.0</v>
      </c>
      <c r="F349" s="69">
        <v>6.3063E7</v>
      </c>
      <c r="G349" s="69">
        <v>6.3063E7</v>
      </c>
      <c r="H349" s="69">
        <v>1.7964875E7</v>
      </c>
      <c r="I349" s="69">
        <v>6.3063E7</v>
      </c>
      <c r="J349" s="70">
        <f t="shared" si="7"/>
        <v>0.2848718742</v>
      </c>
    </row>
    <row r="350" ht="22.5" customHeight="1" outlineLevel="2">
      <c r="A350" s="66" t="s">
        <v>722</v>
      </c>
      <c r="B350" s="67" t="s">
        <v>723</v>
      </c>
      <c r="C350" s="67" t="s">
        <v>351</v>
      </c>
      <c r="D350" s="68"/>
      <c r="E350" s="68"/>
      <c r="F350" s="69">
        <v>2.220008E8</v>
      </c>
      <c r="G350" s="69"/>
      <c r="H350" s="69"/>
      <c r="I350" s="69"/>
      <c r="J350" s="70" t="str">
        <f t="shared" si="7"/>
        <v>#DIV/0!</v>
      </c>
    </row>
    <row r="351" ht="22.5" customHeight="1" outlineLevel="2">
      <c r="A351" s="66" t="s">
        <v>724</v>
      </c>
      <c r="B351" s="67" t="s">
        <v>725</v>
      </c>
      <c r="C351" s="67" t="s">
        <v>726</v>
      </c>
      <c r="D351" s="71">
        <v>45652.0</v>
      </c>
      <c r="E351" s="71">
        <v>45657.0</v>
      </c>
      <c r="F351" s="69">
        <v>1.19135E9</v>
      </c>
      <c r="G351" s="69">
        <v>1.19135E9</v>
      </c>
      <c r="H351" s="69">
        <v>1.7678362E8</v>
      </c>
      <c r="I351" s="69"/>
      <c r="J351" s="70">
        <f t="shared" si="7"/>
        <v>0.148389323</v>
      </c>
    </row>
    <row r="352" ht="22.5" customHeight="1" outlineLevel="2">
      <c r="A352" s="66" t="s">
        <v>727</v>
      </c>
      <c r="B352" s="67" t="s">
        <v>728</v>
      </c>
      <c r="C352" s="67" t="s">
        <v>729</v>
      </c>
      <c r="D352" s="71">
        <v>45562.0</v>
      </c>
      <c r="E352" s="71">
        <v>45565.0</v>
      </c>
      <c r="F352" s="69">
        <v>3.0525E9</v>
      </c>
      <c r="G352" s="69">
        <v>3.0525E9</v>
      </c>
      <c r="H352" s="69">
        <v>5.36255813E8</v>
      </c>
      <c r="I352" s="69"/>
      <c r="J352" s="70">
        <f t="shared" si="7"/>
        <v>0.17567758</v>
      </c>
    </row>
    <row r="353" ht="22.5" customHeight="1" outlineLevel="2">
      <c r="A353" s="66" t="s">
        <v>730</v>
      </c>
      <c r="B353" s="67" t="s">
        <v>297</v>
      </c>
      <c r="C353" s="67" t="s">
        <v>731</v>
      </c>
      <c r="D353" s="71">
        <v>45656.0</v>
      </c>
      <c r="E353" s="71">
        <v>45657.0</v>
      </c>
      <c r="F353" s="69">
        <v>1.44E7</v>
      </c>
      <c r="G353" s="69">
        <v>1.44E7</v>
      </c>
      <c r="H353" s="69">
        <v>7883616.666666667</v>
      </c>
      <c r="I353" s="69">
        <v>1.44E7</v>
      </c>
      <c r="J353" s="70">
        <f t="shared" si="7"/>
        <v>0.5474733796</v>
      </c>
    </row>
    <row r="354" ht="22.5" customHeight="1" outlineLevel="1">
      <c r="A354" s="63" t="s">
        <v>732</v>
      </c>
      <c r="F354" s="64">
        <f t="shared" ref="F354:I354" si="8">sum(F355:F723)</f>
        <v>53374428050</v>
      </c>
      <c r="G354" s="64">
        <f t="shared" si="8"/>
        <v>51208556650</v>
      </c>
      <c r="H354" s="64">
        <f t="shared" si="8"/>
        <v>8695446770</v>
      </c>
      <c r="I354" s="64">
        <f t="shared" si="8"/>
        <v>45582245042</v>
      </c>
      <c r="J354" s="65"/>
    </row>
    <row r="355" ht="22.5" customHeight="1" outlineLevel="3">
      <c r="A355" s="66" t="s">
        <v>733</v>
      </c>
      <c r="B355" s="67" t="s">
        <v>734</v>
      </c>
      <c r="C355" s="67" t="s">
        <v>735</v>
      </c>
      <c r="D355" s="71">
        <v>45293.0</v>
      </c>
      <c r="E355" s="71">
        <v>45314.0</v>
      </c>
      <c r="F355" s="69">
        <v>2.1E8</v>
      </c>
      <c r="G355" s="69">
        <v>2.1E8</v>
      </c>
      <c r="H355" s="69">
        <v>8.397222222222222E7</v>
      </c>
      <c r="I355" s="69">
        <v>2.1E8</v>
      </c>
      <c r="J355" s="70">
        <f t="shared" ref="J355:J723" si="9">H355/G355</f>
        <v>0.3998677249</v>
      </c>
    </row>
    <row r="356" ht="22.5" customHeight="1" outlineLevel="3">
      <c r="A356" s="66" t="s">
        <v>736</v>
      </c>
      <c r="B356" s="67" t="s">
        <v>737</v>
      </c>
      <c r="C356" s="67" t="s">
        <v>501</v>
      </c>
      <c r="D356" s="71">
        <v>45293.0</v>
      </c>
      <c r="E356" s="71">
        <v>45371.0</v>
      </c>
      <c r="F356" s="69">
        <v>1.12749E8</v>
      </c>
      <c r="G356" s="69">
        <v>1.12749E8</v>
      </c>
      <c r="H356" s="69">
        <v>2.60498035E7</v>
      </c>
      <c r="I356" s="69">
        <v>1.12749E8</v>
      </c>
      <c r="J356" s="70">
        <f t="shared" si="9"/>
        <v>0.231042435</v>
      </c>
    </row>
    <row r="357" ht="22.5" customHeight="1" outlineLevel="3">
      <c r="A357" s="66" t="s">
        <v>738</v>
      </c>
      <c r="B357" s="67" t="s">
        <v>739</v>
      </c>
      <c r="C357" s="67" t="s">
        <v>740</v>
      </c>
      <c r="D357" s="71">
        <v>45296.0</v>
      </c>
      <c r="E357" s="71">
        <v>45306.0</v>
      </c>
      <c r="F357" s="69">
        <v>1.725E8</v>
      </c>
      <c r="G357" s="69">
        <v>1.725E8</v>
      </c>
      <c r="H357" s="69">
        <v>7060000.0</v>
      </c>
      <c r="I357" s="69">
        <v>1.725E8</v>
      </c>
      <c r="J357" s="70">
        <f t="shared" si="9"/>
        <v>0.04092753623</v>
      </c>
    </row>
    <row r="358" ht="22.5" customHeight="1" outlineLevel="3">
      <c r="A358" s="66" t="s">
        <v>741</v>
      </c>
      <c r="B358" s="67" t="s">
        <v>742</v>
      </c>
      <c r="C358" s="67" t="s">
        <v>743</v>
      </c>
      <c r="D358" s="71">
        <v>45313.0</v>
      </c>
      <c r="E358" s="71">
        <v>45317.0</v>
      </c>
      <c r="F358" s="69">
        <v>2772000.0</v>
      </c>
      <c r="G358" s="69">
        <v>2772000.0</v>
      </c>
      <c r="H358" s="69">
        <v>362000.0</v>
      </c>
      <c r="I358" s="69">
        <v>2772000.0</v>
      </c>
      <c r="J358" s="70">
        <f t="shared" si="9"/>
        <v>0.1305916306</v>
      </c>
    </row>
    <row r="359" ht="22.5" customHeight="1" outlineLevel="3">
      <c r="A359" s="66" t="s">
        <v>744</v>
      </c>
      <c r="B359" s="67" t="s">
        <v>745</v>
      </c>
      <c r="C359" s="67" t="s">
        <v>746</v>
      </c>
      <c r="D359" s="71">
        <v>45307.0</v>
      </c>
      <c r="E359" s="71">
        <v>45313.0</v>
      </c>
      <c r="F359" s="69">
        <v>1.76E7</v>
      </c>
      <c r="G359" s="69">
        <v>1.76E7</v>
      </c>
      <c r="H359" s="69">
        <v>900000.0</v>
      </c>
      <c r="I359" s="69">
        <v>1.76E7</v>
      </c>
      <c r="J359" s="70">
        <f t="shared" si="9"/>
        <v>0.05113636364</v>
      </c>
    </row>
    <row r="360" ht="22.5" customHeight="1" outlineLevel="3">
      <c r="A360" s="66" t="s">
        <v>747</v>
      </c>
      <c r="B360" s="67" t="s">
        <v>748</v>
      </c>
      <c r="C360" s="67" t="s">
        <v>749</v>
      </c>
      <c r="D360" s="71">
        <v>45286.0</v>
      </c>
      <c r="E360" s="71">
        <v>45295.0</v>
      </c>
      <c r="F360" s="69">
        <v>1.19E7</v>
      </c>
      <c r="G360" s="69">
        <v>1.19E7</v>
      </c>
      <c r="H360" s="69">
        <v>7012076.666666667</v>
      </c>
      <c r="I360" s="69">
        <v>1.19E7</v>
      </c>
      <c r="J360" s="70">
        <f t="shared" si="9"/>
        <v>0.5892501401</v>
      </c>
    </row>
    <row r="361" ht="22.5" customHeight="1" outlineLevel="3">
      <c r="A361" s="66" t="s">
        <v>750</v>
      </c>
      <c r="B361" s="67" t="s">
        <v>751</v>
      </c>
      <c r="C361" s="67" t="s">
        <v>752</v>
      </c>
      <c r="D361" s="71">
        <v>45294.0</v>
      </c>
      <c r="E361" s="71">
        <v>45296.0</v>
      </c>
      <c r="F361" s="69">
        <v>1.9E7</v>
      </c>
      <c r="G361" s="69">
        <v>1.9E7</v>
      </c>
      <c r="H361" s="69">
        <v>8128888.888888888</v>
      </c>
      <c r="I361" s="69">
        <v>1.9E7</v>
      </c>
      <c r="J361" s="70">
        <f t="shared" si="9"/>
        <v>0.4278362573</v>
      </c>
    </row>
    <row r="362" ht="22.5" customHeight="1" outlineLevel="3">
      <c r="A362" s="66" t="s">
        <v>753</v>
      </c>
      <c r="B362" s="67" t="s">
        <v>754</v>
      </c>
      <c r="C362" s="67" t="s">
        <v>755</v>
      </c>
      <c r="D362" s="71">
        <v>45295.0</v>
      </c>
      <c r="E362" s="71">
        <v>45302.0</v>
      </c>
      <c r="F362" s="69">
        <v>3450000.0</v>
      </c>
      <c r="G362" s="69">
        <v>3450000.0</v>
      </c>
      <c r="H362" s="69">
        <v>395000.0</v>
      </c>
      <c r="I362" s="69">
        <v>3450000.0</v>
      </c>
      <c r="J362" s="70">
        <f t="shared" si="9"/>
        <v>0.1144927536</v>
      </c>
    </row>
    <row r="363" ht="22.5" customHeight="1" outlineLevel="3">
      <c r="A363" s="66" t="s">
        <v>756</v>
      </c>
      <c r="B363" s="67" t="s">
        <v>757</v>
      </c>
      <c r="C363" s="67" t="s">
        <v>758</v>
      </c>
      <c r="D363" s="71">
        <v>45299.0</v>
      </c>
      <c r="E363" s="71">
        <v>45301.0</v>
      </c>
      <c r="F363" s="69">
        <v>1.54224E8</v>
      </c>
      <c r="G363" s="69">
        <v>1.54224E8</v>
      </c>
      <c r="H363" s="69">
        <v>5.21444E7</v>
      </c>
      <c r="I363" s="69">
        <v>1.54224E8</v>
      </c>
      <c r="J363" s="70">
        <f t="shared" si="9"/>
        <v>0.3381082062</v>
      </c>
    </row>
    <row r="364" ht="22.5" customHeight="1" outlineLevel="3">
      <c r="A364" s="66" t="s">
        <v>759</v>
      </c>
      <c r="B364" s="67" t="s">
        <v>760</v>
      </c>
      <c r="C364" s="67" t="s">
        <v>761</v>
      </c>
      <c r="D364" s="71">
        <v>45278.0</v>
      </c>
      <c r="E364" s="71">
        <v>45313.0</v>
      </c>
      <c r="F364" s="69">
        <v>4200000.0</v>
      </c>
      <c r="G364" s="69">
        <v>4200000.0</v>
      </c>
      <c r="H364" s="69">
        <v>436446.0</v>
      </c>
      <c r="I364" s="69">
        <v>4200000.0</v>
      </c>
      <c r="J364" s="70">
        <f t="shared" si="9"/>
        <v>0.1039157143</v>
      </c>
    </row>
    <row r="365" ht="22.5" customHeight="1" outlineLevel="3">
      <c r="A365" s="66" t="s">
        <v>762</v>
      </c>
      <c r="B365" s="67" t="s">
        <v>763</v>
      </c>
      <c r="C365" s="67" t="s">
        <v>761</v>
      </c>
      <c r="D365" s="71">
        <v>45302.0</v>
      </c>
      <c r="E365" s="71">
        <v>45313.0</v>
      </c>
      <c r="F365" s="69">
        <v>1.19E7</v>
      </c>
      <c r="G365" s="69">
        <v>1.19E7</v>
      </c>
      <c r="H365" s="69">
        <v>4632076.666666667</v>
      </c>
      <c r="I365" s="69">
        <v>1.19E7</v>
      </c>
      <c r="J365" s="70">
        <f t="shared" si="9"/>
        <v>0.3892501401</v>
      </c>
    </row>
    <row r="366" ht="22.5" customHeight="1" outlineLevel="3">
      <c r="A366" s="66" t="s">
        <v>764</v>
      </c>
      <c r="B366" s="67" t="s">
        <v>765</v>
      </c>
      <c r="C366" s="67" t="s">
        <v>766</v>
      </c>
      <c r="D366" s="71">
        <v>45303.0</v>
      </c>
      <c r="E366" s="71">
        <v>45314.0</v>
      </c>
      <c r="F366" s="69">
        <v>3.17914E7</v>
      </c>
      <c r="G366" s="69">
        <v>3.17914E7</v>
      </c>
      <c r="H366" s="69">
        <v>2209400.0</v>
      </c>
      <c r="I366" s="69">
        <v>3.17914E7</v>
      </c>
      <c r="J366" s="70">
        <f t="shared" si="9"/>
        <v>0.06949678215</v>
      </c>
    </row>
    <row r="367" ht="22.5" customHeight="1" outlineLevel="3">
      <c r="A367" s="66" t="s">
        <v>767</v>
      </c>
      <c r="B367" s="67" t="s">
        <v>768</v>
      </c>
      <c r="C367" s="67" t="s">
        <v>758</v>
      </c>
      <c r="D367" s="71">
        <v>45313.0</v>
      </c>
      <c r="E367" s="71">
        <v>45316.0</v>
      </c>
      <c r="F367" s="69">
        <v>1.5496E7</v>
      </c>
      <c r="G367" s="69">
        <v>1.5496E7</v>
      </c>
      <c r="H367" s="69">
        <v>396000.0</v>
      </c>
      <c r="I367" s="69">
        <v>1.5496E7</v>
      </c>
      <c r="J367" s="70">
        <f t="shared" si="9"/>
        <v>0.02555498193</v>
      </c>
    </row>
    <row r="368" ht="22.5" customHeight="1" outlineLevel="3">
      <c r="A368" s="66" t="s">
        <v>769</v>
      </c>
      <c r="B368" s="67" t="s">
        <v>770</v>
      </c>
      <c r="C368" s="67" t="s">
        <v>771</v>
      </c>
      <c r="D368" s="71">
        <v>45309.0</v>
      </c>
      <c r="E368" s="71">
        <v>45327.0</v>
      </c>
      <c r="F368" s="69">
        <v>1.288337E9</v>
      </c>
      <c r="G368" s="69">
        <v>1.288337E9</v>
      </c>
      <c r="H368" s="69">
        <v>3.4337E7</v>
      </c>
      <c r="I368" s="69">
        <v>1.288337E9</v>
      </c>
      <c r="J368" s="70">
        <f t="shared" si="9"/>
        <v>0.02665218805</v>
      </c>
    </row>
    <row r="369" ht="22.5" customHeight="1" outlineLevel="3">
      <c r="A369" s="66" t="s">
        <v>772</v>
      </c>
      <c r="B369" s="67" t="s">
        <v>773</v>
      </c>
      <c r="C369" s="67" t="s">
        <v>774</v>
      </c>
      <c r="D369" s="71">
        <v>45314.0</v>
      </c>
      <c r="E369" s="71">
        <v>45317.0</v>
      </c>
      <c r="F369" s="69">
        <v>6.36E7</v>
      </c>
      <c r="G369" s="69">
        <v>6.36E7</v>
      </c>
      <c r="H369" s="69">
        <v>2.3379377777777776E7</v>
      </c>
      <c r="I369" s="69">
        <v>6.36E7</v>
      </c>
      <c r="J369" s="70">
        <f t="shared" si="9"/>
        <v>0.3676002795</v>
      </c>
    </row>
    <row r="370" ht="22.5" customHeight="1" outlineLevel="3">
      <c r="A370" s="66" t="s">
        <v>775</v>
      </c>
      <c r="B370" s="67" t="s">
        <v>776</v>
      </c>
      <c r="C370" s="67" t="s">
        <v>777</v>
      </c>
      <c r="D370" s="71">
        <v>45310.0</v>
      </c>
      <c r="E370" s="71">
        <v>45328.0</v>
      </c>
      <c r="F370" s="69">
        <v>4.738E7</v>
      </c>
      <c r="G370" s="69">
        <v>4.738E7</v>
      </c>
      <c r="H370" s="69">
        <v>3880000.0</v>
      </c>
      <c r="I370" s="69">
        <v>4.738E7</v>
      </c>
      <c r="J370" s="70">
        <f t="shared" si="9"/>
        <v>0.08189109329</v>
      </c>
    </row>
    <row r="371" ht="22.5" customHeight="1" outlineLevel="3">
      <c r="A371" s="66" t="s">
        <v>778</v>
      </c>
      <c r="B371" s="67" t="s">
        <v>779</v>
      </c>
      <c r="C371" s="67" t="s">
        <v>771</v>
      </c>
      <c r="D371" s="71">
        <v>45315.0</v>
      </c>
      <c r="E371" s="71">
        <v>45342.0</v>
      </c>
      <c r="F371" s="69">
        <v>5.5E7</v>
      </c>
      <c r="G371" s="69">
        <v>5.5E7</v>
      </c>
      <c r="H371" s="69">
        <v>5650000.0</v>
      </c>
      <c r="I371" s="69">
        <v>5.5E7</v>
      </c>
      <c r="J371" s="70">
        <f t="shared" si="9"/>
        <v>0.1027272727</v>
      </c>
    </row>
    <row r="372" ht="22.5" customHeight="1" outlineLevel="3">
      <c r="A372" s="66" t="s">
        <v>780</v>
      </c>
      <c r="B372" s="67" t="s">
        <v>781</v>
      </c>
      <c r="C372" s="67" t="s">
        <v>782</v>
      </c>
      <c r="D372" s="71">
        <v>45315.0</v>
      </c>
      <c r="E372" s="71">
        <v>45364.0</v>
      </c>
      <c r="F372" s="69">
        <v>4.36356E7</v>
      </c>
      <c r="G372" s="69">
        <v>4.36356E7</v>
      </c>
      <c r="H372" s="69">
        <v>2346284.599999994</v>
      </c>
      <c r="I372" s="69">
        <v>4.36356E7</v>
      </c>
      <c r="J372" s="70">
        <f t="shared" si="9"/>
        <v>0.05376996306</v>
      </c>
    </row>
    <row r="373" ht="22.5" customHeight="1" outlineLevel="3">
      <c r="A373" s="66" t="s">
        <v>783</v>
      </c>
      <c r="B373" s="67" t="s">
        <v>784</v>
      </c>
      <c r="C373" s="67" t="s">
        <v>785</v>
      </c>
      <c r="D373" s="71">
        <v>45316.0</v>
      </c>
      <c r="E373" s="71">
        <v>45380.0</v>
      </c>
      <c r="F373" s="69">
        <v>6.477375E7</v>
      </c>
      <c r="G373" s="69">
        <v>6.477375E7</v>
      </c>
      <c r="H373" s="69">
        <v>4580490.1504999995</v>
      </c>
      <c r="I373" s="69">
        <v>6.477375E7</v>
      </c>
      <c r="J373" s="70">
        <f t="shared" si="9"/>
        <v>0.07071522261</v>
      </c>
    </row>
    <row r="374" ht="22.5" customHeight="1" outlineLevel="3">
      <c r="A374" s="66" t="s">
        <v>786</v>
      </c>
      <c r="B374" s="67" t="s">
        <v>787</v>
      </c>
      <c r="C374" s="67" t="s">
        <v>788</v>
      </c>
      <c r="D374" s="71">
        <v>45317.0</v>
      </c>
      <c r="E374" s="71">
        <v>45323.0</v>
      </c>
      <c r="F374" s="69">
        <v>1.98576E8</v>
      </c>
      <c r="G374" s="69">
        <v>1.98576E8</v>
      </c>
      <c r="H374" s="69">
        <v>5523360.0</v>
      </c>
      <c r="I374" s="69">
        <v>1.98576E8</v>
      </c>
      <c r="J374" s="70">
        <f t="shared" si="9"/>
        <v>0.02781484167</v>
      </c>
    </row>
    <row r="375" ht="22.5" customHeight="1" outlineLevel="3">
      <c r="A375" s="66" t="s">
        <v>789</v>
      </c>
      <c r="B375" s="67" t="s">
        <v>790</v>
      </c>
      <c r="C375" s="67" t="s">
        <v>791</v>
      </c>
      <c r="D375" s="71">
        <v>45317.0</v>
      </c>
      <c r="E375" s="71">
        <v>45341.0</v>
      </c>
      <c r="F375" s="69">
        <v>1.06866E8</v>
      </c>
      <c r="G375" s="69">
        <v>1.06866E8</v>
      </c>
      <c r="H375" s="69">
        <v>5796000.0</v>
      </c>
      <c r="I375" s="69">
        <v>1.06866E8</v>
      </c>
      <c r="J375" s="70">
        <f t="shared" si="9"/>
        <v>0.0542361462</v>
      </c>
    </row>
    <row r="376" ht="22.5" customHeight="1" outlineLevel="3">
      <c r="A376" s="66" t="s">
        <v>792</v>
      </c>
      <c r="B376" s="67" t="s">
        <v>793</v>
      </c>
      <c r="C376" s="67" t="s">
        <v>758</v>
      </c>
      <c r="D376" s="71">
        <v>45315.0</v>
      </c>
      <c r="E376" s="71">
        <v>45320.0</v>
      </c>
      <c r="F376" s="69">
        <v>1.596E7</v>
      </c>
      <c r="G376" s="69">
        <v>1.596E7</v>
      </c>
      <c r="H376" s="69">
        <v>860000.0</v>
      </c>
      <c r="I376" s="69">
        <v>1.596E7</v>
      </c>
      <c r="J376" s="70">
        <f t="shared" si="9"/>
        <v>0.05388471178</v>
      </c>
    </row>
    <row r="377" ht="22.5" customHeight="1" outlineLevel="3">
      <c r="A377" s="66" t="s">
        <v>794</v>
      </c>
      <c r="B377" s="67" t="s">
        <v>795</v>
      </c>
      <c r="C377" s="67" t="s">
        <v>796</v>
      </c>
      <c r="D377" s="71">
        <v>45316.0</v>
      </c>
      <c r="E377" s="71">
        <v>45321.0</v>
      </c>
      <c r="F377" s="69">
        <v>3222000.0</v>
      </c>
      <c r="G377" s="69">
        <v>3222000.0</v>
      </c>
      <c r="H377" s="69">
        <v>264000.0</v>
      </c>
      <c r="I377" s="69">
        <v>3222000.0</v>
      </c>
      <c r="J377" s="70">
        <f t="shared" si="9"/>
        <v>0.08193668529</v>
      </c>
    </row>
    <row r="378" ht="22.5" customHeight="1" outlineLevel="3">
      <c r="A378" s="66" t="s">
        <v>797</v>
      </c>
      <c r="B378" s="67" t="s">
        <v>798</v>
      </c>
      <c r="C378" s="67" t="s">
        <v>755</v>
      </c>
      <c r="D378" s="71">
        <v>45315.0</v>
      </c>
      <c r="E378" s="71">
        <v>45320.0</v>
      </c>
      <c r="F378" s="69">
        <v>9000000.0</v>
      </c>
      <c r="G378" s="69">
        <v>9000000.0</v>
      </c>
      <c r="H378" s="69">
        <v>248500.0</v>
      </c>
      <c r="I378" s="69">
        <v>9000000.0</v>
      </c>
      <c r="J378" s="70">
        <f t="shared" si="9"/>
        <v>0.02761111111</v>
      </c>
    </row>
    <row r="379" ht="22.5" customHeight="1" outlineLevel="3">
      <c r="A379" s="66" t="s">
        <v>799</v>
      </c>
      <c r="B379" s="67" t="s">
        <v>800</v>
      </c>
      <c r="C379" s="67" t="s">
        <v>801</v>
      </c>
      <c r="D379" s="71">
        <v>45315.0</v>
      </c>
      <c r="E379" s="71">
        <v>45324.0</v>
      </c>
      <c r="F379" s="69">
        <v>1.71E7</v>
      </c>
      <c r="G379" s="69">
        <v>1.71E7</v>
      </c>
      <c r="H379" s="69">
        <v>900000.0</v>
      </c>
      <c r="I379" s="69">
        <v>1.71E7</v>
      </c>
      <c r="J379" s="70">
        <f t="shared" si="9"/>
        <v>0.05263157895</v>
      </c>
    </row>
    <row r="380" ht="22.5" customHeight="1" outlineLevel="3">
      <c r="A380" s="66" t="s">
        <v>802</v>
      </c>
      <c r="B380" s="67" t="s">
        <v>803</v>
      </c>
      <c r="C380" s="67" t="s">
        <v>804</v>
      </c>
      <c r="D380" s="71">
        <v>45316.0</v>
      </c>
      <c r="E380" s="71">
        <v>45321.0</v>
      </c>
      <c r="F380" s="69">
        <v>2.7525E7</v>
      </c>
      <c r="G380" s="69">
        <v>2.7525E7</v>
      </c>
      <c r="H380" s="69">
        <v>7112400.0</v>
      </c>
      <c r="I380" s="69">
        <v>2.7525E7</v>
      </c>
      <c r="J380" s="70">
        <f t="shared" si="9"/>
        <v>0.2583978202</v>
      </c>
    </row>
    <row r="381" ht="22.5" customHeight="1" outlineLevel="3">
      <c r="A381" s="66" t="s">
        <v>805</v>
      </c>
      <c r="B381" s="67" t="s">
        <v>806</v>
      </c>
      <c r="C381" s="67" t="s">
        <v>807</v>
      </c>
      <c r="D381" s="71">
        <v>45320.0</v>
      </c>
      <c r="E381" s="71">
        <v>45328.0</v>
      </c>
      <c r="F381" s="69">
        <v>3.77575E7</v>
      </c>
      <c r="G381" s="69">
        <v>3.77575E7</v>
      </c>
      <c r="H381" s="69">
        <v>2042500.0</v>
      </c>
      <c r="I381" s="69">
        <v>3.77575E7</v>
      </c>
      <c r="J381" s="70">
        <f t="shared" si="9"/>
        <v>0.05409521287</v>
      </c>
    </row>
    <row r="382" ht="22.5" customHeight="1" outlineLevel="3">
      <c r="A382" s="66" t="s">
        <v>808</v>
      </c>
      <c r="B382" s="67" t="s">
        <v>809</v>
      </c>
      <c r="C382" s="67" t="s">
        <v>735</v>
      </c>
      <c r="D382" s="71">
        <v>45322.0</v>
      </c>
      <c r="E382" s="71">
        <v>45355.0</v>
      </c>
      <c r="F382" s="69">
        <v>1.05E8</v>
      </c>
      <c r="G382" s="69">
        <v>1.05E8</v>
      </c>
      <c r="H382" s="69">
        <v>3.985008125E7</v>
      </c>
      <c r="I382" s="69">
        <v>1.05E8</v>
      </c>
      <c r="J382" s="70">
        <f t="shared" si="9"/>
        <v>0.3795245833</v>
      </c>
    </row>
    <row r="383" ht="22.5" customHeight="1" outlineLevel="3">
      <c r="A383" s="66" t="s">
        <v>810</v>
      </c>
      <c r="B383" s="67" t="s">
        <v>811</v>
      </c>
      <c r="C383" s="67" t="s">
        <v>735</v>
      </c>
      <c r="D383" s="71">
        <v>45322.0</v>
      </c>
      <c r="E383" s="71">
        <v>45355.0</v>
      </c>
      <c r="F383" s="69">
        <v>6.794625E7</v>
      </c>
      <c r="G383" s="69">
        <v>6.794625E7</v>
      </c>
      <c r="H383" s="69">
        <v>1.178730625E7</v>
      </c>
      <c r="I383" s="69">
        <v>6.794625E7</v>
      </c>
      <c r="J383" s="70">
        <f t="shared" si="9"/>
        <v>0.1734798646</v>
      </c>
    </row>
    <row r="384" ht="22.5" customHeight="1" outlineLevel="3">
      <c r="A384" s="66" t="s">
        <v>812</v>
      </c>
      <c r="B384" s="67" t="s">
        <v>813</v>
      </c>
      <c r="C384" s="67" t="s">
        <v>814</v>
      </c>
      <c r="D384" s="71">
        <v>45328.0</v>
      </c>
      <c r="E384" s="71">
        <v>45357.0</v>
      </c>
      <c r="F384" s="69">
        <v>2.730938E8</v>
      </c>
      <c r="G384" s="69">
        <v>2.730938E8</v>
      </c>
      <c r="H384" s="69">
        <v>1.09656175E8</v>
      </c>
      <c r="I384" s="69">
        <v>2.730938E8</v>
      </c>
      <c r="J384" s="70">
        <f t="shared" si="9"/>
        <v>0.4015330081</v>
      </c>
    </row>
    <row r="385" ht="22.5" customHeight="1" outlineLevel="3">
      <c r="A385" s="66" t="s">
        <v>815</v>
      </c>
      <c r="B385" s="67" t="s">
        <v>816</v>
      </c>
      <c r="C385" s="67" t="s">
        <v>817</v>
      </c>
      <c r="D385" s="71">
        <v>45342.0</v>
      </c>
      <c r="E385" s="71">
        <v>45343.0</v>
      </c>
      <c r="F385" s="69">
        <v>1.46E7</v>
      </c>
      <c r="G385" s="69">
        <v>1.46E7</v>
      </c>
      <c r="H385" s="69">
        <v>8080000.0</v>
      </c>
      <c r="I385" s="69">
        <v>1.46E7</v>
      </c>
      <c r="J385" s="70">
        <f t="shared" si="9"/>
        <v>0.5534246575</v>
      </c>
    </row>
    <row r="386" ht="22.5" customHeight="1" outlineLevel="3">
      <c r="A386" s="66" t="s">
        <v>818</v>
      </c>
      <c r="B386" s="67" t="s">
        <v>819</v>
      </c>
      <c r="C386" s="67" t="s">
        <v>814</v>
      </c>
      <c r="D386" s="71">
        <v>45342.0</v>
      </c>
      <c r="E386" s="71">
        <v>45349.0</v>
      </c>
      <c r="F386" s="69">
        <v>7098000.0</v>
      </c>
      <c r="G386" s="69">
        <v>7098000.0</v>
      </c>
      <c r="H386" s="69">
        <v>338000.0</v>
      </c>
      <c r="I386" s="69">
        <v>7098000.0</v>
      </c>
      <c r="J386" s="70">
        <f t="shared" si="9"/>
        <v>0.04761904762</v>
      </c>
    </row>
    <row r="387" ht="22.5" customHeight="1" outlineLevel="3">
      <c r="A387" s="66" t="s">
        <v>820</v>
      </c>
      <c r="B387" s="67" t="s">
        <v>821</v>
      </c>
      <c r="C387" s="67" t="s">
        <v>822</v>
      </c>
      <c r="D387" s="71">
        <v>45343.0</v>
      </c>
      <c r="E387" s="71">
        <v>45348.0</v>
      </c>
      <c r="F387" s="69">
        <v>3222000.0</v>
      </c>
      <c r="G387" s="69">
        <v>3222000.0</v>
      </c>
      <c r="H387" s="69">
        <v>264000.0</v>
      </c>
      <c r="I387" s="69">
        <v>3222000.0</v>
      </c>
      <c r="J387" s="70">
        <f t="shared" si="9"/>
        <v>0.08193668529</v>
      </c>
    </row>
    <row r="388" ht="22.5" customHeight="1" outlineLevel="3">
      <c r="A388" s="66" t="s">
        <v>823</v>
      </c>
      <c r="B388" s="67" t="s">
        <v>824</v>
      </c>
      <c r="C388" s="67" t="s">
        <v>825</v>
      </c>
      <c r="D388" s="71">
        <v>45342.0</v>
      </c>
      <c r="E388" s="71">
        <v>45350.0</v>
      </c>
      <c r="F388" s="69">
        <v>2.445E7</v>
      </c>
      <c r="G388" s="69">
        <v>2.445E7</v>
      </c>
      <c r="H388" s="69">
        <v>1383000.0</v>
      </c>
      <c r="I388" s="69">
        <v>2.445E7</v>
      </c>
      <c r="J388" s="70">
        <f t="shared" si="9"/>
        <v>0.05656441718</v>
      </c>
    </row>
    <row r="389" ht="22.5" customHeight="1" outlineLevel="3">
      <c r="A389" s="66" t="s">
        <v>826</v>
      </c>
      <c r="B389" s="67" t="s">
        <v>827</v>
      </c>
      <c r="C389" s="67" t="s">
        <v>825</v>
      </c>
      <c r="D389" s="71">
        <v>45345.0</v>
      </c>
      <c r="E389" s="71">
        <v>45350.0</v>
      </c>
      <c r="F389" s="69">
        <v>1.1305E7</v>
      </c>
      <c r="G389" s="69">
        <v>1.1305E7</v>
      </c>
      <c r="H389" s="69">
        <v>5957778.0</v>
      </c>
      <c r="I389" s="69">
        <v>1.1305E7</v>
      </c>
      <c r="J389" s="70">
        <f t="shared" si="9"/>
        <v>0.5270038036</v>
      </c>
    </row>
    <row r="390" ht="22.5" customHeight="1" outlineLevel="3">
      <c r="A390" s="66" t="s">
        <v>828</v>
      </c>
      <c r="B390" s="67" t="s">
        <v>829</v>
      </c>
      <c r="C390" s="67" t="s">
        <v>830</v>
      </c>
      <c r="D390" s="71">
        <v>45345.0</v>
      </c>
      <c r="E390" s="71">
        <v>45377.0</v>
      </c>
      <c r="F390" s="69">
        <v>3375000.0</v>
      </c>
      <c r="G390" s="69">
        <v>3375000.0</v>
      </c>
      <c r="H390" s="69">
        <v>100000.0</v>
      </c>
      <c r="I390" s="69">
        <v>3375000.0</v>
      </c>
      <c r="J390" s="70">
        <f t="shared" si="9"/>
        <v>0.02962962963</v>
      </c>
    </row>
    <row r="391" ht="22.5" customHeight="1" outlineLevel="3">
      <c r="A391" s="66" t="s">
        <v>831</v>
      </c>
      <c r="B391" s="67" t="s">
        <v>832</v>
      </c>
      <c r="C391" s="67" t="s">
        <v>833</v>
      </c>
      <c r="D391" s="71">
        <v>45345.0</v>
      </c>
      <c r="E391" s="71">
        <v>45379.0</v>
      </c>
      <c r="F391" s="69">
        <v>8.5823E8</v>
      </c>
      <c r="G391" s="69">
        <v>8.5823E8</v>
      </c>
      <c r="H391" s="69">
        <v>3.8236E7</v>
      </c>
      <c r="I391" s="69">
        <v>8.5823E8</v>
      </c>
      <c r="J391" s="70">
        <f t="shared" si="9"/>
        <v>0.04455215968</v>
      </c>
    </row>
    <row r="392" ht="22.5" customHeight="1" outlineLevel="3">
      <c r="A392" s="66" t="s">
        <v>834</v>
      </c>
      <c r="B392" s="67" t="s">
        <v>835</v>
      </c>
      <c r="C392" s="67" t="s">
        <v>836</v>
      </c>
      <c r="D392" s="71">
        <v>45355.0</v>
      </c>
      <c r="E392" s="71">
        <v>45415.0</v>
      </c>
      <c r="F392" s="69">
        <v>1.53556E8</v>
      </c>
      <c r="G392" s="69">
        <v>1.53556E8</v>
      </c>
      <c r="H392" s="69">
        <v>7856000.0</v>
      </c>
      <c r="I392" s="69">
        <v>1.53556E8</v>
      </c>
      <c r="J392" s="70">
        <f t="shared" si="9"/>
        <v>0.05116048868</v>
      </c>
    </row>
    <row r="393" ht="22.5" customHeight="1" outlineLevel="3">
      <c r="A393" s="66" t="s">
        <v>837</v>
      </c>
      <c r="B393" s="67" t="s">
        <v>838</v>
      </c>
      <c r="C393" s="67" t="s">
        <v>839</v>
      </c>
      <c r="D393" s="71">
        <v>45355.0</v>
      </c>
      <c r="E393" s="71">
        <v>45358.0</v>
      </c>
      <c r="F393" s="69">
        <v>7.5808E7</v>
      </c>
      <c r="G393" s="69">
        <v>7.5808E7</v>
      </c>
      <c r="H393" s="69">
        <v>7337875.444444448</v>
      </c>
      <c r="I393" s="69">
        <v>7.5808E7</v>
      </c>
      <c r="J393" s="70">
        <f t="shared" si="9"/>
        <v>0.09679552876</v>
      </c>
    </row>
    <row r="394" ht="22.5" customHeight="1" outlineLevel="3">
      <c r="A394" s="66" t="s">
        <v>840</v>
      </c>
      <c r="B394" s="67" t="s">
        <v>841</v>
      </c>
      <c r="C394" s="67" t="s">
        <v>842</v>
      </c>
      <c r="D394" s="71">
        <v>45315.0</v>
      </c>
      <c r="E394" s="71">
        <v>45355.0</v>
      </c>
      <c r="F394" s="69">
        <v>6.477375E7</v>
      </c>
      <c r="G394" s="69">
        <v>6.477275E7</v>
      </c>
      <c r="H394" s="69">
        <v>6081250.0</v>
      </c>
      <c r="I394" s="69">
        <v>6.477375E7</v>
      </c>
      <c r="J394" s="70">
        <f t="shared" si="9"/>
        <v>0.09388593197</v>
      </c>
    </row>
    <row r="395" ht="22.5" customHeight="1" outlineLevel="3">
      <c r="A395" s="66" t="s">
        <v>843</v>
      </c>
      <c r="B395" s="67" t="s">
        <v>844</v>
      </c>
      <c r="C395" s="67" t="s">
        <v>755</v>
      </c>
      <c r="D395" s="71">
        <v>45349.0</v>
      </c>
      <c r="E395" s="71">
        <v>45364.0</v>
      </c>
      <c r="F395" s="69">
        <v>1.0285E8</v>
      </c>
      <c r="G395" s="69">
        <v>1.0285E8</v>
      </c>
      <c r="H395" s="69">
        <v>5164000.0</v>
      </c>
      <c r="I395" s="69">
        <v>1.0285E8</v>
      </c>
      <c r="J395" s="70">
        <f t="shared" si="9"/>
        <v>0.05020904229</v>
      </c>
    </row>
    <row r="396" ht="22.5" customHeight="1" outlineLevel="3">
      <c r="A396" s="66" t="s">
        <v>845</v>
      </c>
      <c r="B396" s="67" t="s">
        <v>846</v>
      </c>
      <c r="C396" s="67" t="s">
        <v>847</v>
      </c>
      <c r="D396" s="71">
        <v>45350.0</v>
      </c>
      <c r="E396" s="71">
        <v>45359.0</v>
      </c>
      <c r="F396" s="69">
        <v>2800000.0</v>
      </c>
      <c r="G396" s="69">
        <v>2800000.0</v>
      </c>
      <c r="H396" s="69">
        <v>355555.5555555555</v>
      </c>
      <c r="I396" s="69">
        <v>2800000.0</v>
      </c>
      <c r="J396" s="70">
        <f t="shared" si="9"/>
        <v>0.126984127</v>
      </c>
    </row>
    <row r="397" ht="22.5" customHeight="1" outlineLevel="3">
      <c r="A397" s="66" t="s">
        <v>848</v>
      </c>
      <c r="B397" s="67" t="s">
        <v>849</v>
      </c>
      <c r="C397" s="67" t="s">
        <v>850</v>
      </c>
      <c r="D397" s="71">
        <v>45349.0</v>
      </c>
      <c r="E397" s="71">
        <v>45362.0</v>
      </c>
      <c r="F397" s="69">
        <v>1.005E7</v>
      </c>
      <c r="G397" s="69">
        <v>1.005E7</v>
      </c>
      <c r="H397" s="69">
        <v>1469000.0</v>
      </c>
      <c r="I397" s="69">
        <v>1.005E7</v>
      </c>
      <c r="J397" s="70">
        <f t="shared" si="9"/>
        <v>0.1461691542</v>
      </c>
    </row>
    <row r="398" ht="22.5" customHeight="1" outlineLevel="3">
      <c r="A398" s="66" t="s">
        <v>851</v>
      </c>
      <c r="B398" s="67" t="s">
        <v>852</v>
      </c>
      <c r="C398" s="67" t="s">
        <v>853</v>
      </c>
      <c r="D398" s="71">
        <v>45355.0</v>
      </c>
      <c r="E398" s="71">
        <v>45370.0</v>
      </c>
      <c r="F398" s="69">
        <v>1.9557E8</v>
      </c>
      <c r="G398" s="69">
        <v>1.9557E8</v>
      </c>
      <c r="H398" s="69">
        <v>4370000.0</v>
      </c>
      <c r="I398" s="69">
        <v>1.9557E8</v>
      </c>
      <c r="J398" s="70">
        <f t="shared" si="9"/>
        <v>0.02234494043</v>
      </c>
    </row>
    <row r="399" ht="22.5" customHeight="1" outlineLevel="3">
      <c r="A399" s="66" t="s">
        <v>854</v>
      </c>
      <c r="B399" s="67" t="s">
        <v>855</v>
      </c>
      <c r="C399" s="67" t="s">
        <v>807</v>
      </c>
      <c r="D399" s="71">
        <v>45357.0</v>
      </c>
      <c r="E399" s="71">
        <v>45384.0</v>
      </c>
      <c r="F399" s="69">
        <v>5.817035E8</v>
      </c>
      <c r="G399" s="69">
        <v>5.817035E8</v>
      </c>
      <c r="H399" s="69">
        <v>8.3068341875E7</v>
      </c>
      <c r="I399" s="69">
        <v>5.817035E8</v>
      </c>
      <c r="J399" s="70">
        <f t="shared" si="9"/>
        <v>0.1428018602</v>
      </c>
    </row>
    <row r="400" ht="22.5" customHeight="1" outlineLevel="3">
      <c r="A400" s="66" t="s">
        <v>856</v>
      </c>
      <c r="B400" s="67" t="s">
        <v>857</v>
      </c>
      <c r="C400" s="67" t="s">
        <v>858</v>
      </c>
      <c r="D400" s="71">
        <v>45362.0</v>
      </c>
      <c r="E400" s="71">
        <v>45408.0</v>
      </c>
      <c r="F400" s="69">
        <v>1.59E7</v>
      </c>
      <c r="G400" s="69">
        <v>1.59E7</v>
      </c>
      <c r="H400" s="69">
        <v>5024163.666666668</v>
      </c>
      <c r="I400" s="69">
        <v>1.59E7</v>
      </c>
      <c r="J400" s="70">
        <f t="shared" si="9"/>
        <v>0.3159851363</v>
      </c>
    </row>
    <row r="401" ht="22.5" customHeight="1" outlineLevel="3">
      <c r="A401" s="66" t="s">
        <v>859</v>
      </c>
      <c r="B401" s="67" t="s">
        <v>860</v>
      </c>
      <c r="C401" s="67" t="s">
        <v>861</v>
      </c>
      <c r="D401" s="71">
        <v>45357.0</v>
      </c>
      <c r="E401" s="71">
        <v>45370.0</v>
      </c>
      <c r="F401" s="69">
        <v>1.6647E7</v>
      </c>
      <c r="G401" s="69">
        <v>1.6647E7</v>
      </c>
      <c r="H401" s="69">
        <v>1612000.0</v>
      </c>
      <c r="I401" s="69">
        <v>1.6647E7</v>
      </c>
      <c r="J401" s="70">
        <f t="shared" si="9"/>
        <v>0.09683426443</v>
      </c>
    </row>
    <row r="402" ht="22.5" customHeight="1" outlineLevel="3">
      <c r="A402" s="66" t="s">
        <v>862</v>
      </c>
      <c r="B402" s="67" t="s">
        <v>863</v>
      </c>
      <c r="C402" s="67" t="s">
        <v>740</v>
      </c>
      <c r="D402" s="71">
        <v>45362.0</v>
      </c>
      <c r="E402" s="71">
        <v>45392.0</v>
      </c>
      <c r="F402" s="69">
        <v>4.983516E8</v>
      </c>
      <c r="G402" s="69">
        <v>4.983516E8</v>
      </c>
      <c r="H402" s="69">
        <v>1.29555276005E8</v>
      </c>
      <c r="I402" s="69">
        <v>4.983516E8</v>
      </c>
      <c r="J402" s="70">
        <f t="shared" si="9"/>
        <v>0.2599676132</v>
      </c>
    </row>
    <row r="403" ht="22.5" customHeight="1" outlineLevel="3">
      <c r="A403" s="66" t="s">
        <v>864</v>
      </c>
      <c r="B403" s="67" t="s">
        <v>865</v>
      </c>
      <c r="C403" s="67" t="s">
        <v>866</v>
      </c>
      <c r="D403" s="71">
        <v>45362.0</v>
      </c>
      <c r="E403" s="71">
        <v>45383.0</v>
      </c>
      <c r="F403" s="69">
        <v>2.55E7</v>
      </c>
      <c r="G403" s="69">
        <v>2.55E7</v>
      </c>
      <c r="H403" s="69">
        <v>1452000.0</v>
      </c>
      <c r="I403" s="69">
        <v>2.55E7</v>
      </c>
      <c r="J403" s="70">
        <f t="shared" si="9"/>
        <v>0.05694117647</v>
      </c>
    </row>
    <row r="404" ht="22.5" customHeight="1" outlineLevel="3">
      <c r="A404" s="66" t="s">
        <v>867</v>
      </c>
      <c r="B404" s="67" t="s">
        <v>868</v>
      </c>
      <c r="C404" s="67" t="s">
        <v>869</v>
      </c>
      <c r="D404" s="71">
        <v>45362.0</v>
      </c>
      <c r="E404" s="71">
        <v>45366.0</v>
      </c>
      <c r="F404" s="69">
        <v>2.5E7</v>
      </c>
      <c r="G404" s="69">
        <v>2.5E7</v>
      </c>
      <c r="H404" s="69">
        <v>429000.0</v>
      </c>
      <c r="I404" s="69">
        <v>2.5E7</v>
      </c>
      <c r="J404" s="70">
        <f t="shared" si="9"/>
        <v>0.01716</v>
      </c>
    </row>
    <row r="405" ht="22.5" customHeight="1" outlineLevel="3">
      <c r="A405" s="66" t="s">
        <v>870</v>
      </c>
      <c r="B405" s="67" t="s">
        <v>871</v>
      </c>
      <c r="C405" s="67" t="s">
        <v>872</v>
      </c>
      <c r="D405" s="71">
        <v>45363.0</v>
      </c>
      <c r="E405" s="71">
        <v>45370.0</v>
      </c>
      <c r="F405" s="69">
        <v>8360000.0</v>
      </c>
      <c r="G405" s="69">
        <v>8360000.0</v>
      </c>
      <c r="H405" s="69">
        <v>820000.0</v>
      </c>
      <c r="I405" s="69">
        <v>8360000.0</v>
      </c>
      <c r="J405" s="70">
        <f t="shared" si="9"/>
        <v>0.0980861244</v>
      </c>
    </row>
    <row r="406" ht="22.5" customHeight="1" outlineLevel="3">
      <c r="A406" s="66" t="s">
        <v>873</v>
      </c>
      <c r="B406" s="67" t="s">
        <v>874</v>
      </c>
      <c r="C406" s="67" t="s">
        <v>875</v>
      </c>
      <c r="D406" s="71">
        <v>45352.0</v>
      </c>
      <c r="E406" s="71">
        <v>45363.0</v>
      </c>
      <c r="F406" s="69">
        <v>5.0058E7</v>
      </c>
      <c r="G406" s="69">
        <v>5.0058E7</v>
      </c>
      <c r="H406" s="69">
        <v>1.5458346666666668E7</v>
      </c>
      <c r="I406" s="69">
        <v>5.0058E7</v>
      </c>
      <c r="J406" s="70">
        <f t="shared" si="9"/>
        <v>0.3088087152</v>
      </c>
    </row>
    <row r="407" ht="22.5" customHeight="1" outlineLevel="3">
      <c r="A407" s="66" t="s">
        <v>876</v>
      </c>
      <c r="B407" s="67" t="s">
        <v>877</v>
      </c>
      <c r="C407" s="67" t="s">
        <v>878</v>
      </c>
      <c r="D407" s="71">
        <v>45362.0</v>
      </c>
      <c r="E407" s="71">
        <v>45371.0</v>
      </c>
      <c r="F407" s="69">
        <v>2.18E7</v>
      </c>
      <c r="G407" s="69">
        <v>2.18E7</v>
      </c>
      <c r="H407" s="69">
        <v>700000.0</v>
      </c>
      <c r="I407" s="69">
        <v>2.18E7</v>
      </c>
      <c r="J407" s="70">
        <f t="shared" si="9"/>
        <v>0.03211009174</v>
      </c>
    </row>
    <row r="408" ht="22.5" customHeight="1" outlineLevel="3">
      <c r="A408" s="66" t="s">
        <v>879</v>
      </c>
      <c r="B408" s="67" t="s">
        <v>880</v>
      </c>
      <c r="C408" s="67" t="s">
        <v>881</v>
      </c>
      <c r="D408" s="71">
        <v>45365.0</v>
      </c>
      <c r="E408" s="71">
        <v>45371.0</v>
      </c>
      <c r="F408" s="69">
        <v>1.19E7</v>
      </c>
      <c r="G408" s="69">
        <v>1.19E7</v>
      </c>
      <c r="H408" s="69">
        <v>5275000.0</v>
      </c>
      <c r="I408" s="69">
        <v>1.19E7</v>
      </c>
      <c r="J408" s="70">
        <f t="shared" si="9"/>
        <v>0.4432773109</v>
      </c>
    </row>
    <row r="409" ht="22.5" customHeight="1" outlineLevel="3">
      <c r="A409" s="66" t="s">
        <v>882</v>
      </c>
      <c r="B409" s="67" t="s">
        <v>880</v>
      </c>
      <c r="C409" s="67" t="s">
        <v>881</v>
      </c>
      <c r="D409" s="71">
        <v>45365.0</v>
      </c>
      <c r="E409" s="71">
        <v>45371.0</v>
      </c>
      <c r="F409" s="69">
        <v>1.19E7</v>
      </c>
      <c r="G409" s="69">
        <v>1.19E7</v>
      </c>
      <c r="H409" s="69">
        <v>5275000.0</v>
      </c>
      <c r="I409" s="69">
        <v>1.19E7</v>
      </c>
      <c r="J409" s="70">
        <f t="shared" si="9"/>
        <v>0.4432773109</v>
      </c>
    </row>
    <row r="410" ht="22.5" customHeight="1" outlineLevel="3">
      <c r="A410" s="66" t="s">
        <v>883</v>
      </c>
      <c r="B410" s="67" t="s">
        <v>880</v>
      </c>
      <c r="C410" s="67" t="s">
        <v>881</v>
      </c>
      <c r="D410" s="71">
        <v>45365.0</v>
      </c>
      <c r="E410" s="71">
        <v>45371.0</v>
      </c>
      <c r="F410" s="69">
        <v>1.19E7</v>
      </c>
      <c r="G410" s="69">
        <v>1.19E7</v>
      </c>
      <c r="H410" s="69">
        <v>5275000.0</v>
      </c>
      <c r="I410" s="69">
        <v>1.19E7</v>
      </c>
      <c r="J410" s="70">
        <f t="shared" si="9"/>
        <v>0.4432773109</v>
      </c>
    </row>
    <row r="411" ht="22.5" customHeight="1" outlineLevel="3">
      <c r="A411" s="66" t="s">
        <v>884</v>
      </c>
      <c r="B411" s="67" t="s">
        <v>885</v>
      </c>
      <c r="C411" s="67" t="s">
        <v>886</v>
      </c>
      <c r="D411" s="71">
        <v>45366.0</v>
      </c>
      <c r="E411" s="71">
        <v>45373.0</v>
      </c>
      <c r="F411" s="69">
        <v>6000000.0</v>
      </c>
      <c r="G411" s="69">
        <v>6000000.0</v>
      </c>
      <c r="H411" s="69">
        <v>390000.0</v>
      </c>
      <c r="I411" s="69">
        <v>6000000.0</v>
      </c>
      <c r="J411" s="70">
        <f t="shared" si="9"/>
        <v>0.065</v>
      </c>
    </row>
    <row r="412" ht="22.5" customHeight="1" outlineLevel="3">
      <c r="A412" s="66" t="s">
        <v>887</v>
      </c>
      <c r="B412" s="67" t="s">
        <v>888</v>
      </c>
      <c r="C412" s="67" t="s">
        <v>842</v>
      </c>
      <c r="D412" s="71">
        <v>45345.0</v>
      </c>
      <c r="E412" s="71">
        <v>45377.0</v>
      </c>
      <c r="F412" s="69">
        <v>4.2E7</v>
      </c>
      <c r="G412" s="69">
        <v>4.2E7</v>
      </c>
      <c r="H412" s="69">
        <v>2675000.0</v>
      </c>
      <c r="I412" s="69">
        <v>4.2E7</v>
      </c>
      <c r="J412" s="70">
        <f t="shared" si="9"/>
        <v>0.06369047619</v>
      </c>
    </row>
    <row r="413" ht="22.5" customHeight="1" outlineLevel="3">
      <c r="A413" s="66" t="s">
        <v>889</v>
      </c>
      <c r="B413" s="67" t="s">
        <v>890</v>
      </c>
      <c r="C413" s="67" t="s">
        <v>878</v>
      </c>
      <c r="D413" s="71">
        <v>45358.0</v>
      </c>
      <c r="E413" s="71">
        <v>45376.0</v>
      </c>
      <c r="F413" s="69">
        <v>4.36E7</v>
      </c>
      <c r="G413" s="69">
        <v>4.36E7</v>
      </c>
      <c r="H413" s="69">
        <v>2400000.0</v>
      </c>
      <c r="I413" s="69">
        <v>4.36E7</v>
      </c>
      <c r="J413" s="70">
        <f t="shared" si="9"/>
        <v>0.05504587156</v>
      </c>
    </row>
    <row r="414" ht="22.5" customHeight="1" outlineLevel="3">
      <c r="A414" s="66" t="s">
        <v>891</v>
      </c>
      <c r="B414" s="67" t="s">
        <v>892</v>
      </c>
      <c r="C414" s="67" t="s">
        <v>878</v>
      </c>
      <c r="D414" s="71">
        <v>45369.0</v>
      </c>
      <c r="E414" s="71">
        <v>45379.0</v>
      </c>
      <c r="F414" s="69">
        <v>1.045E8</v>
      </c>
      <c r="G414" s="69">
        <v>1.045E8</v>
      </c>
      <c r="H414" s="69">
        <v>5500000.0</v>
      </c>
      <c r="I414" s="69">
        <v>1.045E8</v>
      </c>
      <c r="J414" s="70">
        <f t="shared" si="9"/>
        <v>0.05263157895</v>
      </c>
    </row>
    <row r="415" ht="22.5" customHeight="1" outlineLevel="3">
      <c r="A415" s="66" t="s">
        <v>893</v>
      </c>
      <c r="B415" s="67" t="s">
        <v>894</v>
      </c>
      <c r="C415" s="67" t="s">
        <v>895</v>
      </c>
      <c r="D415" s="71">
        <v>45371.0</v>
      </c>
      <c r="E415" s="71">
        <v>45372.0</v>
      </c>
      <c r="F415" s="69">
        <v>2.8E7</v>
      </c>
      <c r="G415" s="69">
        <v>2.8E7</v>
      </c>
      <c r="H415" s="69">
        <v>9527778.0</v>
      </c>
      <c r="I415" s="69">
        <v>2.8E7</v>
      </c>
      <c r="J415" s="70">
        <f t="shared" si="9"/>
        <v>0.3402777857</v>
      </c>
    </row>
    <row r="416" ht="22.5" customHeight="1" outlineLevel="3">
      <c r="A416" s="66" t="s">
        <v>896</v>
      </c>
      <c r="B416" s="67" t="s">
        <v>877</v>
      </c>
      <c r="C416" s="67" t="s">
        <v>878</v>
      </c>
      <c r="D416" s="71">
        <v>45372.0</v>
      </c>
      <c r="E416" s="71">
        <v>45377.0</v>
      </c>
      <c r="F416" s="69">
        <v>2.18E7</v>
      </c>
      <c r="G416" s="69">
        <v>2.18E7</v>
      </c>
      <c r="H416" s="69">
        <v>1000000.0</v>
      </c>
      <c r="I416" s="69">
        <v>2.18E7</v>
      </c>
      <c r="J416" s="70">
        <f t="shared" si="9"/>
        <v>0.04587155963</v>
      </c>
    </row>
    <row r="417" ht="22.5" customHeight="1" outlineLevel="3">
      <c r="A417" s="66" t="s">
        <v>897</v>
      </c>
      <c r="B417" s="67" t="s">
        <v>898</v>
      </c>
      <c r="C417" s="67" t="s">
        <v>899</v>
      </c>
      <c r="D417" s="71">
        <v>45366.0</v>
      </c>
      <c r="E417" s="71">
        <v>45366.0</v>
      </c>
      <c r="F417" s="69">
        <v>3.9E7</v>
      </c>
      <c r="G417" s="69">
        <v>3.9E7</v>
      </c>
      <c r="H417" s="69">
        <v>1.525E7</v>
      </c>
      <c r="I417" s="69">
        <v>3.9E7</v>
      </c>
      <c r="J417" s="70">
        <f t="shared" si="9"/>
        <v>0.391025641</v>
      </c>
    </row>
    <row r="418" ht="22.5" customHeight="1" outlineLevel="3">
      <c r="A418" s="66" t="s">
        <v>900</v>
      </c>
      <c r="B418" s="67" t="s">
        <v>901</v>
      </c>
      <c r="C418" s="67" t="s">
        <v>902</v>
      </c>
      <c r="D418" s="71">
        <v>45366.0</v>
      </c>
      <c r="E418" s="71">
        <v>45399.0</v>
      </c>
      <c r="F418" s="69">
        <v>2.4125E7</v>
      </c>
      <c r="G418" s="69">
        <v>2.4125E7</v>
      </c>
      <c r="H418" s="69">
        <v>1.027584864E7</v>
      </c>
      <c r="I418" s="69">
        <v>2.4125E7</v>
      </c>
      <c r="J418" s="70">
        <f t="shared" si="9"/>
        <v>0.4259419125</v>
      </c>
    </row>
    <row r="419" ht="22.5" customHeight="1" outlineLevel="3">
      <c r="A419" s="66" t="s">
        <v>903</v>
      </c>
      <c r="B419" s="67" t="s">
        <v>904</v>
      </c>
      <c r="C419" s="67" t="s">
        <v>905</v>
      </c>
      <c r="D419" s="71">
        <v>45364.0</v>
      </c>
      <c r="E419" s="71">
        <v>45414.0</v>
      </c>
      <c r="F419" s="69">
        <v>1.971E8</v>
      </c>
      <c r="G419" s="69">
        <v>1.971E8</v>
      </c>
      <c r="H419" s="69">
        <v>4.1584475E7</v>
      </c>
      <c r="I419" s="69">
        <v>1.971E8</v>
      </c>
      <c r="J419" s="70">
        <f t="shared" si="9"/>
        <v>0.2109816083</v>
      </c>
    </row>
    <row r="420" ht="22.5" customHeight="1" outlineLevel="3">
      <c r="A420" s="66" t="s">
        <v>906</v>
      </c>
      <c r="B420" s="67" t="s">
        <v>907</v>
      </c>
      <c r="C420" s="67" t="s">
        <v>782</v>
      </c>
      <c r="D420" s="71">
        <v>45370.0</v>
      </c>
      <c r="E420" s="71">
        <v>45397.0</v>
      </c>
      <c r="F420" s="69">
        <v>1.07226E8</v>
      </c>
      <c r="G420" s="69">
        <v>1.07226E8</v>
      </c>
      <c r="H420" s="69">
        <v>4.526185816E7</v>
      </c>
      <c r="I420" s="69">
        <v>1.07226E8</v>
      </c>
      <c r="J420" s="70">
        <f t="shared" si="9"/>
        <v>0.4221164471</v>
      </c>
    </row>
    <row r="421" ht="22.5" customHeight="1" outlineLevel="3">
      <c r="A421" s="66" t="s">
        <v>908</v>
      </c>
      <c r="B421" s="67" t="s">
        <v>909</v>
      </c>
      <c r="C421" s="67" t="s">
        <v>881</v>
      </c>
      <c r="D421" s="71">
        <v>45371.0</v>
      </c>
      <c r="E421" s="71">
        <v>45372.0</v>
      </c>
      <c r="F421" s="69">
        <v>1.59E7</v>
      </c>
      <c r="G421" s="69">
        <v>1.59E7</v>
      </c>
      <c r="H421" s="69">
        <v>6212500.0</v>
      </c>
      <c r="I421" s="69">
        <v>1.59E7</v>
      </c>
      <c r="J421" s="70">
        <f t="shared" si="9"/>
        <v>0.3907232704</v>
      </c>
    </row>
    <row r="422" ht="22.5" customHeight="1" outlineLevel="3">
      <c r="A422" s="66" t="s">
        <v>910</v>
      </c>
      <c r="B422" s="67" t="s">
        <v>909</v>
      </c>
      <c r="C422" s="67" t="s">
        <v>881</v>
      </c>
      <c r="D422" s="71">
        <v>45371.0</v>
      </c>
      <c r="E422" s="71">
        <v>45372.0</v>
      </c>
      <c r="F422" s="69">
        <v>1.59E7</v>
      </c>
      <c r="G422" s="69">
        <v>1.59E7</v>
      </c>
      <c r="H422" s="69">
        <v>6212500.0</v>
      </c>
      <c r="I422" s="69">
        <v>1.59E7</v>
      </c>
      <c r="J422" s="70">
        <f t="shared" si="9"/>
        <v>0.3907232704</v>
      </c>
    </row>
    <row r="423" ht="22.5" customHeight="1" outlineLevel="3">
      <c r="A423" s="66" t="s">
        <v>911</v>
      </c>
      <c r="B423" s="67" t="s">
        <v>912</v>
      </c>
      <c r="C423" s="67" t="s">
        <v>913</v>
      </c>
      <c r="D423" s="71">
        <v>45376.0</v>
      </c>
      <c r="E423" s="71">
        <v>45380.0</v>
      </c>
      <c r="F423" s="69">
        <v>6040000.0</v>
      </c>
      <c r="G423" s="69">
        <v>6040000.0</v>
      </c>
      <c r="H423" s="69">
        <v>1290000.0</v>
      </c>
      <c r="I423" s="69">
        <v>6040000.0</v>
      </c>
      <c r="J423" s="70">
        <f t="shared" si="9"/>
        <v>0.2135761589</v>
      </c>
    </row>
    <row r="424" ht="22.5" customHeight="1" outlineLevel="3">
      <c r="A424" s="66" t="s">
        <v>914</v>
      </c>
      <c r="B424" s="67" t="s">
        <v>915</v>
      </c>
      <c r="C424" s="67" t="s">
        <v>766</v>
      </c>
      <c r="D424" s="71">
        <v>45378.0</v>
      </c>
      <c r="E424" s="71">
        <v>45393.0</v>
      </c>
      <c r="F424" s="69">
        <v>6.3036815E8</v>
      </c>
      <c r="G424" s="69">
        <v>6.3036815E8</v>
      </c>
      <c r="H424" s="69">
        <v>2.7843831367159986E8</v>
      </c>
      <c r="I424" s="69">
        <v>6.3036815E8</v>
      </c>
      <c r="J424" s="70">
        <f t="shared" si="9"/>
        <v>0.4417074588</v>
      </c>
    </row>
    <row r="425" ht="22.5" customHeight="1" outlineLevel="3">
      <c r="A425" s="66" t="s">
        <v>916</v>
      </c>
      <c r="B425" s="67" t="s">
        <v>917</v>
      </c>
      <c r="C425" s="67" t="s">
        <v>918</v>
      </c>
      <c r="D425" s="71">
        <v>45378.0</v>
      </c>
      <c r="E425" s="71">
        <v>45383.0</v>
      </c>
      <c r="F425" s="69">
        <v>7.2375E7</v>
      </c>
      <c r="G425" s="69">
        <v>7.2375E7</v>
      </c>
      <c r="H425" s="69">
        <v>1.65852754225E7</v>
      </c>
      <c r="I425" s="69">
        <v>7.2375E7</v>
      </c>
      <c r="J425" s="70">
        <f t="shared" si="9"/>
        <v>0.2291575188</v>
      </c>
    </row>
    <row r="426" ht="22.5" customHeight="1" outlineLevel="3">
      <c r="A426" s="66" t="s">
        <v>919</v>
      </c>
      <c r="B426" s="67" t="s">
        <v>920</v>
      </c>
      <c r="C426" s="67" t="s">
        <v>921</v>
      </c>
      <c r="D426" s="71">
        <v>45380.0</v>
      </c>
      <c r="E426" s="71">
        <v>45397.0</v>
      </c>
      <c r="F426" s="69">
        <v>1.4688E8</v>
      </c>
      <c r="G426" s="69">
        <v>1.4688E8</v>
      </c>
      <c r="H426" s="69">
        <v>3.500834747697368E7</v>
      </c>
      <c r="I426" s="69">
        <v>1.4688E8</v>
      </c>
      <c r="J426" s="70">
        <f t="shared" si="9"/>
        <v>0.2383465923</v>
      </c>
    </row>
    <row r="427" ht="22.5" customHeight="1" outlineLevel="3">
      <c r="A427" s="66" t="s">
        <v>922</v>
      </c>
      <c r="B427" s="67" t="s">
        <v>923</v>
      </c>
      <c r="C427" s="67" t="s">
        <v>924</v>
      </c>
      <c r="D427" s="71">
        <v>45369.0</v>
      </c>
      <c r="E427" s="71">
        <v>45377.0</v>
      </c>
      <c r="F427" s="69">
        <v>1.7E7</v>
      </c>
      <c r="G427" s="69">
        <v>1.7E7</v>
      </c>
      <c r="H427" s="69">
        <v>1700000.0</v>
      </c>
      <c r="I427" s="69">
        <v>1.7E7</v>
      </c>
      <c r="J427" s="70">
        <f t="shared" si="9"/>
        <v>0.1</v>
      </c>
    </row>
    <row r="428" ht="22.5" customHeight="1" outlineLevel="3">
      <c r="A428" s="66" t="s">
        <v>925</v>
      </c>
      <c r="B428" s="67" t="s">
        <v>926</v>
      </c>
      <c r="C428" s="67" t="s">
        <v>927</v>
      </c>
      <c r="D428" s="71">
        <v>45371.0</v>
      </c>
      <c r="E428" s="71">
        <v>45392.0</v>
      </c>
      <c r="F428" s="69">
        <v>5390000.0</v>
      </c>
      <c r="G428" s="69">
        <v>5390000.0</v>
      </c>
      <c r="H428" s="69">
        <v>490000.0</v>
      </c>
      <c r="I428" s="69">
        <v>5390000.0</v>
      </c>
      <c r="J428" s="70">
        <f t="shared" si="9"/>
        <v>0.09090909091</v>
      </c>
    </row>
    <row r="429" ht="22.5" customHeight="1" outlineLevel="3">
      <c r="A429" s="66" t="s">
        <v>928</v>
      </c>
      <c r="B429" s="67" t="s">
        <v>929</v>
      </c>
      <c r="C429" s="67" t="s">
        <v>930</v>
      </c>
      <c r="D429" s="71">
        <v>45401.0</v>
      </c>
      <c r="E429" s="71">
        <v>45407.0</v>
      </c>
      <c r="F429" s="69">
        <v>2.140068E8</v>
      </c>
      <c r="G429" s="69">
        <v>2.140068E8</v>
      </c>
      <c r="H429" s="69">
        <v>2.12268E7</v>
      </c>
      <c r="I429" s="69">
        <v>2.140068E8</v>
      </c>
      <c r="J429" s="70">
        <f t="shared" si="9"/>
        <v>0.09918750245</v>
      </c>
    </row>
    <row r="430" ht="22.5" customHeight="1" outlineLevel="3">
      <c r="A430" s="66" t="s">
        <v>931</v>
      </c>
      <c r="B430" s="67" t="s">
        <v>932</v>
      </c>
      <c r="C430" s="67" t="s">
        <v>924</v>
      </c>
      <c r="D430" s="71">
        <v>45384.0</v>
      </c>
      <c r="E430" s="71">
        <v>45392.0</v>
      </c>
      <c r="F430" s="69">
        <v>2.07018E8</v>
      </c>
      <c r="G430" s="69">
        <v>2.07018E8</v>
      </c>
      <c r="H430" s="69">
        <v>6.5229590633333325E7</v>
      </c>
      <c r="I430" s="69">
        <v>2.07018E8</v>
      </c>
      <c r="J430" s="70">
        <f t="shared" si="9"/>
        <v>0.3150913961</v>
      </c>
    </row>
    <row r="431" ht="22.5" customHeight="1" outlineLevel="3">
      <c r="A431" s="66" t="s">
        <v>933</v>
      </c>
      <c r="B431" s="67"/>
      <c r="C431" s="67" t="s">
        <v>934</v>
      </c>
      <c r="D431" s="71">
        <v>45383.0</v>
      </c>
      <c r="E431" s="71">
        <v>45383.0</v>
      </c>
      <c r="F431" s="69">
        <v>2.0944E7</v>
      </c>
      <c r="G431" s="69">
        <v>2.0944E7</v>
      </c>
      <c r="H431" s="69">
        <v>7444000.0</v>
      </c>
      <c r="I431" s="69">
        <v>2.0944E7</v>
      </c>
      <c r="J431" s="70">
        <f t="shared" si="9"/>
        <v>0.3554239878</v>
      </c>
    </row>
    <row r="432" ht="22.5" customHeight="1" outlineLevel="3">
      <c r="A432" s="66" t="s">
        <v>935</v>
      </c>
      <c r="B432" s="67" t="s">
        <v>776</v>
      </c>
      <c r="C432" s="67" t="s">
        <v>936</v>
      </c>
      <c r="D432" s="71">
        <v>45377.0</v>
      </c>
      <c r="E432" s="71">
        <v>45384.0</v>
      </c>
      <c r="F432" s="69">
        <v>4.9E7</v>
      </c>
      <c r="G432" s="69">
        <v>4.9E7</v>
      </c>
      <c r="H432" s="69">
        <v>3000000.0</v>
      </c>
      <c r="I432" s="69">
        <v>4.9E7</v>
      </c>
      <c r="J432" s="70">
        <f t="shared" si="9"/>
        <v>0.0612244898</v>
      </c>
    </row>
    <row r="433" ht="22.5" customHeight="1" outlineLevel="3">
      <c r="A433" s="66" t="s">
        <v>937</v>
      </c>
      <c r="B433" s="67" t="s">
        <v>938</v>
      </c>
      <c r="C433" s="67" t="s">
        <v>755</v>
      </c>
      <c r="D433" s="71">
        <v>45376.0</v>
      </c>
      <c r="E433" s="71">
        <v>45385.0</v>
      </c>
      <c r="F433" s="69">
        <v>3110000.0</v>
      </c>
      <c r="G433" s="69">
        <v>3110000.0</v>
      </c>
      <c r="H433" s="69">
        <v>410000.0</v>
      </c>
      <c r="I433" s="69">
        <v>3110000.0</v>
      </c>
      <c r="J433" s="70">
        <f t="shared" si="9"/>
        <v>0.1318327974</v>
      </c>
    </row>
    <row r="434" ht="22.5" customHeight="1" outlineLevel="3">
      <c r="A434" s="66" t="s">
        <v>939</v>
      </c>
      <c r="B434" s="67" t="s">
        <v>940</v>
      </c>
      <c r="C434" s="67" t="s">
        <v>941</v>
      </c>
      <c r="D434" s="71">
        <v>45356.0</v>
      </c>
      <c r="E434" s="71">
        <v>45384.0</v>
      </c>
      <c r="F434" s="69">
        <v>1.59E7</v>
      </c>
      <c r="G434" s="69">
        <v>1.59E7</v>
      </c>
      <c r="H434" s="69">
        <v>9788888.888888888</v>
      </c>
      <c r="I434" s="69">
        <v>1.59E7</v>
      </c>
      <c r="J434" s="70">
        <f t="shared" si="9"/>
        <v>0.6156533892</v>
      </c>
    </row>
    <row r="435" ht="22.5" customHeight="1" outlineLevel="3">
      <c r="A435" s="66" t="s">
        <v>942</v>
      </c>
      <c r="B435" s="67" t="s">
        <v>943</v>
      </c>
      <c r="C435" s="67" t="s">
        <v>944</v>
      </c>
      <c r="D435" s="71">
        <v>45344.0</v>
      </c>
      <c r="E435" s="71">
        <v>45397.0</v>
      </c>
      <c r="F435" s="69">
        <v>8100000.0</v>
      </c>
      <c r="G435" s="69">
        <v>8100000.0</v>
      </c>
      <c r="H435" s="69">
        <v>500000.0</v>
      </c>
      <c r="I435" s="69">
        <v>8100000.0</v>
      </c>
      <c r="J435" s="70">
        <f t="shared" si="9"/>
        <v>0.06172839506</v>
      </c>
    </row>
    <row r="436" ht="22.5" customHeight="1" outlineLevel="3">
      <c r="A436" s="66" t="s">
        <v>945</v>
      </c>
      <c r="B436" s="67" t="s">
        <v>946</v>
      </c>
      <c r="C436" s="67" t="s">
        <v>947</v>
      </c>
      <c r="D436" s="71">
        <v>45383.0</v>
      </c>
      <c r="E436" s="71">
        <v>45384.0</v>
      </c>
      <c r="F436" s="69">
        <v>2.7E7</v>
      </c>
      <c r="G436" s="69">
        <v>2.7E7</v>
      </c>
      <c r="H436" s="69">
        <v>1.075E7</v>
      </c>
      <c r="I436" s="69">
        <v>2.7E7</v>
      </c>
      <c r="J436" s="70">
        <f t="shared" si="9"/>
        <v>0.3981481481</v>
      </c>
    </row>
    <row r="437" ht="22.5" customHeight="1" outlineLevel="3">
      <c r="A437" s="66" t="s">
        <v>948</v>
      </c>
      <c r="B437" s="67" t="s">
        <v>949</v>
      </c>
      <c r="C437" s="67" t="s">
        <v>950</v>
      </c>
      <c r="D437" s="71">
        <v>45345.0</v>
      </c>
      <c r="E437" s="71">
        <v>45386.0</v>
      </c>
      <c r="F437" s="69">
        <v>1.05875E7</v>
      </c>
      <c r="G437" s="69">
        <v>1.05875E7</v>
      </c>
      <c r="H437" s="69">
        <v>4441999.74</v>
      </c>
      <c r="I437" s="69">
        <v>1.05875E7</v>
      </c>
      <c r="J437" s="70">
        <f t="shared" si="9"/>
        <v>0.4195513332</v>
      </c>
    </row>
    <row r="438" ht="22.5" customHeight="1" outlineLevel="3">
      <c r="A438" s="66" t="s">
        <v>951</v>
      </c>
      <c r="B438" s="67" t="s">
        <v>952</v>
      </c>
      <c r="C438" s="67" t="s">
        <v>924</v>
      </c>
      <c r="D438" s="71">
        <v>45384.0</v>
      </c>
      <c r="E438" s="71">
        <v>45386.0</v>
      </c>
      <c r="F438" s="69">
        <v>2.04E7</v>
      </c>
      <c r="G438" s="69">
        <v>2.04E7</v>
      </c>
      <c r="H438" s="69">
        <v>2040000.0</v>
      </c>
      <c r="I438" s="69">
        <v>2.04E7</v>
      </c>
      <c r="J438" s="70">
        <f t="shared" si="9"/>
        <v>0.1</v>
      </c>
    </row>
    <row r="439" ht="22.5" customHeight="1" outlineLevel="3">
      <c r="A439" s="66" t="s">
        <v>953</v>
      </c>
      <c r="B439" s="67" t="s">
        <v>954</v>
      </c>
      <c r="C439" s="67" t="s">
        <v>934</v>
      </c>
      <c r="D439" s="71">
        <v>45386.0</v>
      </c>
      <c r="E439" s="71">
        <v>45392.0</v>
      </c>
      <c r="F439" s="69">
        <v>3.1416E7</v>
      </c>
      <c r="G439" s="69">
        <v>3.1416E7</v>
      </c>
      <c r="H439" s="69">
        <v>1.3666E7</v>
      </c>
      <c r="I439" s="69">
        <v>3.1416E7</v>
      </c>
      <c r="J439" s="70">
        <f t="shared" si="9"/>
        <v>0.4350012732</v>
      </c>
    </row>
    <row r="440" ht="22.5" customHeight="1" outlineLevel="3">
      <c r="A440" s="66" t="s">
        <v>955</v>
      </c>
      <c r="B440" s="67" t="s">
        <v>956</v>
      </c>
      <c r="C440" s="67" t="s">
        <v>766</v>
      </c>
      <c r="D440" s="71">
        <v>45383.0</v>
      </c>
      <c r="E440" s="71">
        <v>45392.0</v>
      </c>
      <c r="F440" s="69">
        <v>5.6525E7</v>
      </c>
      <c r="G440" s="69">
        <v>5.6525E7</v>
      </c>
      <c r="H440" s="69">
        <v>2.46705E7</v>
      </c>
      <c r="I440" s="69">
        <v>5.6525E7</v>
      </c>
      <c r="J440" s="70">
        <f t="shared" si="9"/>
        <v>0.4364528969</v>
      </c>
    </row>
    <row r="441" ht="22.5" customHeight="1" outlineLevel="3">
      <c r="A441" s="66" t="s">
        <v>957</v>
      </c>
      <c r="B441" s="67" t="s">
        <v>958</v>
      </c>
      <c r="C441" s="67" t="s">
        <v>766</v>
      </c>
      <c r="D441" s="71">
        <v>45386.0</v>
      </c>
      <c r="E441" s="71">
        <v>45408.0</v>
      </c>
      <c r="F441" s="69">
        <v>2.01024E7</v>
      </c>
      <c r="G441" s="69">
        <v>2.01024E7</v>
      </c>
      <c r="H441" s="69">
        <v>2055400.0</v>
      </c>
      <c r="I441" s="69">
        <v>2.01024E7</v>
      </c>
      <c r="J441" s="70">
        <f t="shared" si="9"/>
        <v>0.1022464979</v>
      </c>
    </row>
    <row r="442" ht="22.5" customHeight="1" outlineLevel="3">
      <c r="A442" s="66" t="s">
        <v>959</v>
      </c>
      <c r="B442" s="67" t="s">
        <v>960</v>
      </c>
      <c r="C442" s="67" t="s">
        <v>961</v>
      </c>
      <c r="D442" s="71">
        <v>45392.0</v>
      </c>
      <c r="E442" s="71">
        <v>45397.0</v>
      </c>
      <c r="F442" s="69">
        <v>1.14E7</v>
      </c>
      <c r="G442" s="69">
        <v>1.14E7</v>
      </c>
      <c r="H442" s="69">
        <v>6318837.833333333</v>
      </c>
      <c r="I442" s="69">
        <v>1.14E7</v>
      </c>
      <c r="J442" s="70">
        <f t="shared" si="9"/>
        <v>0.5542840205</v>
      </c>
    </row>
    <row r="443" ht="22.5" customHeight="1" outlineLevel="3">
      <c r="A443" s="66" t="s">
        <v>962</v>
      </c>
      <c r="B443" s="67" t="s">
        <v>963</v>
      </c>
      <c r="C443" s="67" t="s">
        <v>964</v>
      </c>
      <c r="D443" s="71">
        <v>45387.0</v>
      </c>
      <c r="E443" s="71">
        <v>45406.0</v>
      </c>
      <c r="F443" s="69">
        <v>6.7375E7</v>
      </c>
      <c r="G443" s="69">
        <v>6.7375E7</v>
      </c>
      <c r="H443" s="69">
        <v>1.2840428887500003E7</v>
      </c>
      <c r="I443" s="69">
        <v>6.7375E7</v>
      </c>
      <c r="J443" s="70">
        <f t="shared" si="9"/>
        <v>0.1905815048</v>
      </c>
    </row>
    <row r="444" ht="22.5" customHeight="1" outlineLevel="3">
      <c r="A444" s="66" t="s">
        <v>965</v>
      </c>
      <c r="B444" s="67" t="s">
        <v>966</v>
      </c>
      <c r="C444" s="67" t="s">
        <v>807</v>
      </c>
      <c r="D444" s="71">
        <v>45386.0</v>
      </c>
      <c r="E444" s="71">
        <v>45392.0</v>
      </c>
      <c r="F444" s="69">
        <v>9.064285E8</v>
      </c>
      <c r="G444" s="69">
        <v>9.064285E8</v>
      </c>
      <c r="H444" s="69">
        <v>3.10765E7</v>
      </c>
      <c r="I444" s="69">
        <v>9.064285E8</v>
      </c>
      <c r="J444" s="70">
        <f t="shared" si="9"/>
        <v>0.03428455747</v>
      </c>
    </row>
    <row r="445" ht="22.5" customHeight="1" outlineLevel="3">
      <c r="A445" s="66" t="s">
        <v>967</v>
      </c>
      <c r="B445" s="67" t="s">
        <v>968</v>
      </c>
      <c r="C445" s="67" t="s">
        <v>969</v>
      </c>
      <c r="D445" s="71">
        <v>45390.0</v>
      </c>
      <c r="E445" s="71">
        <v>45418.0</v>
      </c>
      <c r="F445" s="69">
        <v>7190000.0</v>
      </c>
      <c r="G445" s="69">
        <v>7190000.0</v>
      </c>
      <c r="H445" s="69">
        <v>751241.6000000006</v>
      </c>
      <c r="I445" s="69">
        <v>7190000.0</v>
      </c>
      <c r="J445" s="70">
        <f t="shared" si="9"/>
        <v>0.1044842281</v>
      </c>
    </row>
    <row r="446" ht="22.5" customHeight="1" outlineLevel="3">
      <c r="A446" s="66" t="s">
        <v>970</v>
      </c>
      <c r="B446" s="67" t="s">
        <v>971</v>
      </c>
      <c r="C446" s="67" t="s">
        <v>972</v>
      </c>
      <c r="D446" s="71">
        <v>45390.0</v>
      </c>
      <c r="E446" s="71">
        <v>45401.0</v>
      </c>
      <c r="F446" s="69">
        <v>9677000.0</v>
      </c>
      <c r="G446" s="69">
        <v>9677000.0</v>
      </c>
      <c r="H446" s="69">
        <v>806400.0</v>
      </c>
      <c r="I446" s="69">
        <v>9677000.0</v>
      </c>
      <c r="J446" s="70">
        <f t="shared" si="9"/>
        <v>0.08333161104</v>
      </c>
    </row>
    <row r="447" ht="22.5" customHeight="1" outlineLevel="3">
      <c r="A447" s="66" t="s">
        <v>973</v>
      </c>
      <c r="B447" s="67" t="s">
        <v>974</v>
      </c>
      <c r="C447" s="67" t="s">
        <v>975</v>
      </c>
      <c r="D447" s="71">
        <v>45397.0</v>
      </c>
      <c r="E447" s="71">
        <v>45401.0</v>
      </c>
      <c r="F447" s="69">
        <v>2.4872E8</v>
      </c>
      <c r="G447" s="69">
        <v>2.4872E8</v>
      </c>
      <c r="H447" s="69">
        <v>1.139E7</v>
      </c>
      <c r="I447" s="69">
        <v>2.4872E8</v>
      </c>
      <c r="J447" s="70">
        <f t="shared" si="9"/>
        <v>0.04579446767</v>
      </c>
    </row>
    <row r="448" ht="22.5" customHeight="1" outlineLevel="3">
      <c r="A448" s="66" t="s">
        <v>976</v>
      </c>
      <c r="B448" s="67" t="s">
        <v>977</v>
      </c>
      <c r="C448" s="67" t="s">
        <v>978</v>
      </c>
      <c r="D448" s="71">
        <v>45391.0</v>
      </c>
      <c r="E448" s="71">
        <v>45401.0</v>
      </c>
      <c r="F448" s="69">
        <v>1.725E7</v>
      </c>
      <c r="G448" s="69">
        <v>1.725E7</v>
      </c>
      <c r="H448" s="69">
        <v>2150000.0</v>
      </c>
      <c r="I448" s="69">
        <v>1.725E7</v>
      </c>
      <c r="J448" s="70">
        <f t="shared" si="9"/>
        <v>0.1246376812</v>
      </c>
    </row>
    <row r="449" ht="22.5" customHeight="1" outlineLevel="3">
      <c r="A449" s="66" t="s">
        <v>979</v>
      </c>
      <c r="B449" s="67" t="s">
        <v>980</v>
      </c>
      <c r="C449" s="67" t="s">
        <v>972</v>
      </c>
      <c r="D449" s="71">
        <v>45394.0</v>
      </c>
      <c r="E449" s="71">
        <v>45404.0</v>
      </c>
      <c r="F449" s="69">
        <v>5.7358E8</v>
      </c>
      <c r="G449" s="69">
        <v>5.7358E8</v>
      </c>
      <c r="H449" s="69">
        <v>2.2854925E7</v>
      </c>
      <c r="I449" s="69">
        <v>5.7358E8</v>
      </c>
      <c r="J449" s="70">
        <f t="shared" si="9"/>
        <v>0.03984609819</v>
      </c>
    </row>
    <row r="450" ht="22.5" customHeight="1" outlineLevel="3">
      <c r="A450" s="66" t="s">
        <v>981</v>
      </c>
      <c r="B450" s="67" t="s">
        <v>982</v>
      </c>
      <c r="C450" s="67" t="s">
        <v>983</v>
      </c>
      <c r="D450" s="71">
        <v>45397.0</v>
      </c>
      <c r="E450" s="71">
        <v>45419.0</v>
      </c>
      <c r="F450" s="69">
        <v>6.855675E8</v>
      </c>
      <c r="G450" s="69">
        <v>6.855675E8</v>
      </c>
      <c r="H450" s="69">
        <v>2.8665468067499995E7</v>
      </c>
      <c r="I450" s="69">
        <v>6.855675E8</v>
      </c>
      <c r="J450" s="70">
        <f t="shared" si="9"/>
        <v>0.04181275814</v>
      </c>
    </row>
    <row r="451" ht="22.5" customHeight="1" outlineLevel="3">
      <c r="A451" s="66" t="s">
        <v>984</v>
      </c>
      <c r="B451" s="67" t="s">
        <v>985</v>
      </c>
      <c r="C451" s="67" t="s">
        <v>986</v>
      </c>
      <c r="D451" s="71">
        <v>45397.0</v>
      </c>
      <c r="E451" s="71">
        <v>45401.0</v>
      </c>
      <c r="F451" s="69">
        <v>5.3053E7</v>
      </c>
      <c r="G451" s="69">
        <v>5.3053E7</v>
      </c>
      <c r="H451" s="69">
        <v>1.0719095E7</v>
      </c>
      <c r="I451" s="69">
        <v>5.3053E7</v>
      </c>
      <c r="J451" s="70">
        <f t="shared" si="9"/>
        <v>0.2020450304</v>
      </c>
    </row>
    <row r="452" ht="22.5" customHeight="1" outlineLevel="3">
      <c r="A452" s="66" t="s">
        <v>987</v>
      </c>
      <c r="B452" s="67" t="s">
        <v>988</v>
      </c>
      <c r="C452" s="67" t="s">
        <v>758</v>
      </c>
      <c r="D452" s="71">
        <v>45393.0</v>
      </c>
      <c r="E452" s="71">
        <v>45404.0</v>
      </c>
      <c r="F452" s="69">
        <v>5.04E7</v>
      </c>
      <c r="G452" s="69">
        <v>5.04E7</v>
      </c>
      <c r="H452" s="69">
        <v>3000000.0</v>
      </c>
      <c r="I452" s="69">
        <v>5.04E7</v>
      </c>
      <c r="J452" s="70">
        <f t="shared" si="9"/>
        <v>0.05952380952</v>
      </c>
    </row>
    <row r="453" ht="22.5" customHeight="1" outlineLevel="3">
      <c r="A453" s="66" t="s">
        <v>989</v>
      </c>
      <c r="B453" s="67" t="s">
        <v>990</v>
      </c>
      <c r="C453" s="67" t="s">
        <v>755</v>
      </c>
      <c r="D453" s="71">
        <v>45397.0</v>
      </c>
      <c r="E453" s="71">
        <v>45404.0</v>
      </c>
      <c r="F453" s="69">
        <v>5780000.0</v>
      </c>
      <c r="G453" s="69">
        <v>5780000.0</v>
      </c>
      <c r="H453" s="69">
        <v>447000.0</v>
      </c>
      <c r="I453" s="69">
        <v>5780000.0</v>
      </c>
      <c r="J453" s="70">
        <f t="shared" si="9"/>
        <v>0.07733564014</v>
      </c>
    </row>
    <row r="454" ht="22.5" customHeight="1" outlineLevel="3">
      <c r="A454" s="66" t="s">
        <v>991</v>
      </c>
      <c r="B454" s="67" t="s">
        <v>992</v>
      </c>
      <c r="C454" s="67" t="s">
        <v>993</v>
      </c>
      <c r="D454" s="71">
        <v>45390.0</v>
      </c>
      <c r="E454" s="71">
        <v>45404.0</v>
      </c>
      <c r="F454" s="69">
        <v>8050000.0</v>
      </c>
      <c r="G454" s="69">
        <v>8050000.0</v>
      </c>
      <c r="H454" s="69">
        <v>285000.0</v>
      </c>
      <c r="I454" s="69">
        <v>8050000.0</v>
      </c>
      <c r="J454" s="70">
        <f t="shared" si="9"/>
        <v>0.03540372671</v>
      </c>
    </row>
    <row r="455" ht="22.5" customHeight="1" outlineLevel="3">
      <c r="A455" s="66" t="s">
        <v>994</v>
      </c>
      <c r="B455" s="67" t="s">
        <v>995</v>
      </c>
      <c r="C455" s="67" t="s">
        <v>830</v>
      </c>
      <c r="D455" s="71">
        <v>45392.0</v>
      </c>
      <c r="E455" s="71">
        <v>45406.0</v>
      </c>
      <c r="F455" s="69">
        <v>1.433E7</v>
      </c>
      <c r="G455" s="69">
        <v>1.433E7</v>
      </c>
      <c r="H455" s="69">
        <v>578000.0</v>
      </c>
      <c r="I455" s="69">
        <v>1.433E7</v>
      </c>
      <c r="J455" s="70">
        <f t="shared" si="9"/>
        <v>0.04033496162</v>
      </c>
    </row>
    <row r="456" ht="22.5" customHeight="1" outlineLevel="3">
      <c r="A456" s="66" t="s">
        <v>996</v>
      </c>
      <c r="B456" s="67" t="s">
        <v>997</v>
      </c>
      <c r="C456" s="67" t="s">
        <v>934</v>
      </c>
      <c r="D456" s="71">
        <v>45392.0</v>
      </c>
      <c r="E456" s="71">
        <v>45399.0</v>
      </c>
      <c r="F456" s="69">
        <v>1.5652E7</v>
      </c>
      <c r="G456" s="69">
        <v>1.5652E7</v>
      </c>
      <c r="H456" s="69">
        <v>9151163.666666668</v>
      </c>
      <c r="I456" s="69">
        <v>1.5652E7</v>
      </c>
      <c r="J456" s="70">
        <f t="shared" si="9"/>
        <v>0.584664175</v>
      </c>
    </row>
    <row r="457" ht="22.5" customHeight="1" outlineLevel="3">
      <c r="A457" s="66" t="s">
        <v>998</v>
      </c>
      <c r="B457" s="67" t="s">
        <v>999</v>
      </c>
      <c r="C457" s="67" t="s">
        <v>1000</v>
      </c>
      <c r="D457" s="71">
        <v>45398.0</v>
      </c>
      <c r="E457" s="71">
        <v>45404.0</v>
      </c>
      <c r="F457" s="69">
        <v>5.6E7</v>
      </c>
      <c r="G457" s="69">
        <v>5.6E7</v>
      </c>
      <c r="H457" s="69">
        <v>1000000.0</v>
      </c>
      <c r="I457" s="69">
        <v>5.6E7</v>
      </c>
      <c r="J457" s="70">
        <f t="shared" si="9"/>
        <v>0.01785714286</v>
      </c>
    </row>
    <row r="458" ht="22.5" customHeight="1" outlineLevel="3">
      <c r="A458" s="66" t="s">
        <v>1001</v>
      </c>
      <c r="B458" s="67" t="s">
        <v>1002</v>
      </c>
      <c r="C458" s="67" t="s">
        <v>1003</v>
      </c>
      <c r="D458" s="71">
        <v>45447.0</v>
      </c>
      <c r="E458" s="71">
        <v>45461.0</v>
      </c>
      <c r="F458" s="69">
        <v>1.02775E9</v>
      </c>
      <c r="G458" s="69">
        <v>1.02775E9</v>
      </c>
      <c r="H458" s="69">
        <v>4.068891E8</v>
      </c>
      <c r="I458" s="69">
        <v>1.02775E9</v>
      </c>
      <c r="J458" s="70">
        <f t="shared" si="9"/>
        <v>0.3959027974</v>
      </c>
    </row>
    <row r="459" ht="22.5" customHeight="1" outlineLevel="3">
      <c r="A459" s="66" t="s">
        <v>1004</v>
      </c>
      <c r="B459" s="67" t="s">
        <v>1005</v>
      </c>
      <c r="C459" s="67" t="s">
        <v>746</v>
      </c>
      <c r="D459" s="71">
        <v>45401.0</v>
      </c>
      <c r="E459" s="71">
        <v>45418.0</v>
      </c>
      <c r="F459" s="69">
        <v>1.71619E8</v>
      </c>
      <c r="G459" s="69">
        <v>1.71619E8</v>
      </c>
      <c r="H459" s="69">
        <v>9429000.0</v>
      </c>
      <c r="I459" s="69">
        <v>1.71619E8</v>
      </c>
      <c r="J459" s="70">
        <f t="shared" si="9"/>
        <v>0.05494146918</v>
      </c>
    </row>
    <row r="460" ht="22.5" customHeight="1" outlineLevel="3">
      <c r="A460" s="66" t="s">
        <v>1006</v>
      </c>
      <c r="B460" s="67" t="s">
        <v>1007</v>
      </c>
      <c r="C460" s="67" t="s">
        <v>1008</v>
      </c>
      <c r="D460" s="71">
        <v>45404.0</v>
      </c>
      <c r="E460" s="71">
        <v>45406.0</v>
      </c>
      <c r="F460" s="69">
        <v>3.425184E8</v>
      </c>
      <c r="G460" s="69">
        <v>3.425184E8</v>
      </c>
      <c r="H460" s="69">
        <v>3.40704E7</v>
      </c>
      <c r="I460" s="69">
        <v>3.425184E8</v>
      </c>
      <c r="J460" s="70">
        <f t="shared" si="9"/>
        <v>0.09947027663</v>
      </c>
    </row>
    <row r="461" ht="22.5" customHeight="1" outlineLevel="3">
      <c r="A461" s="66" t="s">
        <v>1009</v>
      </c>
      <c r="B461" s="67" t="s">
        <v>1010</v>
      </c>
      <c r="C461" s="67" t="s">
        <v>1011</v>
      </c>
      <c r="D461" s="71">
        <v>45404.0</v>
      </c>
      <c r="E461" s="71">
        <v>45414.0</v>
      </c>
      <c r="F461" s="69">
        <v>1.97625E8</v>
      </c>
      <c r="G461" s="69">
        <v>1.97625E8</v>
      </c>
      <c r="H461" s="69">
        <v>4.357022175E7</v>
      </c>
      <c r="I461" s="69">
        <v>1.97625E8</v>
      </c>
      <c r="J461" s="70">
        <f t="shared" si="9"/>
        <v>0.2204691803</v>
      </c>
    </row>
    <row r="462" ht="22.5" customHeight="1" outlineLevel="3">
      <c r="A462" s="66" t="s">
        <v>1012</v>
      </c>
      <c r="B462" s="67" t="s">
        <v>1013</v>
      </c>
      <c r="C462" s="67" t="s">
        <v>1014</v>
      </c>
      <c r="D462" s="71">
        <v>45404.0</v>
      </c>
      <c r="E462" s="71">
        <v>45415.0</v>
      </c>
      <c r="F462" s="69">
        <v>4.9088E7</v>
      </c>
      <c r="G462" s="69">
        <v>4.9088E7</v>
      </c>
      <c r="H462" s="69">
        <v>6494250.0</v>
      </c>
      <c r="I462" s="69">
        <v>4.9088E7</v>
      </c>
      <c r="J462" s="70">
        <f t="shared" si="9"/>
        <v>0.1322981177</v>
      </c>
    </row>
    <row r="463" ht="22.5" customHeight="1" outlineLevel="3">
      <c r="A463" s="66" t="s">
        <v>1015</v>
      </c>
      <c r="B463" s="67" t="s">
        <v>1016</v>
      </c>
      <c r="C463" s="67" t="s">
        <v>1017</v>
      </c>
      <c r="D463" s="71">
        <v>45406.0</v>
      </c>
      <c r="E463" s="71">
        <v>45420.0</v>
      </c>
      <c r="F463" s="69">
        <v>2.38E7</v>
      </c>
      <c r="G463" s="69">
        <v>2.38E7</v>
      </c>
      <c r="H463" s="69">
        <v>8879865.999999998</v>
      </c>
      <c r="I463" s="69">
        <v>2.38E7</v>
      </c>
      <c r="J463" s="70">
        <f t="shared" si="9"/>
        <v>0.3731036134</v>
      </c>
    </row>
    <row r="464" ht="22.5" customHeight="1" outlineLevel="3">
      <c r="A464" s="66" t="s">
        <v>1018</v>
      </c>
      <c r="B464" s="67" t="s">
        <v>1019</v>
      </c>
      <c r="C464" s="67" t="s">
        <v>1020</v>
      </c>
      <c r="D464" s="71">
        <v>45408.0</v>
      </c>
      <c r="E464" s="71">
        <v>45422.0</v>
      </c>
      <c r="F464" s="69">
        <v>7.566576E7</v>
      </c>
      <c r="G464" s="69">
        <v>7.566576E7</v>
      </c>
      <c r="H464" s="69">
        <v>1527760.0</v>
      </c>
      <c r="I464" s="69">
        <v>7.566576E7</v>
      </c>
      <c r="J464" s="70">
        <f t="shared" si="9"/>
        <v>0.02019090273</v>
      </c>
    </row>
    <row r="465" ht="22.5" customHeight="1" outlineLevel="3">
      <c r="A465" s="66" t="s">
        <v>1021</v>
      </c>
      <c r="B465" s="67" t="s">
        <v>1022</v>
      </c>
      <c r="C465" s="67" t="s">
        <v>869</v>
      </c>
      <c r="D465" s="71">
        <v>45408.0</v>
      </c>
      <c r="E465" s="71">
        <v>45421.0</v>
      </c>
      <c r="F465" s="69">
        <v>1.25531505E8</v>
      </c>
      <c r="G465" s="69">
        <v>1.25531505E8</v>
      </c>
      <c r="H465" s="69">
        <v>2435505.0</v>
      </c>
      <c r="I465" s="69">
        <v>1.25531505E8</v>
      </c>
      <c r="J465" s="70">
        <f t="shared" si="9"/>
        <v>0.01940154386</v>
      </c>
    </row>
    <row r="466" ht="22.5" customHeight="1" outlineLevel="3">
      <c r="A466" s="66" t="s">
        <v>1023</v>
      </c>
      <c r="B466" s="67" t="s">
        <v>1024</v>
      </c>
      <c r="C466" s="67" t="s">
        <v>1025</v>
      </c>
      <c r="D466" s="71">
        <v>45401.0</v>
      </c>
      <c r="E466" s="71">
        <v>45414.0</v>
      </c>
      <c r="F466" s="69">
        <v>5300000.0</v>
      </c>
      <c r="G466" s="69">
        <v>5300000.0</v>
      </c>
      <c r="H466" s="69">
        <v>965283.333333333</v>
      </c>
      <c r="I466" s="69">
        <v>5300000.0</v>
      </c>
      <c r="J466" s="70">
        <f t="shared" si="9"/>
        <v>0.1821289308</v>
      </c>
    </row>
    <row r="467" ht="22.5" customHeight="1" outlineLevel="3">
      <c r="A467" s="66" t="s">
        <v>1026</v>
      </c>
      <c r="B467" s="67" t="s">
        <v>1027</v>
      </c>
      <c r="C467" s="67" t="s">
        <v>1028</v>
      </c>
      <c r="D467" s="71">
        <v>45404.0</v>
      </c>
      <c r="E467" s="71">
        <v>45418.0</v>
      </c>
      <c r="F467" s="69">
        <v>5920000.0</v>
      </c>
      <c r="G467" s="69">
        <v>5920000.0</v>
      </c>
      <c r="H467" s="69">
        <v>1179559.6333333338</v>
      </c>
      <c r="I467" s="69">
        <v>5920000.0</v>
      </c>
      <c r="J467" s="70">
        <f t="shared" si="9"/>
        <v>0.1992499381</v>
      </c>
    </row>
    <row r="468" ht="22.5" customHeight="1" outlineLevel="3">
      <c r="A468" s="66" t="s">
        <v>1029</v>
      </c>
      <c r="B468" s="67" t="s">
        <v>1030</v>
      </c>
      <c r="C468" s="67" t="s">
        <v>1031</v>
      </c>
      <c r="D468" s="71">
        <v>45399.0</v>
      </c>
      <c r="E468" s="71">
        <v>45414.0</v>
      </c>
      <c r="F468" s="69">
        <v>1.2797E7</v>
      </c>
      <c r="G468" s="69">
        <v>1.2797E7</v>
      </c>
      <c r="H468" s="69">
        <v>1073000.0</v>
      </c>
      <c r="I468" s="69">
        <v>1.2797E7</v>
      </c>
      <c r="J468" s="70">
        <f t="shared" si="9"/>
        <v>0.08384777682</v>
      </c>
    </row>
    <row r="469" ht="22.5" customHeight="1" outlineLevel="3">
      <c r="A469" s="66" t="s">
        <v>1032</v>
      </c>
      <c r="B469" s="67" t="s">
        <v>1033</v>
      </c>
      <c r="C469" s="67" t="s">
        <v>899</v>
      </c>
      <c r="D469" s="71">
        <v>45406.0</v>
      </c>
      <c r="E469" s="71">
        <v>45433.0</v>
      </c>
      <c r="F469" s="69">
        <v>4000000.0</v>
      </c>
      <c r="G469" s="69">
        <v>4000000.0</v>
      </c>
      <c r="H469" s="69">
        <v>2750000.0</v>
      </c>
      <c r="I469" s="69">
        <v>4000000.0</v>
      </c>
      <c r="J469" s="70">
        <f t="shared" si="9"/>
        <v>0.6875</v>
      </c>
    </row>
    <row r="470" ht="22.5" customHeight="1" outlineLevel="3">
      <c r="A470" s="66" t="s">
        <v>1034</v>
      </c>
      <c r="B470" s="67" t="s">
        <v>1035</v>
      </c>
      <c r="C470" s="67" t="s">
        <v>1036</v>
      </c>
      <c r="D470" s="71">
        <v>45408.0</v>
      </c>
      <c r="E470" s="71">
        <v>45421.0</v>
      </c>
      <c r="F470" s="69">
        <v>2077735.0</v>
      </c>
      <c r="G470" s="69">
        <v>2077735.0</v>
      </c>
      <c r="H470" s="69">
        <v>40735.0</v>
      </c>
      <c r="I470" s="69">
        <v>2077735.0</v>
      </c>
      <c r="J470" s="70">
        <f t="shared" si="9"/>
        <v>0.01960548386</v>
      </c>
    </row>
    <row r="471" ht="22.5" customHeight="1" outlineLevel="3">
      <c r="A471" s="66" t="s">
        <v>1037</v>
      </c>
      <c r="B471" s="67" t="s">
        <v>1038</v>
      </c>
      <c r="C471" s="67" t="s">
        <v>964</v>
      </c>
      <c r="D471" s="71">
        <v>45414.0</v>
      </c>
      <c r="E471" s="71">
        <v>45425.0</v>
      </c>
      <c r="F471" s="69">
        <v>3.4272E8</v>
      </c>
      <c r="G471" s="69">
        <v>3.4272E8</v>
      </c>
      <c r="H471" s="69">
        <v>8.077639650999999E7</v>
      </c>
      <c r="I471" s="69">
        <v>3.4272E8</v>
      </c>
      <c r="J471" s="70">
        <f t="shared" si="9"/>
        <v>0.2356921</v>
      </c>
    </row>
    <row r="472" ht="22.5" customHeight="1" outlineLevel="3">
      <c r="A472" s="66" t="s">
        <v>1039</v>
      </c>
      <c r="B472" s="67" t="s">
        <v>1040</v>
      </c>
      <c r="C472" s="67" t="s">
        <v>785</v>
      </c>
      <c r="D472" s="71">
        <v>45415.0</v>
      </c>
      <c r="E472" s="71">
        <v>45446.0</v>
      </c>
      <c r="F472" s="69">
        <v>3.244998E8</v>
      </c>
      <c r="G472" s="69">
        <v>3.244998E8</v>
      </c>
      <c r="H472" s="69">
        <v>1.21945990875E8</v>
      </c>
      <c r="I472" s="69">
        <v>3.244998E8</v>
      </c>
      <c r="J472" s="70">
        <f t="shared" si="9"/>
        <v>0.3757968137</v>
      </c>
    </row>
    <row r="473" ht="22.5" customHeight="1" outlineLevel="3">
      <c r="A473" s="66" t="s">
        <v>1041</v>
      </c>
      <c r="B473" s="67" t="s">
        <v>1042</v>
      </c>
      <c r="C473" s="67" t="s">
        <v>1043</v>
      </c>
      <c r="D473" s="71">
        <v>45419.0</v>
      </c>
      <c r="E473" s="71">
        <v>45425.0</v>
      </c>
      <c r="F473" s="69">
        <v>8400000.0</v>
      </c>
      <c r="G473" s="69">
        <v>8400000.0</v>
      </c>
      <c r="H473" s="69">
        <v>920000.0</v>
      </c>
      <c r="I473" s="69">
        <v>8400000.0</v>
      </c>
      <c r="J473" s="70">
        <f t="shared" si="9"/>
        <v>0.1095238095</v>
      </c>
    </row>
    <row r="474" ht="22.5" customHeight="1" outlineLevel="3">
      <c r="A474" s="66" t="s">
        <v>1044</v>
      </c>
      <c r="B474" s="67" t="s">
        <v>1045</v>
      </c>
      <c r="C474" s="67" t="s">
        <v>1046</v>
      </c>
      <c r="D474" s="71">
        <v>45429.0</v>
      </c>
      <c r="E474" s="71">
        <v>45448.0</v>
      </c>
      <c r="F474" s="69">
        <v>1.8E7</v>
      </c>
      <c r="G474" s="69">
        <v>1.8E7</v>
      </c>
      <c r="H474" s="69">
        <v>1.1491238E7</v>
      </c>
      <c r="I474" s="69">
        <v>1.8E7</v>
      </c>
      <c r="J474" s="70">
        <f t="shared" si="9"/>
        <v>0.6384021111</v>
      </c>
    </row>
    <row r="475" ht="22.5" customHeight="1" outlineLevel="3">
      <c r="A475" s="66" t="s">
        <v>1047</v>
      </c>
      <c r="B475" s="67" t="s">
        <v>1048</v>
      </c>
      <c r="C475" s="67" t="s">
        <v>1049</v>
      </c>
      <c r="D475" s="71">
        <v>45397.0</v>
      </c>
      <c r="E475" s="71">
        <v>45420.0</v>
      </c>
      <c r="F475" s="69">
        <v>8658000.0</v>
      </c>
      <c r="G475" s="69">
        <v>8658000.0</v>
      </c>
      <c r="H475" s="69">
        <v>1179000.0</v>
      </c>
      <c r="I475" s="69">
        <v>8658000.0</v>
      </c>
      <c r="J475" s="70">
        <f t="shared" si="9"/>
        <v>0.1361746362</v>
      </c>
    </row>
    <row r="476" ht="22.5" customHeight="1" outlineLevel="3">
      <c r="A476" s="66" t="s">
        <v>1050</v>
      </c>
      <c r="B476" s="67" t="s">
        <v>1051</v>
      </c>
      <c r="C476" s="67" t="s">
        <v>839</v>
      </c>
      <c r="D476" s="71">
        <v>45425.0</v>
      </c>
      <c r="E476" s="71">
        <v>45432.0</v>
      </c>
      <c r="F476" s="69">
        <v>1.44823E8</v>
      </c>
      <c r="G476" s="69">
        <v>1.44823E8</v>
      </c>
      <c r="H476" s="69">
        <v>3.9515375E7</v>
      </c>
      <c r="I476" s="69">
        <v>1.44823E8</v>
      </c>
      <c r="J476" s="70">
        <f t="shared" si="9"/>
        <v>0.2728528963</v>
      </c>
    </row>
    <row r="477" ht="22.5" customHeight="1" outlineLevel="3">
      <c r="A477" s="66" t="s">
        <v>1052</v>
      </c>
      <c r="B477" s="67" t="s">
        <v>1053</v>
      </c>
      <c r="C477" s="67" t="s">
        <v>1054</v>
      </c>
      <c r="D477" s="71">
        <v>45423.0</v>
      </c>
      <c r="E477" s="71">
        <v>45434.0</v>
      </c>
      <c r="F477" s="69">
        <v>1.3E8</v>
      </c>
      <c r="G477" s="69">
        <v>1.3E8</v>
      </c>
      <c r="H477" s="69">
        <v>2.76439925E7</v>
      </c>
      <c r="I477" s="69">
        <v>1.3E8</v>
      </c>
      <c r="J477" s="70">
        <f t="shared" si="9"/>
        <v>0.2126460962</v>
      </c>
    </row>
    <row r="478" ht="22.5" customHeight="1" outlineLevel="3">
      <c r="A478" s="66" t="s">
        <v>1055</v>
      </c>
      <c r="B478" s="67" t="s">
        <v>1056</v>
      </c>
      <c r="C478" s="67" t="s">
        <v>1057</v>
      </c>
      <c r="D478" s="71">
        <v>45425.0</v>
      </c>
      <c r="E478" s="71">
        <v>45432.0</v>
      </c>
      <c r="F478" s="69">
        <v>4.99249E8</v>
      </c>
      <c r="G478" s="69">
        <v>4.99249E8</v>
      </c>
      <c r="H478" s="69">
        <v>1.30372687945E8</v>
      </c>
      <c r="I478" s="69">
        <v>4.99249E8</v>
      </c>
      <c r="J478" s="70">
        <f t="shared" si="9"/>
        <v>0.2611376046</v>
      </c>
    </row>
    <row r="479" ht="22.5" customHeight="1" outlineLevel="3">
      <c r="A479" s="66" t="s">
        <v>1058</v>
      </c>
      <c r="B479" s="67" t="s">
        <v>1059</v>
      </c>
      <c r="C479" s="67" t="s">
        <v>1060</v>
      </c>
      <c r="D479" s="71">
        <v>45421.0</v>
      </c>
      <c r="E479" s="71">
        <v>45464.0</v>
      </c>
      <c r="F479" s="69">
        <v>2.307E7</v>
      </c>
      <c r="G479" s="69">
        <v>2.307E7</v>
      </c>
      <c r="H479" s="69">
        <v>920000.0</v>
      </c>
      <c r="I479" s="69">
        <v>2.307E7</v>
      </c>
      <c r="J479" s="70">
        <f t="shared" si="9"/>
        <v>0.03987863026</v>
      </c>
    </row>
    <row r="480" ht="22.5" customHeight="1" outlineLevel="3">
      <c r="A480" s="66" t="s">
        <v>1061</v>
      </c>
      <c r="B480" s="67" t="s">
        <v>1062</v>
      </c>
      <c r="C480" s="67" t="s">
        <v>1063</v>
      </c>
      <c r="D480" s="71">
        <v>45421.0</v>
      </c>
      <c r="E480" s="71">
        <v>45448.0</v>
      </c>
      <c r="F480" s="69">
        <v>4.38822E7</v>
      </c>
      <c r="G480" s="69">
        <v>4.38822E7</v>
      </c>
      <c r="H480" s="69">
        <v>3612230.7575000003</v>
      </c>
      <c r="I480" s="69">
        <v>4.38822E7</v>
      </c>
      <c r="J480" s="70">
        <f t="shared" si="9"/>
        <v>0.0823165374</v>
      </c>
    </row>
    <row r="481" ht="22.5" customHeight="1" outlineLevel="3">
      <c r="A481" s="66" t="s">
        <v>1064</v>
      </c>
      <c r="B481" s="67" t="s">
        <v>1065</v>
      </c>
      <c r="C481" s="67" t="s">
        <v>1066</v>
      </c>
      <c r="D481" s="71">
        <v>45429.0</v>
      </c>
      <c r="E481" s="71">
        <v>45462.0</v>
      </c>
      <c r="F481" s="69">
        <v>3.44064E8</v>
      </c>
      <c r="G481" s="69">
        <v>3.44064E8</v>
      </c>
      <c r="H481" s="69">
        <v>3.437841807999998E7</v>
      </c>
      <c r="I481" s="69">
        <v>3.44064E8</v>
      </c>
      <c r="J481" s="70">
        <f t="shared" si="9"/>
        <v>0.09991867234</v>
      </c>
    </row>
    <row r="482" ht="22.5" customHeight="1" outlineLevel="3">
      <c r="A482" s="66" t="s">
        <v>1067</v>
      </c>
      <c r="B482" s="67" t="s">
        <v>1007</v>
      </c>
      <c r="C482" s="67" t="s">
        <v>1068</v>
      </c>
      <c r="D482" s="71">
        <v>45420.0</v>
      </c>
      <c r="E482" s="71">
        <v>45471.0</v>
      </c>
      <c r="F482" s="69">
        <v>3.4272E8</v>
      </c>
      <c r="G482" s="69">
        <v>3.4272E8</v>
      </c>
      <c r="H482" s="69">
        <v>3.4272E7</v>
      </c>
      <c r="I482" s="69">
        <v>3.4272E8</v>
      </c>
      <c r="J482" s="70">
        <f t="shared" si="9"/>
        <v>0.1</v>
      </c>
    </row>
    <row r="483" ht="22.5" customHeight="1" outlineLevel="3">
      <c r="A483" s="66" t="s">
        <v>1069</v>
      </c>
      <c r="B483" s="67" t="s">
        <v>1070</v>
      </c>
      <c r="C483" s="67" t="s">
        <v>978</v>
      </c>
      <c r="D483" s="71">
        <v>45426.0</v>
      </c>
      <c r="E483" s="71">
        <v>45643.0</v>
      </c>
      <c r="F483" s="69">
        <v>1.256398E8</v>
      </c>
      <c r="G483" s="69">
        <v>1.256398E8</v>
      </c>
      <c r="H483" s="69">
        <v>3.7154799999999985E7</v>
      </c>
      <c r="I483" s="69">
        <v>1.256398E8</v>
      </c>
      <c r="J483" s="70">
        <f t="shared" si="9"/>
        <v>0.2957247624</v>
      </c>
    </row>
    <row r="484" ht="22.5" customHeight="1" outlineLevel="3">
      <c r="A484" s="66" t="s">
        <v>1069</v>
      </c>
      <c r="B484" s="67" t="s">
        <v>1071</v>
      </c>
      <c r="C484" s="67" t="s">
        <v>1072</v>
      </c>
      <c r="D484" s="71">
        <v>45426.0</v>
      </c>
      <c r="E484" s="68"/>
      <c r="F484" s="69">
        <v>2.21136E8</v>
      </c>
      <c r="G484" s="69"/>
      <c r="H484" s="69"/>
      <c r="I484" s="69">
        <v>2.21136E8</v>
      </c>
      <c r="J484" s="70" t="str">
        <f t="shared" si="9"/>
        <v>#DIV/0!</v>
      </c>
    </row>
    <row r="485" ht="22.5" customHeight="1" outlineLevel="3">
      <c r="A485" s="66" t="s">
        <v>1073</v>
      </c>
      <c r="B485" s="67" t="s">
        <v>1074</v>
      </c>
      <c r="C485" s="67" t="s">
        <v>1075</v>
      </c>
      <c r="D485" s="71">
        <v>45426.0</v>
      </c>
      <c r="E485" s="68"/>
      <c r="F485" s="69">
        <v>5.808244E8</v>
      </c>
      <c r="G485" s="69"/>
      <c r="H485" s="69"/>
      <c r="I485" s="69"/>
      <c r="J485" s="70" t="str">
        <f t="shared" si="9"/>
        <v>#DIV/0!</v>
      </c>
    </row>
    <row r="486" ht="22.5" customHeight="1" outlineLevel="3">
      <c r="A486" s="66" t="s">
        <v>1076</v>
      </c>
      <c r="B486" s="67" t="s">
        <v>1077</v>
      </c>
      <c r="C486" s="67" t="s">
        <v>1078</v>
      </c>
      <c r="D486" s="71">
        <v>45442.0</v>
      </c>
      <c r="E486" s="71">
        <v>45450.0</v>
      </c>
      <c r="F486" s="69">
        <v>1.0456789E9</v>
      </c>
      <c r="G486" s="69">
        <v>1.0456789E9</v>
      </c>
      <c r="H486" s="69">
        <v>3.431853596E8</v>
      </c>
      <c r="I486" s="69">
        <v>3.15E8</v>
      </c>
      <c r="J486" s="70">
        <f t="shared" si="9"/>
        <v>0.3281938266</v>
      </c>
    </row>
    <row r="487" ht="22.5" customHeight="1" outlineLevel="3">
      <c r="A487" s="66" t="s">
        <v>1079</v>
      </c>
      <c r="B487" s="67" t="s">
        <v>1080</v>
      </c>
      <c r="C487" s="67" t="s">
        <v>807</v>
      </c>
      <c r="D487" s="71">
        <v>45429.0</v>
      </c>
      <c r="E487" s="71">
        <v>45453.0</v>
      </c>
      <c r="F487" s="69">
        <v>1.6218833E9</v>
      </c>
      <c r="G487" s="69">
        <v>1.6218833E9</v>
      </c>
      <c r="H487" s="69">
        <v>4.95571E7</v>
      </c>
      <c r="I487" s="69">
        <v>1.6218833E9</v>
      </c>
      <c r="J487" s="70">
        <f t="shared" si="9"/>
        <v>0.03055528101</v>
      </c>
    </row>
    <row r="488" ht="22.5" customHeight="1" outlineLevel="3">
      <c r="A488" s="66" t="s">
        <v>1081</v>
      </c>
      <c r="B488" s="67" t="s">
        <v>1082</v>
      </c>
      <c r="C488" s="67" t="s">
        <v>807</v>
      </c>
      <c r="D488" s="71">
        <v>45426.0</v>
      </c>
      <c r="E488" s="71">
        <v>45433.0</v>
      </c>
      <c r="F488" s="69">
        <v>2.638107E8</v>
      </c>
      <c r="G488" s="69">
        <v>2.638107E8</v>
      </c>
      <c r="H488" s="69">
        <v>7200700.0</v>
      </c>
      <c r="I488" s="69">
        <v>2.638107E8</v>
      </c>
      <c r="J488" s="70">
        <f t="shared" si="9"/>
        <v>0.02729495051</v>
      </c>
    </row>
    <row r="489" ht="22.5" customHeight="1" outlineLevel="3">
      <c r="A489" s="66" t="s">
        <v>1083</v>
      </c>
      <c r="B489" s="67" t="s">
        <v>1084</v>
      </c>
      <c r="C489" s="67" t="s">
        <v>1060</v>
      </c>
      <c r="D489" s="71">
        <v>45426.0</v>
      </c>
      <c r="E489" s="71">
        <v>45434.0</v>
      </c>
      <c r="F489" s="69">
        <v>1.72E7</v>
      </c>
      <c r="G489" s="69">
        <v>1.72E7</v>
      </c>
      <c r="H489" s="69">
        <v>726000.0</v>
      </c>
      <c r="I489" s="69">
        <v>1.72E7</v>
      </c>
      <c r="J489" s="70">
        <f t="shared" si="9"/>
        <v>0.04220930233</v>
      </c>
    </row>
    <row r="490" ht="22.5" customHeight="1" outlineLevel="3">
      <c r="A490" s="66" t="s">
        <v>1085</v>
      </c>
      <c r="B490" s="67" t="s">
        <v>1086</v>
      </c>
      <c r="C490" s="67" t="s">
        <v>1087</v>
      </c>
      <c r="D490" s="71">
        <v>45427.0</v>
      </c>
      <c r="E490" s="71">
        <v>45491.0</v>
      </c>
      <c r="F490" s="69">
        <v>1.75E8</v>
      </c>
      <c r="G490" s="69">
        <v>1.75E8</v>
      </c>
      <c r="H490" s="69">
        <v>2.0952E7</v>
      </c>
      <c r="I490" s="69">
        <v>1.75E8</v>
      </c>
      <c r="J490" s="70">
        <f t="shared" si="9"/>
        <v>0.1197257143</v>
      </c>
    </row>
    <row r="491" ht="22.5" customHeight="1" outlineLevel="3">
      <c r="A491" s="66" t="s">
        <v>1088</v>
      </c>
      <c r="B491" s="67" t="s">
        <v>1089</v>
      </c>
      <c r="C491" s="67" t="s">
        <v>1090</v>
      </c>
      <c r="D491" s="71">
        <v>45421.0</v>
      </c>
      <c r="E491" s="71">
        <v>45425.0</v>
      </c>
      <c r="F491" s="69">
        <v>2.38E7</v>
      </c>
      <c r="G491" s="69">
        <v>2.38E7</v>
      </c>
      <c r="H491" s="69">
        <v>1040000.0</v>
      </c>
      <c r="I491" s="69">
        <v>2.38E7</v>
      </c>
      <c r="J491" s="70">
        <f t="shared" si="9"/>
        <v>0.04369747899</v>
      </c>
    </row>
    <row r="492" ht="22.5" customHeight="1" outlineLevel="3">
      <c r="A492" s="66" t="s">
        <v>1091</v>
      </c>
      <c r="B492" s="67" t="s">
        <v>1092</v>
      </c>
      <c r="C492" s="67" t="s">
        <v>830</v>
      </c>
      <c r="D492" s="71">
        <v>45422.0</v>
      </c>
      <c r="E492" s="71">
        <v>45441.0</v>
      </c>
      <c r="F492" s="69">
        <v>1.342E7</v>
      </c>
      <c r="G492" s="69">
        <v>1.342E7</v>
      </c>
      <c r="H492" s="69">
        <v>1799121.2199999988</v>
      </c>
      <c r="I492" s="69">
        <v>1.342E7</v>
      </c>
      <c r="J492" s="70">
        <f t="shared" si="9"/>
        <v>0.1340626841</v>
      </c>
    </row>
    <row r="493" ht="22.5" customHeight="1" outlineLevel="3">
      <c r="A493" s="66" t="s">
        <v>1093</v>
      </c>
      <c r="B493" s="67" t="s">
        <v>1094</v>
      </c>
      <c r="C493" s="67" t="s">
        <v>1095</v>
      </c>
      <c r="D493" s="71">
        <v>45426.0</v>
      </c>
      <c r="E493" s="71">
        <v>45432.0</v>
      </c>
      <c r="F493" s="69">
        <v>3.9243E7</v>
      </c>
      <c r="G493" s="69">
        <v>3.9243E7</v>
      </c>
      <c r="H493" s="69">
        <v>1.1773404E7</v>
      </c>
      <c r="I493" s="69">
        <v>3.9243E7</v>
      </c>
      <c r="J493" s="70">
        <f t="shared" si="9"/>
        <v>0.3000128431</v>
      </c>
    </row>
    <row r="494" ht="22.5" customHeight="1" outlineLevel="3">
      <c r="A494" s="66" t="s">
        <v>1096</v>
      </c>
      <c r="B494" s="67" t="s">
        <v>1097</v>
      </c>
      <c r="C494" s="67" t="s">
        <v>766</v>
      </c>
      <c r="D494" s="71">
        <v>45427.0</v>
      </c>
      <c r="E494" s="71">
        <v>45427.0</v>
      </c>
      <c r="F494" s="69">
        <v>1.4E7</v>
      </c>
      <c r="G494" s="69">
        <v>1.4E7</v>
      </c>
      <c r="H494" s="69">
        <v>7037642.999999999</v>
      </c>
      <c r="I494" s="69">
        <v>1.4E7</v>
      </c>
      <c r="J494" s="70">
        <f t="shared" si="9"/>
        <v>0.5026887857</v>
      </c>
    </row>
    <row r="495" ht="22.5" customHeight="1" outlineLevel="3">
      <c r="A495" s="66" t="s">
        <v>1098</v>
      </c>
      <c r="B495" s="67" t="s">
        <v>1099</v>
      </c>
      <c r="C495" s="67" t="s">
        <v>1100</v>
      </c>
      <c r="D495" s="71">
        <v>45427.0</v>
      </c>
      <c r="E495" s="71">
        <v>45433.0</v>
      </c>
      <c r="F495" s="69">
        <v>4600200.0</v>
      </c>
      <c r="G495" s="69">
        <v>4600200.0</v>
      </c>
      <c r="H495" s="69">
        <v>420200.0</v>
      </c>
      <c r="I495" s="69">
        <v>4600200.0</v>
      </c>
      <c r="J495" s="70">
        <f t="shared" si="9"/>
        <v>0.09134385462</v>
      </c>
    </row>
    <row r="496" ht="22.5" customHeight="1" outlineLevel="3">
      <c r="A496" s="66" t="s">
        <v>1101</v>
      </c>
      <c r="B496" s="67" t="s">
        <v>1102</v>
      </c>
      <c r="C496" s="67" t="s">
        <v>1103</v>
      </c>
      <c r="D496" s="71">
        <v>45427.0</v>
      </c>
      <c r="E496" s="71">
        <v>45433.0</v>
      </c>
      <c r="F496" s="69">
        <v>9050000.0</v>
      </c>
      <c r="G496" s="69">
        <v>9050000.0</v>
      </c>
      <c r="H496" s="69">
        <v>550000.0</v>
      </c>
      <c r="I496" s="69">
        <v>9050000.0</v>
      </c>
      <c r="J496" s="70">
        <f t="shared" si="9"/>
        <v>0.06077348066</v>
      </c>
    </row>
    <row r="497" ht="22.5" customHeight="1" outlineLevel="3">
      <c r="A497" s="66" t="s">
        <v>1104</v>
      </c>
      <c r="B497" s="67" t="s">
        <v>1105</v>
      </c>
      <c r="C497" s="67" t="s">
        <v>755</v>
      </c>
      <c r="D497" s="71">
        <v>45428.0</v>
      </c>
      <c r="E497" s="71">
        <v>45441.0</v>
      </c>
      <c r="F497" s="69">
        <v>1200000.0</v>
      </c>
      <c r="G497" s="69">
        <v>1200000.0</v>
      </c>
      <c r="H497" s="69">
        <v>465000.0</v>
      </c>
      <c r="I497" s="69">
        <v>1200000.0</v>
      </c>
      <c r="J497" s="70">
        <f t="shared" si="9"/>
        <v>0.3875</v>
      </c>
    </row>
    <row r="498" ht="22.5" customHeight="1" outlineLevel="3">
      <c r="A498" s="66" t="s">
        <v>1106</v>
      </c>
      <c r="B498" s="67" t="s">
        <v>1107</v>
      </c>
      <c r="C498" s="67" t="s">
        <v>1108</v>
      </c>
      <c r="D498" s="71">
        <v>45426.0</v>
      </c>
      <c r="E498" s="71">
        <v>45432.0</v>
      </c>
      <c r="F498" s="69">
        <v>1.62E7</v>
      </c>
      <c r="G498" s="69">
        <v>1.62E7</v>
      </c>
      <c r="H498" s="69">
        <v>700000.0</v>
      </c>
      <c r="I498" s="69">
        <v>1.62E7</v>
      </c>
      <c r="J498" s="70">
        <f t="shared" si="9"/>
        <v>0.04320987654</v>
      </c>
    </row>
    <row r="499" ht="22.5" customHeight="1" outlineLevel="3">
      <c r="A499" s="66" t="s">
        <v>1109</v>
      </c>
      <c r="B499" s="67" t="s">
        <v>1110</v>
      </c>
      <c r="C499" s="67" t="s">
        <v>1111</v>
      </c>
      <c r="D499" s="71">
        <v>45418.0</v>
      </c>
      <c r="E499" s="71">
        <v>45446.0</v>
      </c>
      <c r="F499" s="69">
        <v>2.87E7</v>
      </c>
      <c r="G499" s="69">
        <v>2.87E7</v>
      </c>
      <c r="H499" s="69">
        <v>1200000.0</v>
      </c>
      <c r="I499" s="69">
        <v>1.435E7</v>
      </c>
      <c r="J499" s="70">
        <f t="shared" si="9"/>
        <v>0.04181184669</v>
      </c>
    </row>
    <row r="500" ht="22.5" customHeight="1" outlineLevel="3">
      <c r="A500" s="66" t="s">
        <v>1112</v>
      </c>
      <c r="B500" s="67" t="s">
        <v>1113</v>
      </c>
      <c r="C500" s="67" t="s">
        <v>1114</v>
      </c>
      <c r="D500" s="71">
        <v>45436.0</v>
      </c>
      <c r="E500" s="71">
        <v>45460.0</v>
      </c>
      <c r="F500" s="69">
        <v>5.2956E8</v>
      </c>
      <c r="G500" s="69">
        <v>5.2956E8</v>
      </c>
      <c r="H500" s="69">
        <v>1.533967340881111E8</v>
      </c>
      <c r="I500" s="69">
        <v>5.2956E8</v>
      </c>
      <c r="J500" s="70">
        <f t="shared" si="9"/>
        <v>0.2896682795</v>
      </c>
    </row>
    <row r="501" ht="22.5" customHeight="1" outlineLevel="3">
      <c r="A501" s="66" t="s">
        <v>1115</v>
      </c>
      <c r="B501" s="67" t="s">
        <v>1116</v>
      </c>
      <c r="C501" s="67" t="s">
        <v>1117</v>
      </c>
      <c r="D501" s="71">
        <v>45432.0</v>
      </c>
      <c r="E501" s="71">
        <v>45443.0</v>
      </c>
      <c r="F501" s="69">
        <v>1.95317E8</v>
      </c>
      <c r="G501" s="69">
        <v>1.95317E8</v>
      </c>
      <c r="H501" s="69">
        <v>3789147.0</v>
      </c>
      <c r="I501" s="69">
        <v>9.76585E7</v>
      </c>
      <c r="J501" s="70">
        <f t="shared" si="9"/>
        <v>0.01939998566</v>
      </c>
    </row>
    <row r="502" ht="22.5" customHeight="1" outlineLevel="3">
      <c r="A502" s="66" t="s">
        <v>1118</v>
      </c>
      <c r="B502" s="67" t="s">
        <v>1119</v>
      </c>
      <c r="C502" s="67" t="s">
        <v>1120</v>
      </c>
      <c r="D502" s="71">
        <v>45433.0</v>
      </c>
      <c r="E502" s="71">
        <v>45447.0</v>
      </c>
      <c r="F502" s="69">
        <v>4.50189E8</v>
      </c>
      <c r="G502" s="69">
        <v>4.50189E8</v>
      </c>
      <c r="H502" s="69">
        <v>9989000.0</v>
      </c>
      <c r="I502" s="69">
        <v>4.50189E8</v>
      </c>
      <c r="J502" s="70">
        <f t="shared" si="9"/>
        <v>0.02218845863</v>
      </c>
    </row>
    <row r="503" ht="22.5" customHeight="1" outlineLevel="3">
      <c r="A503" s="66" t="s">
        <v>1121</v>
      </c>
      <c r="B503" s="67" t="s">
        <v>1122</v>
      </c>
      <c r="C503" s="67" t="s">
        <v>1120</v>
      </c>
      <c r="D503" s="71">
        <v>45502.0</v>
      </c>
      <c r="E503" s="71">
        <v>45506.0</v>
      </c>
      <c r="F503" s="69">
        <v>6.24429E8</v>
      </c>
      <c r="G503" s="69">
        <v>6.24429E8</v>
      </c>
      <c r="H503" s="69">
        <v>1.5874E7</v>
      </c>
      <c r="I503" s="69">
        <v>6.24429E8</v>
      </c>
      <c r="J503" s="70">
        <f t="shared" si="9"/>
        <v>0.0254216252</v>
      </c>
    </row>
    <row r="504" ht="22.5" customHeight="1" outlineLevel="3">
      <c r="A504" s="66" t="s">
        <v>1123</v>
      </c>
      <c r="B504" s="67" t="s">
        <v>1124</v>
      </c>
      <c r="C504" s="67" t="s">
        <v>814</v>
      </c>
      <c r="D504" s="71">
        <v>45434.0</v>
      </c>
      <c r="E504" s="71">
        <v>45454.0</v>
      </c>
      <c r="F504" s="69">
        <v>7.94E7</v>
      </c>
      <c r="G504" s="69">
        <v>7.94E7</v>
      </c>
      <c r="H504" s="69">
        <v>6200000.0</v>
      </c>
      <c r="I504" s="69">
        <v>7.94E7</v>
      </c>
      <c r="J504" s="70">
        <f t="shared" si="9"/>
        <v>0.07808564232</v>
      </c>
    </row>
    <row r="505" ht="22.5" customHeight="1" outlineLevel="3">
      <c r="A505" s="66" t="s">
        <v>1125</v>
      </c>
      <c r="B505" s="67" t="s">
        <v>1126</v>
      </c>
      <c r="C505" s="67" t="s">
        <v>1017</v>
      </c>
      <c r="D505" s="71">
        <v>45440.0</v>
      </c>
      <c r="E505" s="71">
        <v>45446.0</v>
      </c>
      <c r="F505" s="69">
        <v>3.57E7</v>
      </c>
      <c r="G505" s="69">
        <v>3.57E7</v>
      </c>
      <c r="H505" s="69">
        <v>1.489326425E7</v>
      </c>
      <c r="I505" s="69">
        <v>3.57E7</v>
      </c>
      <c r="J505" s="70">
        <f t="shared" si="9"/>
        <v>0.4171782703</v>
      </c>
    </row>
    <row r="506" ht="22.5" customHeight="1" outlineLevel="3">
      <c r="A506" s="66" t="s">
        <v>1127</v>
      </c>
      <c r="B506" s="67" t="s">
        <v>1128</v>
      </c>
      <c r="C506" s="67" t="s">
        <v>1017</v>
      </c>
      <c r="D506" s="71">
        <v>45440.0</v>
      </c>
      <c r="E506" s="71">
        <v>45446.0</v>
      </c>
      <c r="F506" s="69">
        <v>7.14E7</v>
      </c>
      <c r="G506" s="69">
        <v>7.14E7</v>
      </c>
      <c r="H506" s="69">
        <v>2.62911785E7</v>
      </c>
      <c r="I506" s="69">
        <v>7.14E7</v>
      </c>
      <c r="J506" s="70">
        <f t="shared" si="9"/>
        <v>0.3682237885</v>
      </c>
    </row>
    <row r="507" ht="22.5" customHeight="1" outlineLevel="3">
      <c r="A507" s="66" t="s">
        <v>1129</v>
      </c>
      <c r="B507" s="67" t="s">
        <v>1130</v>
      </c>
      <c r="C507" s="67" t="s">
        <v>1131</v>
      </c>
      <c r="D507" s="71">
        <v>45442.0</v>
      </c>
      <c r="E507" s="71">
        <v>45490.0</v>
      </c>
      <c r="F507" s="69">
        <v>1.1440852E9</v>
      </c>
      <c r="G507" s="69">
        <v>1.1440852E9</v>
      </c>
      <c r="H507" s="69">
        <v>8.14809E7</v>
      </c>
      <c r="I507" s="69">
        <v>5.720426E8</v>
      </c>
      <c r="J507" s="70">
        <f t="shared" si="9"/>
        <v>0.07121925885</v>
      </c>
    </row>
    <row r="508" ht="22.5" customHeight="1" outlineLevel="3">
      <c r="A508" s="66" t="s">
        <v>1132</v>
      </c>
      <c r="B508" s="67" t="s">
        <v>1133</v>
      </c>
      <c r="C508" s="67" t="s">
        <v>1134</v>
      </c>
      <c r="D508" s="71">
        <v>45442.0</v>
      </c>
      <c r="E508" s="71">
        <v>45448.0</v>
      </c>
      <c r="F508" s="69">
        <v>6.65379E8</v>
      </c>
      <c r="G508" s="69">
        <v>6.65379E8</v>
      </c>
      <c r="H508" s="69">
        <v>1.2709054121249998E8</v>
      </c>
      <c r="I508" s="69">
        <v>3.326895E8</v>
      </c>
      <c r="J508" s="70">
        <f t="shared" si="9"/>
        <v>0.1910047375</v>
      </c>
    </row>
    <row r="509" ht="22.5" customHeight="1" outlineLevel="3">
      <c r="A509" s="66" t="s">
        <v>1135</v>
      </c>
      <c r="B509" s="67" t="s">
        <v>1136</v>
      </c>
      <c r="C509" s="67" t="s">
        <v>1137</v>
      </c>
      <c r="D509" s="71">
        <v>45443.0</v>
      </c>
      <c r="E509" s="71">
        <v>45455.0</v>
      </c>
      <c r="F509" s="69">
        <v>6.825E7</v>
      </c>
      <c r="G509" s="69">
        <v>6.825E7</v>
      </c>
      <c r="H509" s="69">
        <v>3.2079413153750002E7</v>
      </c>
      <c r="I509" s="69">
        <v>3.4125E7</v>
      </c>
      <c r="J509" s="70">
        <f t="shared" si="9"/>
        <v>0.4700280316</v>
      </c>
    </row>
    <row r="510" ht="22.5" customHeight="1" outlineLevel="3">
      <c r="A510" s="66" t="s">
        <v>1138</v>
      </c>
      <c r="B510" s="67" t="s">
        <v>1139</v>
      </c>
      <c r="C510" s="67" t="s">
        <v>1140</v>
      </c>
      <c r="D510" s="71">
        <v>45436.0</v>
      </c>
      <c r="E510" s="71">
        <v>45449.0</v>
      </c>
      <c r="F510" s="69">
        <v>2.224E7</v>
      </c>
      <c r="G510" s="69">
        <v>2.224E7</v>
      </c>
      <c r="H510" s="69">
        <v>1982000.0</v>
      </c>
      <c r="I510" s="69">
        <v>2.224E7</v>
      </c>
      <c r="J510" s="70">
        <f t="shared" si="9"/>
        <v>0.08911870504</v>
      </c>
    </row>
    <row r="511" ht="22.5" customHeight="1" outlineLevel="3">
      <c r="A511" s="66" t="s">
        <v>1141</v>
      </c>
      <c r="B511" s="67" t="s">
        <v>1142</v>
      </c>
      <c r="C511" s="67" t="s">
        <v>749</v>
      </c>
      <c r="D511" s="71">
        <v>45427.0</v>
      </c>
      <c r="E511" s="71">
        <v>45433.0</v>
      </c>
      <c r="F511" s="69">
        <v>1.5506E7</v>
      </c>
      <c r="G511" s="69">
        <v>1.5506E7</v>
      </c>
      <c r="H511" s="69">
        <v>771000.0</v>
      </c>
      <c r="I511" s="69">
        <v>1.5506E7</v>
      </c>
      <c r="J511" s="70">
        <f t="shared" si="9"/>
        <v>0.04972268799</v>
      </c>
    </row>
    <row r="512" ht="22.5" customHeight="1" outlineLevel="3">
      <c r="A512" s="66" t="s">
        <v>1143</v>
      </c>
      <c r="B512" s="67" t="s">
        <v>1144</v>
      </c>
      <c r="C512" s="67" t="s">
        <v>878</v>
      </c>
      <c r="D512" s="71">
        <v>45429.0</v>
      </c>
      <c r="E512" s="71">
        <v>45441.0</v>
      </c>
      <c r="F512" s="69">
        <v>1.33E7</v>
      </c>
      <c r="G512" s="69">
        <v>1.33E7</v>
      </c>
      <c r="H512" s="69">
        <v>500000.0</v>
      </c>
      <c r="I512" s="69">
        <v>1.33E7</v>
      </c>
      <c r="J512" s="70">
        <f t="shared" si="9"/>
        <v>0.03759398496</v>
      </c>
    </row>
    <row r="513" ht="22.5" customHeight="1" outlineLevel="3">
      <c r="A513" s="66" t="s">
        <v>1145</v>
      </c>
      <c r="B513" s="67" t="s">
        <v>1146</v>
      </c>
      <c r="C513" s="67" t="s">
        <v>1147</v>
      </c>
      <c r="D513" s="71">
        <v>45429.0</v>
      </c>
      <c r="E513" s="71">
        <v>45433.0</v>
      </c>
      <c r="F513" s="69">
        <v>8835000.0</v>
      </c>
      <c r="G513" s="69">
        <v>8835000.0</v>
      </c>
      <c r="H513" s="69">
        <v>1347000.0</v>
      </c>
      <c r="I513" s="69">
        <v>8835000.0</v>
      </c>
      <c r="J513" s="70">
        <f t="shared" si="9"/>
        <v>0.1524617997</v>
      </c>
    </row>
    <row r="514" ht="22.5" customHeight="1" outlineLevel="3">
      <c r="A514" s="66" t="s">
        <v>1148</v>
      </c>
      <c r="B514" s="67" t="s">
        <v>1149</v>
      </c>
      <c r="C514" s="67" t="s">
        <v>972</v>
      </c>
      <c r="D514" s="71">
        <v>45432.0</v>
      </c>
      <c r="E514" s="71">
        <v>45441.0</v>
      </c>
      <c r="F514" s="69">
        <v>5910000.0</v>
      </c>
      <c r="G514" s="69">
        <v>5910000.0</v>
      </c>
      <c r="H514" s="69">
        <v>591000.0</v>
      </c>
      <c r="I514" s="69">
        <v>5910000.0</v>
      </c>
      <c r="J514" s="70">
        <f t="shared" si="9"/>
        <v>0.1</v>
      </c>
    </row>
    <row r="515" ht="22.5" customHeight="1" outlineLevel="3">
      <c r="A515" s="66" t="s">
        <v>1150</v>
      </c>
      <c r="B515" s="67" t="s">
        <v>1151</v>
      </c>
      <c r="C515" s="67" t="s">
        <v>755</v>
      </c>
      <c r="D515" s="71">
        <v>45434.0</v>
      </c>
      <c r="E515" s="71">
        <v>45441.0</v>
      </c>
      <c r="F515" s="69">
        <v>1700000.0</v>
      </c>
      <c r="G515" s="69">
        <v>1700000.0</v>
      </c>
      <c r="H515" s="69">
        <v>196000.0</v>
      </c>
      <c r="I515" s="69">
        <v>1700000.0</v>
      </c>
      <c r="J515" s="70">
        <f t="shared" si="9"/>
        <v>0.1152941176</v>
      </c>
    </row>
    <row r="516" ht="22.5" customHeight="1" outlineLevel="3">
      <c r="A516" s="66" t="s">
        <v>1152</v>
      </c>
      <c r="B516" s="67" t="s">
        <v>1153</v>
      </c>
      <c r="C516" s="67" t="s">
        <v>1154</v>
      </c>
      <c r="D516" s="71">
        <v>45435.0</v>
      </c>
      <c r="E516" s="71">
        <v>45446.0</v>
      </c>
      <c r="F516" s="69">
        <v>5.9795E7</v>
      </c>
      <c r="G516" s="69">
        <v>5.9795E7</v>
      </c>
      <c r="H516" s="69">
        <v>2570000.0</v>
      </c>
      <c r="I516" s="69">
        <v>5.9795E7</v>
      </c>
      <c r="J516" s="70">
        <f t="shared" si="9"/>
        <v>0.04298018229</v>
      </c>
    </row>
    <row r="517" ht="22.5" customHeight="1" outlineLevel="3">
      <c r="A517" s="66" t="s">
        <v>1155</v>
      </c>
      <c r="B517" s="67" t="s">
        <v>1156</v>
      </c>
      <c r="C517" s="67" t="s">
        <v>1157</v>
      </c>
      <c r="D517" s="71">
        <v>45432.0</v>
      </c>
      <c r="E517" s="71">
        <v>45449.0</v>
      </c>
      <c r="F517" s="69">
        <v>1700000.0</v>
      </c>
      <c r="G517" s="69">
        <v>1700000.0</v>
      </c>
      <c r="H517" s="69">
        <v>360000.0</v>
      </c>
      <c r="I517" s="69">
        <v>1700000.0</v>
      </c>
      <c r="J517" s="70">
        <f t="shared" si="9"/>
        <v>0.2117647059</v>
      </c>
    </row>
    <row r="518" ht="22.5" customHeight="1" outlineLevel="3">
      <c r="A518" s="66" t="s">
        <v>1158</v>
      </c>
      <c r="B518" s="67" t="s">
        <v>865</v>
      </c>
      <c r="C518" s="67" t="s">
        <v>1159</v>
      </c>
      <c r="D518" s="71">
        <v>45441.0</v>
      </c>
      <c r="E518" s="71">
        <v>45453.0</v>
      </c>
      <c r="F518" s="69">
        <v>8700000.0</v>
      </c>
      <c r="G518" s="69">
        <v>8700000.0</v>
      </c>
      <c r="H518" s="69">
        <v>713000.0</v>
      </c>
      <c r="I518" s="69">
        <v>8700000.0</v>
      </c>
      <c r="J518" s="70">
        <f t="shared" si="9"/>
        <v>0.08195402299</v>
      </c>
    </row>
    <row r="519" ht="22.5" customHeight="1" outlineLevel="3">
      <c r="A519" s="66" t="s">
        <v>1160</v>
      </c>
      <c r="B519" s="67" t="s">
        <v>1161</v>
      </c>
      <c r="C519" s="67" t="s">
        <v>1162</v>
      </c>
      <c r="D519" s="71">
        <v>45441.0</v>
      </c>
      <c r="E519" s="71">
        <v>45449.0</v>
      </c>
      <c r="F519" s="69">
        <v>5242000.0</v>
      </c>
      <c r="G519" s="69">
        <v>5242000.0</v>
      </c>
      <c r="H519" s="69">
        <v>1340755.0</v>
      </c>
      <c r="I519" s="69">
        <v>5242000.0</v>
      </c>
      <c r="J519" s="70">
        <f t="shared" si="9"/>
        <v>0.255771652</v>
      </c>
    </row>
    <row r="520" ht="22.5" customHeight="1" outlineLevel="3">
      <c r="A520" s="66" t="s">
        <v>1163</v>
      </c>
      <c r="B520" s="67" t="s">
        <v>1164</v>
      </c>
      <c r="C520" s="67" t="s">
        <v>1165</v>
      </c>
      <c r="D520" s="71">
        <v>45446.0</v>
      </c>
      <c r="E520" s="71">
        <v>45449.0</v>
      </c>
      <c r="F520" s="69">
        <v>1.84E7</v>
      </c>
      <c r="G520" s="69">
        <v>1.84E7</v>
      </c>
      <c r="H520" s="69">
        <v>6968058.333333334</v>
      </c>
      <c r="I520" s="69">
        <v>1.84E7</v>
      </c>
      <c r="J520" s="70">
        <f t="shared" si="9"/>
        <v>0.3786988225</v>
      </c>
    </row>
    <row r="521" ht="22.5" customHeight="1" outlineLevel="3">
      <c r="A521" s="66" t="s">
        <v>1166</v>
      </c>
      <c r="B521" s="67" t="s">
        <v>1167</v>
      </c>
      <c r="C521" s="67" t="s">
        <v>1168</v>
      </c>
      <c r="D521" s="71">
        <v>45449.0</v>
      </c>
      <c r="E521" s="71">
        <v>45453.0</v>
      </c>
      <c r="F521" s="69">
        <v>1.35E7</v>
      </c>
      <c r="G521" s="69">
        <v>1.35E7</v>
      </c>
      <c r="H521" s="69">
        <v>500000.0</v>
      </c>
      <c r="I521" s="69">
        <v>1.35E7</v>
      </c>
      <c r="J521" s="70">
        <f t="shared" si="9"/>
        <v>0.03703703704</v>
      </c>
    </row>
    <row r="522" ht="22.5" customHeight="1" outlineLevel="3">
      <c r="A522" s="66" t="s">
        <v>1169</v>
      </c>
      <c r="B522" s="67" t="s">
        <v>1170</v>
      </c>
      <c r="C522" s="67" t="s">
        <v>1171</v>
      </c>
      <c r="D522" s="71">
        <v>45448.0</v>
      </c>
      <c r="E522" s="71">
        <v>45454.0</v>
      </c>
      <c r="F522" s="69">
        <v>9089000.0</v>
      </c>
      <c r="G522" s="69">
        <v>9089000.0</v>
      </c>
      <c r="H522" s="69">
        <v>1349000.0</v>
      </c>
      <c r="I522" s="69">
        <v>9089000.0</v>
      </c>
      <c r="J522" s="70">
        <f t="shared" si="9"/>
        <v>0.1484211684</v>
      </c>
    </row>
    <row r="523" ht="22.5" customHeight="1" outlineLevel="3">
      <c r="A523" s="66" t="s">
        <v>1172</v>
      </c>
      <c r="B523" s="67" t="s">
        <v>1173</v>
      </c>
      <c r="C523" s="67" t="s">
        <v>766</v>
      </c>
      <c r="D523" s="71">
        <v>45448.0</v>
      </c>
      <c r="E523" s="71">
        <v>45505.0</v>
      </c>
      <c r="F523" s="69">
        <v>2.609354E9</v>
      </c>
      <c r="G523" s="69">
        <v>2.609354E9</v>
      </c>
      <c r="H523" s="69">
        <v>9.7541908625E7</v>
      </c>
      <c r="I523" s="69">
        <v>7.828062E8</v>
      </c>
      <c r="J523" s="70">
        <f t="shared" si="9"/>
        <v>0.0373816311</v>
      </c>
    </row>
    <row r="524" ht="22.5" customHeight="1" outlineLevel="3">
      <c r="A524" s="66" t="s">
        <v>1174</v>
      </c>
      <c r="B524" s="67" t="s">
        <v>1175</v>
      </c>
      <c r="C524" s="67" t="s">
        <v>766</v>
      </c>
      <c r="D524" s="71">
        <v>45478.0</v>
      </c>
      <c r="E524" s="71">
        <v>45505.0</v>
      </c>
      <c r="F524" s="69">
        <v>9.137E7</v>
      </c>
      <c r="G524" s="69">
        <v>9.137E7</v>
      </c>
      <c r="H524" s="69">
        <v>6518000.0</v>
      </c>
      <c r="I524" s="69">
        <v>9.137E7</v>
      </c>
      <c r="J524" s="70">
        <f t="shared" si="9"/>
        <v>0.07133632483</v>
      </c>
    </row>
    <row r="525" ht="22.5" customHeight="1" outlineLevel="3">
      <c r="A525" s="66" t="s">
        <v>1176</v>
      </c>
      <c r="B525" s="67" t="s">
        <v>1177</v>
      </c>
      <c r="C525" s="67" t="s">
        <v>1178</v>
      </c>
      <c r="D525" s="71">
        <v>45449.0</v>
      </c>
      <c r="E525" s="71">
        <v>45463.0</v>
      </c>
      <c r="F525" s="69">
        <v>8.1E7</v>
      </c>
      <c r="G525" s="69">
        <v>8.1E7</v>
      </c>
      <c r="H525" s="69">
        <v>3.38437925E7</v>
      </c>
      <c r="I525" s="69">
        <v>8.1E7</v>
      </c>
      <c r="J525" s="70">
        <f t="shared" si="9"/>
        <v>0.4178245988</v>
      </c>
    </row>
    <row r="526" ht="22.5" customHeight="1" outlineLevel="3">
      <c r="A526" s="66" t="s">
        <v>1179</v>
      </c>
      <c r="B526" s="67" t="s">
        <v>1180</v>
      </c>
      <c r="C526" s="67" t="s">
        <v>1181</v>
      </c>
      <c r="D526" s="71">
        <v>45464.0</v>
      </c>
      <c r="E526" s="71">
        <v>45474.0</v>
      </c>
      <c r="F526" s="69">
        <v>3.8556E8</v>
      </c>
      <c r="G526" s="69">
        <v>3.8556E8</v>
      </c>
      <c r="H526" s="69">
        <v>3.8556E7</v>
      </c>
      <c r="I526" s="69">
        <v>3.8556E8</v>
      </c>
      <c r="J526" s="70">
        <f t="shared" si="9"/>
        <v>0.1</v>
      </c>
    </row>
    <row r="527" ht="22.5" customHeight="1" outlineLevel="3">
      <c r="A527" s="66" t="s">
        <v>1182</v>
      </c>
      <c r="B527" s="67" t="s">
        <v>1183</v>
      </c>
      <c r="C527" s="67" t="s">
        <v>1184</v>
      </c>
      <c r="D527" s="71">
        <v>45453.0</v>
      </c>
      <c r="E527" s="71">
        <v>45461.0</v>
      </c>
      <c r="F527" s="69">
        <v>1.43286E8</v>
      </c>
      <c r="G527" s="69">
        <v>1.43286E8</v>
      </c>
      <c r="H527" s="69">
        <v>6.300893125000003E7</v>
      </c>
      <c r="I527" s="69">
        <v>1.43286E8</v>
      </c>
      <c r="J527" s="70">
        <f t="shared" si="9"/>
        <v>0.439742412</v>
      </c>
    </row>
    <row r="528" ht="22.5" customHeight="1" outlineLevel="3">
      <c r="A528" s="66" t="s">
        <v>1185</v>
      </c>
      <c r="B528" s="67" t="s">
        <v>1186</v>
      </c>
      <c r="C528" s="67" t="s">
        <v>1187</v>
      </c>
      <c r="D528" s="71">
        <v>45453.0</v>
      </c>
      <c r="E528" s="71">
        <v>45455.0</v>
      </c>
      <c r="F528" s="69">
        <v>2.4012E7</v>
      </c>
      <c r="G528" s="69">
        <v>2.4012E7</v>
      </c>
      <c r="H528" s="69">
        <v>8030333.0</v>
      </c>
      <c r="I528" s="69">
        <v>2.4012E7</v>
      </c>
      <c r="J528" s="70">
        <f t="shared" si="9"/>
        <v>0.3344299933</v>
      </c>
    </row>
    <row r="529" ht="22.5" customHeight="1" outlineLevel="3">
      <c r="A529" s="66" t="s">
        <v>1188</v>
      </c>
      <c r="B529" s="67" t="s">
        <v>1189</v>
      </c>
      <c r="C529" s="67" t="s">
        <v>755</v>
      </c>
      <c r="D529" s="71">
        <v>45453.0</v>
      </c>
      <c r="E529" s="71">
        <v>45464.0</v>
      </c>
      <c r="F529" s="69">
        <v>5660000.0</v>
      </c>
      <c r="G529" s="69">
        <v>5660000.0</v>
      </c>
      <c r="H529" s="69">
        <v>650000.0</v>
      </c>
      <c r="I529" s="69">
        <v>5660000.0</v>
      </c>
      <c r="J529" s="70">
        <f t="shared" si="9"/>
        <v>0.1148409894</v>
      </c>
    </row>
    <row r="530" ht="22.5" customHeight="1" outlineLevel="3">
      <c r="A530" s="66" t="s">
        <v>1190</v>
      </c>
      <c r="B530" s="67" t="s">
        <v>1191</v>
      </c>
      <c r="C530" s="67" t="s">
        <v>761</v>
      </c>
      <c r="D530" s="71">
        <v>45449.0</v>
      </c>
      <c r="E530" s="71">
        <v>45461.0</v>
      </c>
      <c r="F530" s="69">
        <v>2.74E7</v>
      </c>
      <c r="G530" s="69">
        <v>2.74E7</v>
      </c>
      <c r="H530" s="69">
        <v>1.433818E7</v>
      </c>
      <c r="I530" s="69">
        <v>2.74E7</v>
      </c>
      <c r="J530" s="70">
        <f t="shared" si="9"/>
        <v>0.5232912409</v>
      </c>
    </row>
    <row r="531" ht="22.5" customHeight="1" outlineLevel="3">
      <c r="A531" s="66" t="s">
        <v>1192</v>
      </c>
      <c r="B531" s="67" t="s">
        <v>1193</v>
      </c>
      <c r="C531" s="67" t="s">
        <v>1154</v>
      </c>
      <c r="D531" s="71">
        <v>45453.0</v>
      </c>
      <c r="E531" s="71">
        <v>45460.0</v>
      </c>
      <c r="F531" s="69">
        <v>1.2545E7</v>
      </c>
      <c r="G531" s="69">
        <v>1.2545E7</v>
      </c>
      <c r="H531" s="69">
        <v>1620000.0</v>
      </c>
      <c r="I531" s="69">
        <v>1.2545E7</v>
      </c>
      <c r="J531" s="70">
        <f t="shared" si="9"/>
        <v>0.1291351136</v>
      </c>
    </row>
    <row r="532" ht="22.5" customHeight="1" outlineLevel="3">
      <c r="A532" s="66" t="s">
        <v>1194</v>
      </c>
      <c r="B532" s="67" t="s">
        <v>742</v>
      </c>
      <c r="C532" s="67" t="s">
        <v>814</v>
      </c>
      <c r="D532" s="71">
        <v>45456.0</v>
      </c>
      <c r="E532" s="71">
        <v>45461.0</v>
      </c>
      <c r="F532" s="69">
        <v>1500000.0</v>
      </c>
      <c r="G532" s="69">
        <v>1500000.0</v>
      </c>
      <c r="H532" s="69">
        <v>250000.0</v>
      </c>
      <c r="I532" s="69">
        <v>1500000.0</v>
      </c>
      <c r="J532" s="70">
        <f t="shared" si="9"/>
        <v>0.1666666667</v>
      </c>
    </row>
    <row r="533" ht="22.5" customHeight="1" outlineLevel="3">
      <c r="A533" s="66" t="s">
        <v>1195</v>
      </c>
      <c r="B533" s="67" t="s">
        <v>1196</v>
      </c>
      <c r="C533" s="67" t="s">
        <v>1147</v>
      </c>
      <c r="D533" s="71">
        <v>45471.0</v>
      </c>
      <c r="E533" s="71">
        <v>45474.0</v>
      </c>
      <c r="F533" s="69">
        <v>5890000.0</v>
      </c>
      <c r="G533" s="69">
        <v>5890000.0</v>
      </c>
      <c r="H533" s="69">
        <v>890000.0</v>
      </c>
      <c r="I533" s="69">
        <v>5890000.0</v>
      </c>
      <c r="J533" s="70">
        <f t="shared" si="9"/>
        <v>0.1511035654</v>
      </c>
    </row>
    <row r="534" ht="22.5" customHeight="1" outlineLevel="3">
      <c r="A534" s="66" t="s">
        <v>1197</v>
      </c>
      <c r="B534" s="67" t="s">
        <v>1198</v>
      </c>
      <c r="C534" s="67" t="s">
        <v>1187</v>
      </c>
      <c r="D534" s="71">
        <v>45467.0</v>
      </c>
      <c r="E534" s="71">
        <v>45489.0</v>
      </c>
      <c r="F534" s="69">
        <v>4510000.0</v>
      </c>
      <c r="G534" s="69">
        <v>4510000.0</v>
      </c>
      <c r="H534" s="69">
        <v>1040000.0</v>
      </c>
      <c r="I534" s="69">
        <v>4510000.0</v>
      </c>
      <c r="J534" s="70">
        <f t="shared" si="9"/>
        <v>0.2305986696</v>
      </c>
    </row>
    <row r="535" ht="22.5" customHeight="1" outlineLevel="3">
      <c r="A535" s="66" t="s">
        <v>1199</v>
      </c>
      <c r="B535" s="67" t="s">
        <v>1200</v>
      </c>
      <c r="C535" s="67" t="s">
        <v>1201</v>
      </c>
      <c r="D535" s="71">
        <v>45454.0</v>
      </c>
      <c r="E535" s="71">
        <v>45460.0</v>
      </c>
      <c r="F535" s="69">
        <v>4.97E7</v>
      </c>
      <c r="G535" s="69">
        <v>4.97E7</v>
      </c>
      <c r="H535" s="69">
        <v>2700000.0</v>
      </c>
      <c r="I535" s="69">
        <v>4.97E7</v>
      </c>
      <c r="J535" s="70">
        <f t="shared" si="9"/>
        <v>0.05432595573</v>
      </c>
    </row>
    <row r="536" ht="22.5" customHeight="1" outlineLevel="3">
      <c r="A536" s="66" t="s">
        <v>1202</v>
      </c>
      <c r="B536" s="67" t="s">
        <v>1203</v>
      </c>
      <c r="C536" s="67" t="s">
        <v>1204</v>
      </c>
      <c r="D536" s="71">
        <v>45454.0</v>
      </c>
      <c r="E536" s="71">
        <v>45464.0</v>
      </c>
      <c r="F536" s="69">
        <v>2.47E7</v>
      </c>
      <c r="G536" s="69">
        <v>2.47E7</v>
      </c>
      <c r="H536" s="69">
        <v>1.084911024E7</v>
      </c>
      <c r="I536" s="69">
        <v>2.47E7</v>
      </c>
      <c r="J536" s="70">
        <f t="shared" si="9"/>
        <v>0.4392352324</v>
      </c>
    </row>
    <row r="537" ht="22.5" customHeight="1" outlineLevel="3">
      <c r="A537" s="66" t="s">
        <v>1205</v>
      </c>
      <c r="B537" s="67" t="s">
        <v>1206</v>
      </c>
      <c r="C537" s="67" t="s">
        <v>1207</v>
      </c>
      <c r="D537" s="71">
        <v>45469.0</v>
      </c>
      <c r="E537" s="71">
        <v>45476.0</v>
      </c>
      <c r="F537" s="69">
        <v>2.142E8</v>
      </c>
      <c r="G537" s="69">
        <v>2.142E8</v>
      </c>
      <c r="H537" s="69">
        <v>2.174508E7</v>
      </c>
      <c r="I537" s="69">
        <v>2.142E8</v>
      </c>
      <c r="J537" s="70">
        <f t="shared" si="9"/>
        <v>0.1015176471</v>
      </c>
    </row>
    <row r="538" ht="22.5" customHeight="1" outlineLevel="3">
      <c r="A538" s="66" t="s">
        <v>1208</v>
      </c>
      <c r="B538" s="67" t="s">
        <v>1209</v>
      </c>
      <c r="C538" s="67" t="s">
        <v>1210</v>
      </c>
      <c r="D538" s="71">
        <v>45456.0</v>
      </c>
      <c r="E538" s="71">
        <v>45476.0</v>
      </c>
      <c r="F538" s="69">
        <v>1.2102E8</v>
      </c>
      <c r="G538" s="69">
        <v>1.2102E8</v>
      </c>
      <c r="H538" s="69">
        <v>5720000.0</v>
      </c>
      <c r="I538" s="69">
        <v>6.051E7</v>
      </c>
      <c r="J538" s="70">
        <f t="shared" si="9"/>
        <v>0.04726491489</v>
      </c>
    </row>
    <row r="539" ht="22.5" customHeight="1" outlineLevel="3">
      <c r="A539" s="66" t="s">
        <v>1211</v>
      </c>
      <c r="B539" s="67" t="s">
        <v>1212</v>
      </c>
      <c r="C539" s="67" t="s">
        <v>1213</v>
      </c>
      <c r="D539" s="71">
        <v>45460.0</v>
      </c>
      <c r="E539" s="71">
        <v>45464.0</v>
      </c>
      <c r="F539" s="69">
        <v>2.509E7</v>
      </c>
      <c r="G539" s="69">
        <v>2.509E7</v>
      </c>
      <c r="H539" s="69">
        <v>9989110.24</v>
      </c>
      <c r="I539" s="69">
        <v>2.509E7</v>
      </c>
      <c r="J539" s="70">
        <f t="shared" si="9"/>
        <v>0.3981311375</v>
      </c>
    </row>
    <row r="540" ht="22.5" customHeight="1" outlineLevel="3">
      <c r="A540" s="66" t="s">
        <v>1214</v>
      </c>
      <c r="B540" s="67" t="s">
        <v>1215</v>
      </c>
      <c r="C540" s="67" t="s">
        <v>1216</v>
      </c>
      <c r="D540" s="71">
        <v>45460.0</v>
      </c>
      <c r="E540" s="71">
        <v>45471.0</v>
      </c>
      <c r="F540" s="69">
        <v>4.3992E7</v>
      </c>
      <c r="G540" s="69">
        <v>4.3992E7</v>
      </c>
      <c r="H540" s="69">
        <v>5160600.0</v>
      </c>
      <c r="I540" s="69">
        <v>4.3992E7</v>
      </c>
      <c r="J540" s="70">
        <f t="shared" si="9"/>
        <v>0.1173076923</v>
      </c>
    </row>
    <row r="541" ht="22.5" customHeight="1" outlineLevel="3">
      <c r="A541" s="66" t="s">
        <v>1217</v>
      </c>
      <c r="B541" s="67" t="s">
        <v>1218</v>
      </c>
      <c r="C541" s="67" t="s">
        <v>1078</v>
      </c>
      <c r="D541" s="71">
        <v>45460.0</v>
      </c>
      <c r="E541" s="71">
        <v>45474.0</v>
      </c>
      <c r="F541" s="69">
        <v>8.0067877E8</v>
      </c>
      <c r="G541" s="69">
        <v>8.0067877E8</v>
      </c>
      <c r="H541" s="69">
        <v>2.43739985E8</v>
      </c>
      <c r="I541" s="69">
        <v>8.0067877E8</v>
      </c>
      <c r="J541" s="70">
        <f t="shared" si="9"/>
        <v>0.3044166951</v>
      </c>
    </row>
    <row r="542" ht="22.5" customHeight="1" outlineLevel="3">
      <c r="A542" s="66" t="s">
        <v>1219</v>
      </c>
      <c r="B542" s="67" t="s">
        <v>1220</v>
      </c>
      <c r="C542" s="67" t="s">
        <v>866</v>
      </c>
      <c r="D542" s="71">
        <v>45460.0</v>
      </c>
      <c r="E542" s="71">
        <v>45471.0</v>
      </c>
      <c r="F542" s="69">
        <v>1.5E8</v>
      </c>
      <c r="G542" s="69">
        <v>1.5E8</v>
      </c>
      <c r="H542" s="69">
        <v>1.48704E7</v>
      </c>
      <c r="I542" s="69">
        <v>1.5E8</v>
      </c>
      <c r="J542" s="70">
        <f t="shared" si="9"/>
        <v>0.099136</v>
      </c>
    </row>
    <row r="543" ht="22.5" customHeight="1" outlineLevel="3">
      <c r="A543" s="66" t="s">
        <v>1221</v>
      </c>
      <c r="B543" s="67" t="s">
        <v>1222</v>
      </c>
      <c r="C543" s="67" t="s">
        <v>1223</v>
      </c>
      <c r="D543" s="71">
        <v>45455.0</v>
      </c>
      <c r="E543" s="71">
        <v>45461.0</v>
      </c>
      <c r="F543" s="69">
        <v>2.047E7</v>
      </c>
      <c r="G543" s="69">
        <v>2.047E7</v>
      </c>
      <c r="H543" s="69">
        <v>1.4237E7</v>
      </c>
      <c r="I543" s="69">
        <v>2.047E7</v>
      </c>
      <c r="J543" s="70">
        <f t="shared" si="9"/>
        <v>0.695505618</v>
      </c>
    </row>
    <row r="544" ht="22.5" customHeight="1" outlineLevel="3">
      <c r="A544" s="66" t="s">
        <v>1224</v>
      </c>
      <c r="B544" s="67" t="s">
        <v>1225</v>
      </c>
      <c r="C544" s="67" t="s">
        <v>1226</v>
      </c>
      <c r="D544" s="71">
        <v>45469.0</v>
      </c>
      <c r="E544" s="71">
        <v>45470.0</v>
      </c>
      <c r="F544" s="69">
        <v>4.284E8</v>
      </c>
      <c r="G544" s="69">
        <v>4.284E8</v>
      </c>
      <c r="H544" s="69">
        <v>3.379583519999999E7</v>
      </c>
      <c r="I544" s="69">
        <v>4.284E8</v>
      </c>
      <c r="J544" s="70">
        <f t="shared" si="9"/>
        <v>0.0788885042</v>
      </c>
    </row>
    <row r="545" ht="22.5" customHeight="1" outlineLevel="3">
      <c r="A545" s="66" t="s">
        <v>1227</v>
      </c>
      <c r="B545" s="67" t="s">
        <v>1228</v>
      </c>
      <c r="C545" s="67" t="s">
        <v>1229</v>
      </c>
      <c r="D545" s="71">
        <v>45498.0</v>
      </c>
      <c r="E545" s="71">
        <v>45506.0</v>
      </c>
      <c r="F545" s="69">
        <v>6.51105E8</v>
      </c>
      <c r="G545" s="69">
        <v>6.51105E8</v>
      </c>
      <c r="H545" s="69">
        <v>3.56651E8</v>
      </c>
      <c r="I545" s="69">
        <v>6.51105E8</v>
      </c>
      <c r="J545" s="70">
        <f t="shared" si="9"/>
        <v>0.5477626496</v>
      </c>
    </row>
    <row r="546" ht="22.5" customHeight="1" outlineLevel="3">
      <c r="A546" s="66" t="s">
        <v>1230</v>
      </c>
      <c r="B546" s="67" t="s">
        <v>1231</v>
      </c>
      <c r="C546" s="67" t="s">
        <v>746</v>
      </c>
      <c r="D546" s="71">
        <v>45463.0</v>
      </c>
      <c r="E546" s="71">
        <v>45469.0</v>
      </c>
      <c r="F546" s="69">
        <v>2.456E7</v>
      </c>
      <c r="G546" s="69">
        <v>2.456E7</v>
      </c>
      <c r="H546" s="69">
        <v>1390000.0</v>
      </c>
      <c r="I546" s="69">
        <v>2.456E7</v>
      </c>
      <c r="J546" s="70">
        <f t="shared" si="9"/>
        <v>0.05659609121</v>
      </c>
    </row>
    <row r="547" ht="22.5" customHeight="1" outlineLevel="3">
      <c r="A547" s="66" t="s">
        <v>1232</v>
      </c>
      <c r="B547" s="67" t="s">
        <v>1233</v>
      </c>
      <c r="C547" s="67" t="s">
        <v>1234</v>
      </c>
      <c r="D547" s="71">
        <v>45463.0</v>
      </c>
      <c r="E547" s="71">
        <v>45469.0</v>
      </c>
      <c r="F547" s="69">
        <v>2.06036E8</v>
      </c>
      <c r="G547" s="69">
        <v>2.06036E8</v>
      </c>
      <c r="H547" s="69">
        <v>1.1686E7</v>
      </c>
      <c r="I547" s="69">
        <v>2.06036E8</v>
      </c>
      <c r="J547" s="70">
        <f t="shared" si="9"/>
        <v>0.05671824341</v>
      </c>
    </row>
    <row r="548" ht="22.5" customHeight="1" outlineLevel="3">
      <c r="A548" s="66" t="s">
        <v>1235</v>
      </c>
      <c r="B548" s="67" t="s">
        <v>1236</v>
      </c>
      <c r="C548" s="67" t="s">
        <v>1237</v>
      </c>
      <c r="D548" s="71">
        <v>45469.0</v>
      </c>
      <c r="E548" s="71">
        <v>45474.0</v>
      </c>
      <c r="F548" s="69">
        <v>9.5792E7</v>
      </c>
      <c r="G548" s="69">
        <v>9.5792E7</v>
      </c>
      <c r="H548" s="69">
        <v>3522000.0</v>
      </c>
      <c r="I548" s="69">
        <v>9.5792E7</v>
      </c>
      <c r="J548" s="70">
        <f t="shared" si="9"/>
        <v>0.03676716218</v>
      </c>
    </row>
    <row r="549" ht="22.5" customHeight="1" outlineLevel="3">
      <c r="A549" s="66" t="s">
        <v>1238</v>
      </c>
      <c r="B549" s="67" t="s">
        <v>1239</v>
      </c>
      <c r="C549" s="67" t="s">
        <v>1087</v>
      </c>
      <c r="D549" s="71">
        <v>45469.0</v>
      </c>
      <c r="E549" s="71">
        <v>45476.0</v>
      </c>
      <c r="F549" s="69">
        <v>2.689E7</v>
      </c>
      <c r="G549" s="69">
        <v>2.689E7</v>
      </c>
      <c r="H549" s="69">
        <v>1807000.0</v>
      </c>
      <c r="I549" s="69">
        <v>2.689E7</v>
      </c>
      <c r="J549" s="70">
        <f t="shared" si="9"/>
        <v>0.06719970249</v>
      </c>
    </row>
    <row r="550" ht="22.5" customHeight="1" outlineLevel="3">
      <c r="A550" s="66" t="s">
        <v>1240</v>
      </c>
      <c r="B550" s="67" t="s">
        <v>1241</v>
      </c>
      <c r="C550" s="67" t="s">
        <v>1242</v>
      </c>
      <c r="D550" s="71">
        <v>45469.0</v>
      </c>
      <c r="E550" s="71">
        <v>45476.0</v>
      </c>
      <c r="F550" s="69">
        <v>1.8E7</v>
      </c>
      <c r="G550" s="69">
        <v>1.8E7</v>
      </c>
      <c r="H550" s="69">
        <v>9266666.666666666</v>
      </c>
      <c r="I550" s="69">
        <v>1.8E7</v>
      </c>
      <c r="J550" s="70">
        <f t="shared" si="9"/>
        <v>0.5148148148</v>
      </c>
    </row>
    <row r="551" ht="22.5" customHeight="1" outlineLevel="3">
      <c r="A551" s="66" t="s">
        <v>1243</v>
      </c>
      <c r="B551" s="67" t="s">
        <v>1244</v>
      </c>
      <c r="C551" s="67" t="s">
        <v>1147</v>
      </c>
      <c r="D551" s="71">
        <v>45476.0</v>
      </c>
      <c r="E551" s="71">
        <v>45478.0</v>
      </c>
      <c r="F551" s="69">
        <v>1.18988E8</v>
      </c>
      <c r="G551" s="69">
        <v>1.18988E8</v>
      </c>
      <c r="H551" s="69">
        <v>1988000.0</v>
      </c>
      <c r="I551" s="69">
        <v>1.18988E8</v>
      </c>
      <c r="J551" s="70">
        <f t="shared" si="9"/>
        <v>0.01670756715</v>
      </c>
    </row>
    <row r="552" ht="22.5" customHeight="1" outlineLevel="3">
      <c r="A552" s="66" t="s">
        <v>1245</v>
      </c>
      <c r="B552" s="67" t="s">
        <v>1246</v>
      </c>
      <c r="C552" s="67" t="s">
        <v>1247</v>
      </c>
      <c r="D552" s="71">
        <v>45478.0</v>
      </c>
      <c r="E552" s="71">
        <v>45482.0</v>
      </c>
      <c r="F552" s="69">
        <v>2.142E8</v>
      </c>
      <c r="G552" s="69">
        <v>2.142E8</v>
      </c>
      <c r="H552" s="69">
        <v>2.142E7</v>
      </c>
      <c r="I552" s="69">
        <v>2.142E8</v>
      </c>
      <c r="J552" s="70">
        <f t="shared" si="9"/>
        <v>0.1</v>
      </c>
    </row>
    <row r="553" ht="22.5" customHeight="1" outlineLevel="3">
      <c r="A553" s="66" t="s">
        <v>1248</v>
      </c>
      <c r="B553" s="67" t="s">
        <v>1249</v>
      </c>
      <c r="C553" s="67" t="s">
        <v>807</v>
      </c>
      <c r="D553" s="71">
        <v>45478.0</v>
      </c>
      <c r="E553" s="71">
        <v>45482.0</v>
      </c>
      <c r="F553" s="69">
        <v>6.584376E8</v>
      </c>
      <c r="G553" s="69">
        <v>6.584376E8</v>
      </c>
      <c r="H553" s="69">
        <v>1.85476E7</v>
      </c>
      <c r="I553" s="69">
        <v>6.584376E8</v>
      </c>
      <c r="J553" s="70">
        <f t="shared" si="9"/>
        <v>0.0281691082</v>
      </c>
    </row>
    <row r="554" ht="22.5" customHeight="1" outlineLevel="3">
      <c r="A554" s="66" t="s">
        <v>1250</v>
      </c>
      <c r="B554" s="67" t="s">
        <v>1251</v>
      </c>
      <c r="C554" s="67" t="s">
        <v>836</v>
      </c>
      <c r="D554" s="71">
        <v>45481.0</v>
      </c>
      <c r="E554" s="71">
        <v>45488.0</v>
      </c>
      <c r="F554" s="69">
        <v>4.75E7</v>
      </c>
      <c r="G554" s="69">
        <v>4.75E7</v>
      </c>
      <c r="H554" s="69">
        <v>4750000.0</v>
      </c>
      <c r="I554" s="69">
        <v>4.75E7</v>
      </c>
      <c r="J554" s="70">
        <f t="shared" si="9"/>
        <v>0.1</v>
      </c>
    </row>
    <row r="555" ht="22.5" customHeight="1" outlineLevel="3">
      <c r="A555" s="66" t="s">
        <v>1252</v>
      </c>
      <c r="B555" s="67" t="s">
        <v>1253</v>
      </c>
      <c r="C555" s="67" t="s">
        <v>1201</v>
      </c>
      <c r="D555" s="71">
        <v>45481.0</v>
      </c>
      <c r="E555" s="71">
        <v>45484.0</v>
      </c>
      <c r="F555" s="69">
        <v>6.5278E7</v>
      </c>
      <c r="G555" s="69">
        <v>6.5278E7</v>
      </c>
      <c r="H555" s="69">
        <v>1.9939E7</v>
      </c>
      <c r="I555" s="69">
        <v>6.5278E7</v>
      </c>
      <c r="J555" s="70">
        <f t="shared" si="9"/>
        <v>0.3054474708</v>
      </c>
    </row>
    <row r="556" ht="22.5" customHeight="1" outlineLevel="3">
      <c r="A556" s="66" t="s">
        <v>1254</v>
      </c>
      <c r="B556" s="67" t="s">
        <v>1255</v>
      </c>
      <c r="C556" s="67" t="s">
        <v>1256</v>
      </c>
      <c r="D556" s="71">
        <v>45484.0</v>
      </c>
      <c r="E556" s="71">
        <v>45491.0</v>
      </c>
      <c r="F556" s="69">
        <v>1.591E7</v>
      </c>
      <c r="G556" s="69">
        <v>1.591E7</v>
      </c>
      <c r="H556" s="69">
        <v>1360000.0</v>
      </c>
      <c r="I556" s="69">
        <v>1.591E7</v>
      </c>
      <c r="J556" s="70">
        <f t="shared" si="9"/>
        <v>0.08548082967</v>
      </c>
    </row>
    <row r="557" ht="22.5" customHeight="1" outlineLevel="3">
      <c r="A557" s="66" t="s">
        <v>1257</v>
      </c>
      <c r="B557" s="67" t="s">
        <v>1258</v>
      </c>
      <c r="C557" s="67" t="s">
        <v>1259</v>
      </c>
      <c r="D557" s="71">
        <v>45484.0</v>
      </c>
      <c r="E557" s="71">
        <v>45489.0</v>
      </c>
      <c r="F557" s="69">
        <v>2.8E7</v>
      </c>
      <c r="G557" s="69">
        <v>2.8E7</v>
      </c>
      <c r="H557" s="69">
        <v>1.15E7</v>
      </c>
      <c r="I557" s="69">
        <v>2.8E7</v>
      </c>
      <c r="J557" s="70">
        <f t="shared" si="9"/>
        <v>0.4107142857</v>
      </c>
    </row>
    <row r="558" ht="22.5" customHeight="1" outlineLevel="3">
      <c r="A558" s="66" t="s">
        <v>1260</v>
      </c>
      <c r="B558" s="67" t="s">
        <v>1261</v>
      </c>
      <c r="C558" s="67" t="s">
        <v>1262</v>
      </c>
      <c r="D558" s="71">
        <v>45586.0</v>
      </c>
      <c r="E558" s="71">
        <v>45594.0</v>
      </c>
      <c r="F558" s="69">
        <v>5.142075E8</v>
      </c>
      <c r="G558" s="69">
        <v>5.142075E8</v>
      </c>
      <c r="H558" s="69">
        <v>3.892075E7</v>
      </c>
      <c r="I558" s="69">
        <v>5.142075E8</v>
      </c>
      <c r="J558" s="70">
        <f t="shared" si="9"/>
        <v>0.07569074741</v>
      </c>
    </row>
    <row r="559" ht="22.5" customHeight="1" outlineLevel="3">
      <c r="A559" s="66" t="s">
        <v>1263</v>
      </c>
      <c r="B559" s="67" t="s">
        <v>1264</v>
      </c>
      <c r="C559" s="67" t="s">
        <v>1103</v>
      </c>
      <c r="D559" s="71">
        <v>45471.0</v>
      </c>
      <c r="E559" s="71">
        <v>45477.0</v>
      </c>
      <c r="F559" s="69">
        <v>7.19E7</v>
      </c>
      <c r="G559" s="69">
        <v>7.19E7</v>
      </c>
      <c r="H559" s="69">
        <v>2440000.0</v>
      </c>
      <c r="I559" s="69">
        <v>7.19E7</v>
      </c>
      <c r="J559" s="70">
        <f t="shared" si="9"/>
        <v>0.03393602225</v>
      </c>
    </row>
    <row r="560" ht="22.5" customHeight="1" outlineLevel="3">
      <c r="A560" s="66" t="s">
        <v>1265</v>
      </c>
      <c r="B560" s="67" t="s">
        <v>1266</v>
      </c>
      <c r="C560" s="67" t="s">
        <v>875</v>
      </c>
      <c r="D560" s="71">
        <v>45470.0</v>
      </c>
      <c r="E560" s="71">
        <v>45475.0</v>
      </c>
      <c r="F560" s="69">
        <v>5.46E7</v>
      </c>
      <c r="G560" s="69">
        <v>5.46E7</v>
      </c>
      <c r="H560" s="69">
        <v>1.89E7</v>
      </c>
      <c r="I560" s="69">
        <v>5.46E7</v>
      </c>
      <c r="J560" s="70">
        <f t="shared" si="9"/>
        <v>0.3461538462</v>
      </c>
    </row>
    <row r="561" ht="22.5" customHeight="1" outlineLevel="3">
      <c r="A561" s="66" t="s">
        <v>1267</v>
      </c>
      <c r="B561" s="67" t="s">
        <v>1241</v>
      </c>
      <c r="C561" s="67" t="s">
        <v>1268</v>
      </c>
      <c r="D561" s="71">
        <v>45476.0</v>
      </c>
      <c r="E561" s="71">
        <v>45482.0</v>
      </c>
      <c r="F561" s="69">
        <v>1.8E7</v>
      </c>
      <c r="G561" s="69">
        <v>1.8E7</v>
      </c>
      <c r="H561" s="69">
        <v>1.1766666666666666E7</v>
      </c>
      <c r="I561" s="69">
        <v>1.8E7</v>
      </c>
      <c r="J561" s="70">
        <f t="shared" si="9"/>
        <v>0.6537037037</v>
      </c>
    </row>
    <row r="562" ht="22.5" customHeight="1" outlineLevel="3">
      <c r="A562" s="66" t="s">
        <v>1269</v>
      </c>
      <c r="B562" s="67" t="s">
        <v>1270</v>
      </c>
      <c r="C562" s="67" t="s">
        <v>758</v>
      </c>
      <c r="D562" s="71">
        <v>45476.0</v>
      </c>
      <c r="E562" s="71">
        <v>45484.0</v>
      </c>
      <c r="F562" s="69">
        <v>1.419E7</v>
      </c>
      <c r="G562" s="69">
        <v>1.419E7</v>
      </c>
      <c r="H562" s="69">
        <v>740000.0</v>
      </c>
      <c r="I562" s="69">
        <v>1.419E7</v>
      </c>
      <c r="J562" s="70">
        <f t="shared" si="9"/>
        <v>0.05214940099</v>
      </c>
    </row>
    <row r="563" ht="22.5" customHeight="1" outlineLevel="3">
      <c r="A563" s="66" t="s">
        <v>1271</v>
      </c>
      <c r="B563" s="67" t="s">
        <v>1272</v>
      </c>
      <c r="C563" s="67" t="s">
        <v>1273</v>
      </c>
      <c r="D563" s="71">
        <v>45481.0</v>
      </c>
      <c r="E563" s="71">
        <v>45484.0</v>
      </c>
      <c r="F563" s="69">
        <v>1.079E7</v>
      </c>
      <c r="G563" s="69">
        <v>1.079E7</v>
      </c>
      <c r="H563" s="69">
        <v>1079000.0</v>
      </c>
      <c r="I563" s="69">
        <v>1.079E7</v>
      </c>
      <c r="J563" s="70">
        <f t="shared" si="9"/>
        <v>0.1</v>
      </c>
    </row>
    <row r="564" ht="22.5" customHeight="1" outlineLevel="3">
      <c r="A564" s="66" t="s">
        <v>1274</v>
      </c>
      <c r="B564" s="67" t="s">
        <v>1275</v>
      </c>
      <c r="C564" s="67" t="s">
        <v>1276</v>
      </c>
      <c r="D564" s="71">
        <v>45474.0</v>
      </c>
      <c r="E564" s="71">
        <v>45482.0</v>
      </c>
      <c r="F564" s="69">
        <v>2.509E7</v>
      </c>
      <c r="G564" s="69">
        <v>2.509E7</v>
      </c>
      <c r="H564" s="69">
        <v>1.0227375E7</v>
      </c>
      <c r="I564" s="69">
        <v>2.509E7</v>
      </c>
      <c r="J564" s="70">
        <f t="shared" si="9"/>
        <v>0.4076275409</v>
      </c>
    </row>
    <row r="565" ht="22.5" customHeight="1" outlineLevel="3">
      <c r="A565" s="66" t="s">
        <v>1277</v>
      </c>
      <c r="B565" s="67" t="s">
        <v>1278</v>
      </c>
      <c r="C565" s="67" t="s">
        <v>1279</v>
      </c>
      <c r="D565" s="71">
        <v>45482.0</v>
      </c>
      <c r="E565" s="71">
        <v>45485.0</v>
      </c>
      <c r="F565" s="69">
        <v>4305000.0</v>
      </c>
      <c r="G565" s="69">
        <v>4305000.0</v>
      </c>
      <c r="H565" s="69">
        <v>562500.0</v>
      </c>
      <c r="I565" s="69">
        <v>4305000.0</v>
      </c>
      <c r="J565" s="70">
        <f t="shared" si="9"/>
        <v>0.1306620209</v>
      </c>
    </row>
    <row r="566" ht="22.5" customHeight="1" outlineLevel="3">
      <c r="A566" s="66" t="s">
        <v>1280</v>
      </c>
      <c r="B566" s="67" t="s">
        <v>1281</v>
      </c>
      <c r="C566" s="67" t="s">
        <v>1282</v>
      </c>
      <c r="D566" s="71">
        <v>45484.0</v>
      </c>
      <c r="E566" s="71">
        <v>45484.0</v>
      </c>
      <c r="F566" s="69">
        <v>1.04E7</v>
      </c>
      <c r="G566" s="69">
        <v>1.04E7</v>
      </c>
      <c r="H566" s="69">
        <v>5583333.333333333</v>
      </c>
      <c r="I566" s="69">
        <v>1.04E7</v>
      </c>
      <c r="J566" s="70">
        <f t="shared" si="9"/>
        <v>0.5368589744</v>
      </c>
    </row>
    <row r="567" ht="22.5" customHeight="1" outlineLevel="3">
      <c r="A567" s="66" t="s">
        <v>1283</v>
      </c>
      <c r="B567" s="67" t="s">
        <v>1284</v>
      </c>
      <c r="C567" s="67" t="s">
        <v>1285</v>
      </c>
      <c r="D567" s="71">
        <v>45483.0</v>
      </c>
      <c r="E567" s="71">
        <v>45491.0</v>
      </c>
      <c r="F567" s="69">
        <v>2.19598E8</v>
      </c>
      <c r="G567" s="69">
        <v>2.19598E8</v>
      </c>
      <c r="H567" s="69">
        <v>2.399515E7</v>
      </c>
      <c r="I567" s="69">
        <v>2.19598E8</v>
      </c>
      <c r="J567" s="70">
        <f t="shared" si="9"/>
        <v>0.109268527</v>
      </c>
    </row>
    <row r="568" ht="22.5" customHeight="1" outlineLevel="3">
      <c r="A568" s="66" t="s">
        <v>1286</v>
      </c>
      <c r="B568" s="67" t="s">
        <v>1287</v>
      </c>
      <c r="C568" s="67" t="s">
        <v>1078</v>
      </c>
      <c r="D568" s="71">
        <v>45489.0</v>
      </c>
      <c r="E568" s="71">
        <v>45524.0</v>
      </c>
      <c r="F568" s="69">
        <v>4.7867677E8</v>
      </c>
      <c r="G568" s="69">
        <v>4.7867677E8</v>
      </c>
      <c r="H568" s="69">
        <v>1.38704145E8</v>
      </c>
      <c r="I568" s="69">
        <v>4.7867677E8</v>
      </c>
      <c r="J568" s="70">
        <f t="shared" si="9"/>
        <v>0.2897657745</v>
      </c>
    </row>
    <row r="569" ht="22.5" customHeight="1" outlineLevel="3">
      <c r="A569" s="66" t="s">
        <v>1288</v>
      </c>
      <c r="B569" s="67" t="s">
        <v>997</v>
      </c>
      <c r="C569" s="67" t="s">
        <v>1028</v>
      </c>
      <c r="D569" s="71">
        <v>45488.0</v>
      </c>
      <c r="E569" s="71">
        <v>45490.0</v>
      </c>
      <c r="F569" s="69">
        <v>1.3464E7</v>
      </c>
      <c r="G569" s="69">
        <v>1.3464E7</v>
      </c>
      <c r="H569" s="69">
        <v>7230666.666666666</v>
      </c>
      <c r="I569" s="69">
        <v>1.3464E7</v>
      </c>
      <c r="J569" s="70">
        <f t="shared" si="9"/>
        <v>0.537037037</v>
      </c>
    </row>
    <row r="570" ht="22.5" customHeight="1" outlineLevel="3">
      <c r="A570" s="66" t="s">
        <v>1289</v>
      </c>
      <c r="B570" s="67" t="s">
        <v>1290</v>
      </c>
      <c r="C570" s="67" t="s">
        <v>924</v>
      </c>
      <c r="D570" s="71">
        <v>45489.0</v>
      </c>
      <c r="E570" s="71">
        <v>45489.0</v>
      </c>
      <c r="F570" s="69">
        <v>1800000.0</v>
      </c>
      <c r="G570" s="69">
        <v>1800000.0</v>
      </c>
      <c r="H570" s="69">
        <v>180000.0</v>
      </c>
      <c r="I570" s="69">
        <v>1800000.0</v>
      </c>
      <c r="J570" s="70">
        <f t="shared" si="9"/>
        <v>0.1</v>
      </c>
    </row>
    <row r="571" ht="22.5" customHeight="1" outlineLevel="3">
      <c r="A571" s="66" t="s">
        <v>1291</v>
      </c>
      <c r="B571" s="67" t="s">
        <v>1292</v>
      </c>
      <c r="C571" s="67" t="s">
        <v>1293</v>
      </c>
      <c r="D571" s="71">
        <v>45498.0</v>
      </c>
      <c r="E571" s="71">
        <v>45524.0</v>
      </c>
      <c r="F571" s="69">
        <v>9.9379E7</v>
      </c>
      <c r="G571" s="69">
        <v>9.9379E7</v>
      </c>
      <c r="H571" s="69">
        <v>3.1579E7</v>
      </c>
      <c r="I571" s="69">
        <v>9.9379E7</v>
      </c>
      <c r="J571" s="70">
        <f t="shared" si="9"/>
        <v>0.3177633102</v>
      </c>
    </row>
    <row r="572" ht="22.5" customHeight="1" outlineLevel="3">
      <c r="A572" s="66" t="s">
        <v>1294</v>
      </c>
      <c r="B572" s="67" t="s">
        <v>1295</v>
      </c>
      <c r="C572" s="67" t="s">
        <v>1078</v>
      </c>
      <c r="D572" s="71">
        <v>45495.0</v>
      </c>
      <c r="E572" s="71">
        <v>45524.0</v>
      </c>
      <c r="F572" s="69">
        <v>2.523381E8</v>
      </c>
      <c r="G572" s="69">
        <v>2.523381E8</v>
      </c>
      <c r="H572" s="69">
        <v>6.0149425E7</v>
      </c>
      <c r="I572" s="69">
        <v>2.523381E8</v>
      </c>
      <c r="J572" s="70">
        <f t="shared" si="9"/>
        <v>0.2383683835</v>
      </c>
    </row>
    <row r="573" ht="22.5" customHeight="1" outlineLevel="3">
      <c r="A573" s="66" t="s">
        <v>1296</v>
      </c>
      <c r="B573" s="67" t="s">
        <v>1297</v>
      </c>
      <c r="C573" s="67" t="s">
        <v>975</v>
      </c>
      <c r="D573" s="71">
        <v>45512.0</v>
      </c>
      <c r="E573" s="71">
        <v>45533.0</v>
      </c>
      <c r="F573" s="69">
        <v>3.32E7</v>
      </c>
      <c r="G573" s="69">
        <v>3.32E7</v>
      </c>
      <c r="H573" s="69">
        <v>1000000.0</v>
      </c>
      <c r="I573" s="69">
        <v>3.32E7</v>
      </c>
      <c r="J573" s="70">
        <f t="shared" si="9"/>
        <v>0.03012048193</v>
      </c>
    </row>
    <row r="574" ht="22.5" customHeight="1" outlineLevel="3">
      <c r="A574" s="66" t="s">
        <v>1298</v>
      </c>
      <c r="B574" s="67" t="s">
        <v>1299</v>
      </c>
      <c r="C574" s="67" t="s">
        <v>1234</v>
      </c>
      <c r="D574" s="71">
        <v>45509.0</v>
      </c>
      <c r="E574" s="71">
        <v>45517.0</v>
      </c>
      <c r="F574" s="69">
        <v>3.0E8</v>
      </c>
      <c r="G574" s="69">
        <v>3.0E8</v>
      </c>
      <c r="H574" s="69">
        <v>1.0E7</v>
      </c>
      <c r="I574" s="69">
        <v>3.0E8</v>
      </c>
      <c r="J574" s="70">
        <f t="shared" si="9"/>
        <v>0.03333333333</v>
      </c>
    </row>
    <row r="575" ht="22.5" customHeight="1" outlineLevel="3">
      <c r="A575" s="66" t="s">
        <v>1300</v>
      </c>
      <c r="B575" s="67" t="s">
        <v>1301</v>
      </c>
      <c r="C575" s="67" t="s">
        <v>1302</v>
      </c>
      <c r="D575" s="71">
        <v>45490.0</v>
      </c>
      <c r="E575" s="71">
        <v>45496.0</v>
      </c>
      <c r="F575" s="69">
        <v>1645000.0</v>
      </c>
      <c r="G575" s="69">
        <v>1645000.0</v>
      </c>
      <c r="H575" s="69">
        <v>158000.0</v>
      </c>
      <c r="I575" s="69">
        <v>1645000.0</v>
      </c>
      <c r="J575" s="70">
        <f t="shared" si="9"/>
        <v>0.09604863222</v>
      </c>
    </row>
    <row r="576" ht="22.5" customHeight="1" outlineLevel="3">
      <c r="A576" s="66" t="s">
        <v>1303</v>
      </c>
      <c r="B576" s="67" t="s">
        <v>1304</v>
      </c>
      <c r="C576" s="67" t="s">
        <v>1305</v>
      </c>
      <c r="D576" s="71">
        <v>45475.0</v>
      </c>
      <c r="E576" s="71">
        <v>45497.0</v>
      </c>
      <c r="F576" s="69">
        <v>5.6979E7</v>
      </c>
      <c r="G576" s="69">
        <v>5.6979E7</v>
      </c>
      <c r="H576" s="69">
        <v>1.9370375E7</v>
      </c>
      <c r="I576" s="69">
        <v>5.6979E7</v>
      </c>
      <c r="J576" s="70">
        <f t="shared" si="9"/>
        <v>0.3399563874</v>
      </c>
    </row>
    <row r="577" ht="22.5" customHeight="1" outlineLevel="3">
      <c r="A577" s="66" t="s">
        <v>1306</v>
      </c>
      <c r="B577" s="67" t="s">
        <v>1307</v>
      </c>
      <c r="C577" s="67" t="s">
        <v>878</v>
      </c>
      <c r="D577" s="71">
        <v>45492.0</v>
      </c>
      <c r="E577" s="71">
        <v>45502.0</v>
      </c>
      <c r="F577" s="69">
        <v>1.26E7</v>
      </c>
      <c r="G577" s="69">
        <v>1.26E7</v>
      </c>
      <c r="H577" s="69">
        <v>600000.0</v>
      </c>
      <c r="I577" s="69">
        <v>1.26E7</v>
      </c>
      <c r="J577" s="70">
        <f t="shared" si="9"/>
        <v>0.04761904762</v>
      </c>
    </row>
    <row r="578" ht="22.5" customHeight="1" outlineLevel="3">
      <c r="A578" s="66" t="s">
        <v>1308</v>
      </c>
      <c r="B578" s="67" t="s">
        <v>1309</v>
      </c>
      <c r="C578" s="67" t="s">
        <v>1310</v>
      </c>
      <c r="D578" s="71">
        <v>45477.0</v>
      </c>
      <c r="E578" s="71">
        <v>45502.0</v>
      </c>
      <c r="F578" s="69">
        <v>1.852E7</v>
      </c>
      <c r="G578" s="69">
        <v>1.852E7</v>
      </c>
      <c r="H578" s="69">
        <v>1100000.0</v>
      </c>
      <c r="I578" s="69">
        <v>1.852E7</v>
      </c>
      <c r="J578" s="70">
        <f t="shared" si="9"/>
        <v>0.05939524838</v>
      </c>
    </row>
    <row r="579" ht="22.5" customHeight="1" outlineLevel="3">
      <c r="A579" s="66" t="s">
        <v>1311</v>
      </c>
      <c r="B579" s="67" t="s">
        <v>1312</v>
      </c>
      <c r="C579" s="67" t="s">
        <v>1313</v>
      </c>
      <c r="D579" s="71">
        <v>45477.0</v>
      </c>
      <c r="E579" s="71">
        <v>45502.0</v>
      </c>
      <c r="F579" s="69">
        <v>1.0186E7</v>
      </c>
      <c r="G579" s="69">
        <v>1.0186E7</v>
      </c>
      <c r="H579" s="69">
        <v>730000.0</v>
      </c>
      <c r="I579" s="69">
        <v>1.0186E7</v>
      </c>
      <c r="J579" s="70">
        <f t="shared" si="9"/>
        <v>0.07166699391</v>
      </c>
    </row>
    <row r="580" ht="22.5" customHeight="1" outlineLevel="3">
      <c r="A580" s="66" t="s">
        <v>1314</v>
      </c>
      <c r="B580" s="67" t="s">
        <v>1315</v>
      </c>
      <c r="C580" s="67" t="s">
        <v>1316</v>
      </c>
      <c r="D580" s="71">
        <v>45477.0</v>
      </c>
      <c r="E580" s="71">
        <v>45502.0</v>
      </c>
      <c r="F580" s="69">
        <v>1.7594E7</v>
      </c>
      <c r="G580" s="69">
        <v>1.7594E7</v>
      </c>
      <c r="H580" s="69">
        <v>920000.0</v>
      </c>
      <c r="I580" s="69">
        <v>1.7594E7</v>
      </c>
      <c r="J580" s="70">
        <f t="shared" si="9"/>
        <v>0.0522905536</v>
      </c>
    </row>
    <row r="581" ht="22.5" customHeight="1" outlineLevel="3">
      <c r="A581" s="66" t="s">
        <v>1317</v>
      </c>
      <c r="B581" s="67" t="s">
        <v>1318</v>
      </c>
      <c r="C581" s="67" t="s">
        <v>1302</v>
      </c>
      <c r="D581" s="71">
        <v>45503.0</v>
      </c>
      <c r="E581" s="71">
        <v>45541.0</v>
      </c>
      <c r="F581" s="69">
        <v>3339000.0</v>
      </c>
      <c r="G581" s="69">
        <v>3339000.0</v>
      </c>
      <c r="H581" s="69">
        <v>219000.0</v>
      </c>
      <c r="I581" s="69">
        <v>3339000.0</v>
      </c>
      <c r="J581" s="70">
        <f t="shared" si="9"/>
        <v>0.06558849955</v>
      </c>
    </row>
    <row r="582" ht="22.5" customHeight="1" outlineLevel="3">
      <c r="A582" s="66" t="s">
        <v>1319</v>
      </c>
      <c r="B582" s="67" t="s">
        <v>1320</v>
      </c>
      <c r="C582" s="67" t="s">
        <v>1276</v>
      </c>
      <c r="D582" s="71">
        <v>45503.0</v>
      </c>
      <c r="E582" s="71">
        <v>45510.0</v>
      </c>
      <c r="F582" s="69">
        <v>2.61E7</v>
      </c>
      <c r="G582" s="69">
        <v>2.61E7</v>
      </c>
      <c r="H582" s="69">
        <v>3398000.0</v>
      </c>
      <c r="I582" s="69">
        <v>2.61E7</v>
      </c>
      <c r="J582" s="70">
        <f t="shared" si="9"/>
        <v>0.1301915709</v>
      </c>
    </row>
    <row r="583" ht="22.5" customHeight="1" outlineLevel="3">
      <c r="A583" s="66" t="s">
        <v>1321</v>
      </c>
      <c r="B583" s="67" t="s">
        <v>1322</v>
      </c>
      <c r="C583" s="67" t="s">
        <v>771</v>
      </c>
      <c r="D583" s="71">
        <v>45502.0</v>
      </c>
      <c r="E583" s="71">
        <v>45510.0</v>
      </c>
      <c r="F583" s="69">
        <v>4.625843E8</v>
      </c>
      <c r="G583" s="69">
        <v>4.625843E8</v>
      </c>
      <c r="H583" s="69">
        <v>1.45893E7</v>
      </c>
      <c r="I583" s="69">
        <v>4.625843E8</v>
      </c>
      <c r="J583" s="70">
        <f t="shared" si="9"/>
        <v>0.03153868387</v>
      </c>
    </row>
    <row r="584" ht="22.5" customHeight="1" outlineLevel="3">
      <c r="A584" s="66" t="s">
        <v>1323</v>
      </c>
      <c r="B584" s="67" t="s">
        <v>1324</v>
      </c>
      <c r="C584" s="67" t="s">
        <v>1325</v>
      </c>
      <c r="D584" s="71">
        <v>45503.0</v>
      </c>
      <c r="E584" s="71">
        <v>45511.0</v>
      </c>
      <c r="F584" s="69">
        <v>2.9997E7</v>
      </c>
      <c r="G584" s="69">
        <v>2.9997E7</v>
      </c>
      <c r="H584" s="69">
        <v>1859000.0</v>
      </c>
      <c r="I584" s="69">
        <v>2.9997E7</v>
      </c>
      <c r="J584" s="70">
        <f t="shared" si="9"/>
        <v>0.06197286395</v>
      </c>
    </row>
    <row r="585" ht="22.5" customHeight="1" outlineLevel="3">
      <c r="A585" s="66" t="s">
        <v>1326</v>
      </c>
      <c r="B585" s="67" t="s">
        <v>1327</v>
      </c>
      <c r="C585" s="67" t="s">
        <v>1328</v>
      </c>
      <c r="D585" s="71">
        <v>45510.0</v>
      </c>
      <c r="E585" s="71">
        <v>45523.0</v>
      </c>
      <c r="F585" s="69">
        <v>9400000.0</v>
      </c>
      <c r="G585" s="69">
        <v>9400000.0</v>
      </c>
      <c r="H585" s="69">
        <v>560000.0</v>
      </c>
      <c r="I585" s="69">
        <v>9400000.0</v>
      </c>
      <c r="J585" s="70">
        <f t="shared" si="9"/>
        <v>0.05957446809</v>
      </c>
    </row>
    <row r="586" ht="22.5" customHeight="1" outlineLevel="3">
      <c r="A586" s="66" t="s">
        <v>1329</v>
      </c>
      <c r="B586" s="67" t="s">
        <v>1330</v>
      </c>
      <c r="C586" s="67" t="s">
        <v>1331</v>
      </c>
      <c r="D586" s="71">
        <v>45511.0</v>
      </c>
      <c r="E586" s="71">
        <v>45523.0</v>
      </c>
      <c r="F586" s="69">
        <v>4.0E7</v>
      </c>
      <c r="G586" s="69">
        <v>4.0E7</v>
      </c>
      <c r="H586" s="69">
        <v>626000.0</v>
      </c>
      <c r="I586" s="69">
        <v>4.0E7</v>
      </c>
      <c r="J586" s="70">
        <f t="shared" si="9"/>
        <v>0.01565</v>
      </c>
    </row>
    <row r="587" ht="22.5" customHeight="1" outlineLevel="3">
      <c r="A587" s="66" t="s">
        <v>1332</v>
      </c>
      <c r="B587" s="67" t="s">
        <v>1333</v>
      </c>
      <c r="C587" s="67" t="s">
        <v>1334</v>
      </c>
      <c r="D587" s="71">
        <v>45513.0</v>
      </c>
      <c r="E587" s="71">
        <v>45541.0</v>
      </c>
      <c r="F587" s="69">
        <v>9.24E7</v>
      </c>
      <c r="G587" s="69">
        <v>9.24E7</v>
      </c>
      <c r="H587" s="69">
        <v>7700000.0</v>
      </c>
      <c r="I587" s="69">
        <v>9.24E7</v>
      </c>
      <c r="J587" s="70">
        <f t="shared" si="9"/>
        <v>0.08333333333</v>
      </c>
    </row>
    <row r="588" ht="22.5" customHeight="1" outlineLevel="3">
      <c r="A588" s="66" t="s">
        <v>1335</v>
      </c>
      <c r="B588" s="67" t="s">
        <v>1336</v>
      </c>
      <c r="C588" s="67" t="s">
        <v>1337</v>
      </c>
      <c r="D588" s="71">
        <v>45488.0</v>
      </c>
      <c r="E588" s="71">
        <v>45510.0</v>
      </c>
      <c r="F588" s="69">
        <v>2.067E7</v>
      </c>
      <c r="G588" s="69">
        <v>2.067E7</v>
      </c>
      <c r="H588" s="69">
        <v>1.0686666666666666E7</v>
      </c>
      <c r="I588" s="69">
        <v>2.067E7</v>
      </c>
      <c r="J588" s="70">
        <f t="shared" si="9"/>
        <v>0.5170133849</v>
      </c>
    </row>
    <row r="589" ht="22.5" customHeight="1" outlineLevel="3">
      <c r="A589" s="66" t="s">
        <v>1338</v>
      </c>
      <c r="B589" s="67" t="s">
        <v>1339</v>
      </c>
      <c r="C589" s="67" t="s">
        <v>1340</v>
      </c>
      <c r="D589" s="71">
        <v>45510.0</v>
      </c>
      <c r="E589" s="71">
        <v>45513.0</v>
      </c>
      <c r="F589" s="69">
        <v>6043500.0</v>
      </c>
      <c r="G589" s="69">
        <v>6043500.0</v>
      </c>
      <c r="H589" s="69">
        <v>742387.1969999997</v>
      </c>
      <c r="I589" s="69">
        <v>6043500.0</v>
      </c>
      <c r="J589" s="70">
        <f t="shared" si="9"/>
        <v>0.1228406051</v>
      </c>
    </row>
    <row r="590" ht="22.5" customHeight="1" outlineLevel="3">
      <c r="A590" s="66" t="s">
        <v>1341</v>
      </c>
      <c r="B590" s="67" t="s">
        <v>742</v>
      </c>
      <c r="C590" s="67" t="s">
        <v>1157</v>
      </c>
      <c r="D590" s="71">
        <v>45509.0</v>
      </c>
      <c r="E590" s="71">
        <v>45518.0</v>
      </c>
      <c r="F590" s="69">
        <v>3000000.0</v>
      </c>
      <c r="G590" s="69">
        <v>3000000.0</v>
      </c>
      <c r="H590" s="69">
        <v>450000.0</v>
      </c>
      <c r="I590" s="69">
        <v>3000000.0</v>
      </c>
      <c r="J590" s="70">
        <f t="shared" si="9"/>
        <v>0.15</v>
      </c>
    </row>
    <row r="591" ht="22.5" customHeight="1" outlineLevel="3">
      <c r="A591" s="66" t="s">
        <v>1342</v>
      </c>
      <c r="B591" s="67" t="s">
        <v>1343</v>
      </c>
      <c r="C591" s="67" t="s">
        <v>1157</v>
      </c>
      <c r="D591" s="71">
        <v>45509.0</v>
      </c>
      <c r="E591" s="71">
        <v>45518.0</v>
      </c>
      <c r="F591" s="69">
        <v>3500000.0</v>
      </c>
      <c r="G591" s="69">
        <v>3500000.0</v>
      </c>
      <c r="H591" s="69">
        <v>1300000.0</v>
      </c>
      <c r="I591" s="69">
        <v>3500000.0</v>
      </c>
      <c r="J591" s="70">
        <f t="shared" si="9"/>
        <v>0.3714285714</v>
      </c>
    </row>
    <row r="592" ht="22.5" customHeight="1" outlineLevel="3">
      <c r="A592" s="66" t="s">
        <v>1344</v>
      </c>
      <c r="B592" s="67" t="s">
        <v>1345</v>
      </c>
      <c r="C592" s="67" t="s">
        <v>1157</v>
      </c>
      <c r="D592" s="71">
        <v>45516.0</v>
      </c>
      <c r="E592" s="71">
        <v>45533.0</v>
      </c>
      <c r="F592" s="69">
        <v>1.305E8</v>
      </c>
      <c r="G592" s="69">
        <v>1.305E8</v>
      </c>
      <c r="H592" s="69">
        <v>5300000.0</v>
      </c>
      <c r="I592" s="69">
        <v>1.305E8</v>
      </c>
      <c r="J592" s="70">
        <f t="shared" si="9"/>
        <v>0.04061302682</v>
      </c>
    </row>
    <row r="593" ht="22.5" customHeight="1" outlineLevel="3">
      <c r="A593" s="66" t="s">
        <v>1346</v>
      </c>
      <c r="B593" s="67" t="s">
        <v>1347</v>
      </c>
      <c r="C593" s="67" t="s">
        <v>755</v>
      </c>
      <c r="D593" s="71">
        <v>45512.0</v>
      </c>
      <c r="E593" s="71">
        <v>45524.0</v>
      </c>
      <c r="F593" s="69">
        <v>5580000.0</v>
      </c>
      <c r="G593" s="69">
        <v>5580000.0</v>
      </c>
      <c r="H593" s="69">
        <v>430000.0</v>
      </c>
      <c r="I593" s="69">
        <v>5580000.0</v>
      </c>
      <c r="J593" s="70">
        <f t="shared" si="9"/>
        <v>0.0770609319</v>
      </c>
    </row>
    <row r="594" ht="22.5" customHeight="1" outlineLevel="3">
      <c r="A594" s="66" t="s">
        <v>1348</v>
      </c>
      <c r="B594" s="67" t="s">
        <v>1349</v>
      </c>
      <c r="C594" s="67" t="s">
        <v>1350</v>
      </c>
      <c r="D594" s="71">
        <v>45512.0</v>
      </c>
      <c r="E594" s="71">
        <v>45517.0</v>
      </c>
      <c r="F594" s="69">
        <v>8190000.0</v>
      </c>
      <c r="G594" s="69">
        <v>8190000.0</v>
      </c>
      <c r="H594" s="69">
        <v>3642500.0</v>
      </c>
      <c r="I594" s="69">
        <v>8190000.0</v>
      </c>
      <c r="J594" s="70">
        <f t="shared" si="9"/>
        <v>0.4447496947</v>
      </c>
    </row>
    <row r="595" ht="22.5" customHeight="1" outlineLevel="3">
      <c r="A595" s="66" t="s">
        <v>1351</v>
      </c>
      <c r="B595" s="67" t="s">
        <v>1352</v>
      </c>
      <c r="C595" s="67" t="s">
        <v>1353</v>
      </c>
      <c r="D595" s="71">
        <v>45516.0</v>
      </c>
      <c r="E595" s="71">
        <v>45520.0</v>
      </c>
      <c r="F595" s="69">
        <v>8190000.0</v>
      </c>
      <c r="G595" s="69">
        <v>8190000.0</v>
      </c>
      <c r="H595" s="69">
        <v>3642500.0</v>
      </c>
      <c r="I595" s="69">
        <v>8190000.0</v>
      </c>
      <c r="J595" s="70">
        <f t="shared" si="9"/>
        <v>0.4447496947</v>
      </c>
    </row>
    <row r="596" ht="22.5" customHeight="1" outlineLevel="3">
      <c r="A596" s="66" t="s">
        <v>1354</v>
      </c>
      <c r="B596" s="67" t="s">
        <v>1352</v>
      </c>
      <c r="C596" s="67" t="s">
        <v>1355</v>
      </c>
      <c r="D596" s="71">
        <v>45540.0</v>
      </c>
      <c r="E596" s="71">
        <v>45575.0</v>
      </c>
      <c r="F596" s="69">
        <v>8190000.0</v>
      </c>
      <c r="G596" s="69">
        <v>8190000.0</v>
      </c>
      <c r="H596" s="69">
        <v>3642500.0</v>
      </c>
      <c r="I596" s="69">
        <v>8190000.0</v>
      </c>
      <c r="J596" s="70">
        <f t="shared" si="9"/>
        <v>0.4447496947</v>
      </c>
    </row>
    <row r="597" ht="22.5" customHeight="1" outlineLevel="3">
      <c r="A597" s="66" t="s">
        <v>1356</v>
      </c>
      <c r="B597" s="67" t="s">
        <v>1352</v>
      </c>
      <c r="C597" s="67" t="s">
        <v>1357</v>
      </c>
      <c r="D597" s="71">
        <v>45553.0</v>
      </c>
      <c r="E597" s="71">
        <v>45559.0</v>
      </c>
      <c r="F597" s="69">
        <v>8190000.0</v>
      </c>
      <c r="G597" s="69">
        <v>8190000.0</v>
      </c>
      <c r="H597" s="69">
        <v>3642500.0</v>
      </c>
      <c r="I597" s="69">
        <v>8190000.0</v>
      </c>
      <c r="J597" s="70">
        <f t="shared" si="9"/>
        <v>0.4447496947</v>
      </c>
    </row>
    <row r="598" ht="22.5" customHeight="1" outlineLevel="3">
      <c r="A598" s="66" t="s">
        <v>1358</v>
      </c>
      <c r="B598" s="67" t="s">
        <v>1359</v>
      </c>
      <c r="C598" s="67" t="s">
        <v>1078</v>
      </c>
      <c r="D598" s="71">
        <v>45518.0</v>
      </c>
      <c r="E598" s="71">
        <v>45532.0</v>
      </c>
      <c r="F598" s="69">
        <v>5.88732E8</v>
      </c>
      <c r="G598" s="69">
        <v>5.88732E8</v>
      </c>
      <c r="H598" s="69">
        <v>2.0527262E8</v>
      </c>
      <c r="I598" s="69">
        <v>5.88732E8</v>
      </c>
      <c r="J598" s="70">
        <f t="shared" si="9"/>
        <v>0.3486690379</v>
      </c>
    </row>
    <row r="599" ht="22.5" customHeight="1" outlineLevel="3">
      <c r="A599" s="66" t="s">
        <v>1360</v>
      </c>
      <c r="B599" s="67" t="s">
        <v>1144</v>
      </c>
      <c r="C599" s="67" t="s">
        <v>758</v>
      </c>
      <c r="D599" s="71">
        <v>45516.0</v>
      </c>
      <c r="E599" s="71">
        <v>45492.0</v>
      </c>
      <c r="F599" s="69">
        <v>1.35E7</v>
      </c>
      <c r="G599" s="69">
        <v>1.35E7</v>
      </c>
      <c r="H599" s="69">
        <v>500000.0</v>
      </c>
      <c r="I599" s="69">
        <v>1.35E7</v>
      </c>
      <c r="J599" s="70">
        <f t="shared" si="9"/>
        <v>0.03703703704</v>
      </c>
    </row>
    <row r="600" ht="22.5" customHeight="1" outlineLevel="3">
      <c r="A600" s="66" t="s">
        <v>1361</v>
      </c>
      <c r="B600" s="67" t="s">
        <v>1362</v>
      </c>
      <c r="C600" s="67" t="s">
        <v>1363</v>
      </c>
      <c r="D600" s="71">
        <v>45518.0</v>
      </c>
      <c r="E600" s="71">
        <v>45554.0</v>
      </c>
      <c r="F600" s="69">
        <v>1.408E7</v>
      </c>
      <c r="G600" s="69">
        <v>1.408E7</v>
      </c>
      <c r="H600" s="69">
        <v>1280000.0</v>
      </c>
      <c r="I600" s="69">
        <v>1.408E7</v>
      </c>
      <c r="J600" s="70">
        <f t="shared" si="9"/>
        <v>0.09090909091</v>
      </c>
    </row>
    <row r="601" ht="22.5" customHeight="1" outlineLevel="3">
      <c r="A601" s="66" t="s">
        <v>1364</v>
      </c>
      <c r="B601" s="67" t="s">
        <v>1365</v>
      </c>
      <c r="C601" s="67" t="s">
        <v>1325</v>
      </c>
      <c r="D601" s="71">
        <v>45520.0</v>
      </c>
      <c r="E601" s="71">
        <v>45579.0</v>
      </c>
      <c r="F601" s="69">
        <v>5.2655E8</v>
      </c>
      <c r="G601" s="69">
        <v>5.2655E8</v>
      </c>
      <c r="H601" s="69">
        <v>2.6535E7</v>
      </c>
      <c r="I601" s="69">
        <v>5.2655E8</v>
      </c>
      <c r="J601" s="70">
        <f t="shared" si="9"/>
        <v>0.05039407464</v>
      </c>
    </row>
    <row r="602" ht="22.5" customHeight="1" outlineLevel="3">
      <c r="A602" s="66" t="s">
        <v>1366</v>
      </c>
      <c r="B602" s="67" t="s">
        <v>1367</v>
      </c>
      <c r="C602" s="67" t="s">
        <v>814</v>
      </c>
      <c r="D602" s="71">
        <v>45523.0</v>
      </c>
      <c r="E602" s="71">
        <v>45544.0</v>
      </c>
      <c r="F602" s="69">
        <v>3.1889E7</v>
      </c>
      <c r="G602" s="69">
        <v>3.1889E7</v>
      </c>
      <c r="H602" s="69">
        <v>1.015628E7</v>
      </c>
      <c r="I602" s="69">
        <v>3.1889E7</v>
      </c>
      <c r="J602" s="70">
        <f t="shared" si="9"/>
        <v>0.318488507</v>
      </c>
    </row>
    <row r="603" ht="22.5" customHeight="1" outlineLevel="3">
      <c r="A603" s="66" t="s">
        <v>1368</v>
      </c>
      <c r="B603" s="67" t="s">
        <v>1369</v>
      </c>
      <c r="C603" s="67" t="s">
        <v>972</v>
      </c>
      <c r="D603" s="71">
        <v>45523.0</v>
      </c>
      <c r="E603" s="71">
        <v>45532.0</v>
      </c>
      <c r="F603" s="69">
        <v>3.32E7</v>
      </c>
      <c r="G603" s="69">
        <v>3.32E7</v>
      </c>
      <c r="H603" s="69">
        <v>1.5705555555555556E7</v>
      </c>
      <c r="I603" s="69">
        <v>3.32E7</v>
      </c>
      <c r="J603" s="70">
        <f t="shared" si="9"/>
        <v>0.4730589023</v>
      </c>
    </row>
    <row r="604" ht="22.5" customHeight="1" outlineLevel="3">
      <c r="A604" s="66" t="s">
        <v>1370</v>
      </c>
      <c r="B604" s="67" t="s">
        <v>1371</v>
      </c>
      <c r="C604" s="67" t="s">
        <v>878</v>
      </c>
      <c r="D604" s="71">
        <v>45518.0</v>
      </c>
      <c r="E604" s="71">
        <v>45544.0</v>
      </c>
      <c r="F604" s="69">
        <v>5.1975E7</v>
      </c>
      <c r="G604" s="69">
        <v>5.1975E7</v>
      </c>
      <c r="H604" s="69">
        <v>2475000.0</v>
      </c>
      <c r="I604" s="69">
        <v>5.1975E7</v>
      </c>
      <c r="J604" s="70">
        <f t="shared" si="9"/>
        <v>0.04761904762</v>
      </c>
    </row>
    <row r="605" ht="22.5" customHeight="1" outlineLevel="3">
      <c r="A605" s="66" t="s">
        <v>1372</v>
      </c>
      <c r="B605" s="67" t="s">
        <v>1307</v>
      </c>
      <c r="C605" s="67" t="s">
        <v>878</v>
      </c>
      <c r="D605" s="71">
        <v>45492.0</v>
      </c>
      <c r="E605" s="71">
        <v>45524.0</v>
      </c>
      <c r="F605" s="69">
        <v>1.26E7</v>
      </c>
      <c r="G605" s="69">
        <v>1.26E7</v>
      </c>
      <c r="H605" s="69">
        <v>600000.0</v>
      </c>
      <c r="I605" s="69">
        <v>1.26E7</v>
      </c>
      <c r="J605" s="70">
        <f t="shared" si="9"/>
        <v>0.04761904762</v>
      </c>
    </row>
    <row r="606" ht="22.5" customHeight="1" outlineLevel="3">
      <c r="A606" s="66" t="s">
        <v>1373</v>
      </c>
      <c r="B606" s="67" t="s">
        <v>1374</v>
      </c>
      <c r="C606" s="67" t="s">
        <v>1078</v>
      </c>
      <c r="D606" s="71">
        <v>45489.0</v>
      </c>
      <c r="E606" s="71">
        <v>45540.0</v>
      </c>
      <c r="F606" s="69">
        <v>1.35E7</v>
      </c>
      <c r="G606" s="69">
        <v>1.35E7</v>
      </c>
      <c r="H606" s="69">
        <v>1.265085E7</v>
      </c>
      <c r="I606" s="69">
        <v>1.35E7</v>
      </c>
      <c r="J606" s="70">
        <f t="shared" si="9"/>
        <v>0.9371</v>
      </c>
    </row>
    <row r="607" ht="22.5" customHeight="1" outlineLevel="3">
      <c r="A607" s="66" t="s">
        <v>1375</v>
      </c>
      <c r="B607" s="67" t="s">
        <v>1376</v>
      </c>
      <c r="C607" s="67" t="s">
        <v>1377</v>
      </c>
      <c r="D607" s="71">
        <v>45525.0</v>
      </c>
      <c r="E607" s="71">
        <v>45531.0</v>
      </c>
      <c r="F607" s="69">
        <v>1.275E7</v>
      </c>
      <c r="G607" s="69">
        <v>1.275E7</v>
      </c>
      <c r="H607" s="69">
        <v>5100000.0</v>
      </c>
      <c r="I607" s="69">
        <v>1.275E7</v>
      </c>
      <c r="J607" s="70">
        <f t="shared" si="9"/>
        <v>0.4</v>
      </c>
    </row>
    <row r="608" ht="22.5" customHeight="1" outlineLevel="3">
      <c r="A608" s="66" t="s">
        <v>1378</v>
      </c>
      <c r="B608" s="67" t="s">
        <v>1379</v>
      </c>
      <c r="C608" s="67" t="s">
        <v>1380</v>
      </c>
      <c r="D608" s="71">
        <v>45532.0</v>
      </c>
      <c r="E608" s="71">
        <v>45554.0</v>
      </c>
      <c r="F608" s="69">
        <v>5.0872E7</v>
      </c>
      <c r="G608" s="69">
        <v>5.0872E7</v>
      </c>
      <c r="H608" s="69">
        <v>8309000.0</v>
      </c>
      <c r="I608" s="69">
        <v>5.0872E7</v>
      </c>
      <c r="J608" s="70">
        <f t="shared" si="9"/>
        <v>0.1633314987</v>
      </c>
    </row>
    <row r="609" ht="22.5" customHeight="1" outlineLevel="3">
      <c r="A609" s="66" t="s">
        <v>1381</v>
      </c>
      <c r="B609" s="67" t="s">
        <v>1382</v>
      </c>
      <c r="C609" s="67" t="s">
        <v>1383</v>
      </c>
      <c r="D609" s="71">
        <v>45520.0</v>
      </c>
      <c r="E609" s="71">
        <v>45533.0</v>
      </c>
      <c r="F609" s="69">
        <v>3.3942E7</v>
      </c>
      <c r="G609" s="69">
        <v>3.3942E7</v>
      </c>
      <c r="H609" s="69">
        <v>1.0860519999999996E7</v>
      </c>
      <c r="I609" s="69">
        <v>3.3942E7</v>
      </c>
      <c r="J609" s="70">
        <f t="shared" si="9"/>
        <v>0.3199728949</v>
      </c>
    </row>
    <row r="610" ht="22.5" customHeight="1" outlineLevel="3">
      <c r="A610" s="66" t="s">
        <v>1384</v>
      </c>
      <c r="B610" s="67" t="s">
        <v>1385</v>
      </c>
      <c r="C610" s="67" t="s">
        <v>807</v>
      </c>
      <c r="D610" s="71">
        <v>45533.0</v>
      </c>
      <c r="E610" s="71">
        <v>45554.0</v>
      </c>
      <c r="F610" s="69">
        <v>6.575949E8</v>
      </c>
      <c r="G610" s="69">
        <v>6.575949E8</v>
      </c>
      <c r="H610" s="69">
        <v>2.51549E7</v>
      </c>
      <c r="I610" s="69">
        <v>6.575949E8</v>
      </c>
      <c r="J610" s="70">
        <f t="shared" si="9"/>
        <v>0.03825288183</v>
      </c>
    </row>
    <row r="611" ht="22.5" customHeight="1" outlineLevel="3">
      <c r="A611" s="66" t="s">
        <v>1386</v>
      </c>
      <c r="B611" s="67" t="s">
        <v>1387</v>
      </c>
      <c r="C611" s="67" t="s">
        <v>1201</v>
      </c>
      <c r="D611" s="71">
        <v>45534.0</v>
      </c>
      <c r="E611" s="71">
        <v>45540.0</v>
      </c>
      <c r="F611" s="69">
        <v>5.0261E7</v>
      </c>
      <c r="G611" s="69">
        <v>5.0261E7</v>
      </c>
      <c r="H611" s="69">
        <v>2666000.0</v>
      </c>
      <c r="I611" s="69">
        <v>5.0261E7</v>
      </c>
      <c r="J611" s="70">
        <f t="shared" si="9"/>
        <v>0.05304311494</v>
      </c>
    </row>
    <row r="612" ht="22.5" customHeight="1" outlineLevel="3">
      <c r="A612" s="66" t="s">
        <v>1388</v>
      </c>
      <c r="B612" s="67" t="s">
        <v>742</v>
      </c>
      <c r="C612" s="67" t="s">
        <v>1389</v>
      </c>
      <c r="D612" s="71">
        <v>45523.0</v>
      </c>
      <c r="E612" s="71">
        <v>45532.0</v>
      </c>
      <c r="F612" s="69">
        <v>1690000.0</v>
      </c>
      <c r="G612" s="69">
        <v>1690000.0</v>
      </c>
      <c r="H612" s="69">
        <v>400000.0</v>
      </c>
      <c r="I612" s="69">
        <v>1690000.0</v>
      </c>
      <c r="J612" s="70">
        <f t="shared" si="9"/>
        <v>0.2366863905</v>
      </c>
    </row>
    <row r="613" ht="22.5" customHeight="1" outlineLevel="3">
      <c r="A613" s="66" t="s">
        <v>1390</v>
      </c>
      <c r="B613" s="67" t="s">
        <v>1391</v>
      </c>
      <c r="C613" s="67" t="s">
        <v>749</v>
      </c>
      <c r="D613" s="71">
        <v>45532.0</v>
      </c>
      <c r="E613" s="71">
        <v>45541.0</v>
      </c>
      <c r="F613" s="69">
        <v>8400000.0</v>
      </c>
      <c r="G613" s="69">
        <v>8400000.0</v>
      </c>
      <c r="H613" s="69">
        <v>6726666.666666666</v>
      </c>
      <c r="I613" s="69">
        <v>8400000.0</v>
      </c>
      <c r="J613" s="70">
        <f t="shared" si="9"/>
        <v>0.8007936508</v>
      </c>
    </row>
    <row r="614" ht="22.5" customHeight="1" outlineLevel="3">
      <c r="A614" s="66" t="s">
        <v>1392</v>
      </c>
      <c r="B614" s="67" t="s">
        <v>1196</v>
      </c>
      <c r="C614" s="67" t="s">
        <v>886</v>
      </c>
      <c r="D614" s="71">
        <v>45532.0</v>
      </c>
      <c r="E614" s="71">
        <v>45539.0</v>
      </c>
      <c r="F614" s="69">
        <v>2000000.0</v>
      </c>
      <c r="G614" s="69">
        <v>2000000.0</v>
      </c>
      <c r="H614" s="69">
        <v>440000.0</v>
      </c>
      <c r="I614" s="69">
        <v>2000000.0</v>
      </c>
      <c r="J614" s="70">
        <f t="shared" si="9"/>
        <v>0.22</v>
      </c>
    </row>
    <row r="615" ht="22.5" customHeight="1" outlineLevel="3">
      <c r="A615" s="66" t="s">
        <v>1393</v>
      </c>
      <c r="B615" s="67" t="s">
        <v>1394</v>
      </c>
      <c r="C615" s="67" t="s">
        <v>766</v>
      </c>
      <c r="D615" s="71">
        <v>45545.0</v>
      </c>
      <c r="E615" s="71">
        <v>45572.0</v>
      </c>
      <c r="F615" s="69">
        <v>3.33177E8</v>
      </c>
      <c r="G615" s="69">
        <v>3.33177E8</v>
      </c>
      <c r="H615" s="69">
        <v>1.46206E7</v>
      </c>
      <c r="I615" s="69">
        <v>3.33177E8</v>
      </c>
      <c r="J615" s="70">
        <f t="shared" si="9"/>
        <v>0.04388238084</v>
      </c>
    </row>
    <row r="616" ht="22.5" customHeight="1" outlineLevel="3">
      <c r="A616" s="66" t="s">
        <v>1395</v>
      </c>
      <c r="B616" s="67" t="s">
        <v>1396</v>
      </c>
      <c r="C616" s="67" t="s">
        <v>1397</v>
      </c>
      <c r="D616" s="71">
        <v>45533.0</v>
      </c>
      <c r="E616" s="71">
        <v>45545.0</v>
      </c>
      <c r="F616" s="69">
        <v>4.02E8</v>
      </c>
      <c r="G616" s="69">
        <v>4.02E8</v>
      </c>
      <c r="H616" s="69">
        <v>1.639133333333333E8</v>
      </c>
      <c r="I616" s="69">
        <v>4.02E8</v>
      </c>
      <c r="J616" s="70">
        <f t="shared" si="9"/>
        <v>0.4077446103</v>
      </c>
    </row>
    <row r="617" ht="22.5" customHeight="1" outlineLevel="3">
      <c r="A617" s="66" t="s">
        <v>1398</v>
      </c>
      <c r="B617" s="67" t="s">
        <v>1399</v>
      </c>
      <c r="C617" s="67" t="s">
        <v>1400</v>
      </c>
      <c r="D617" s="71">
        <v>45513.0</v>
      </c>
      <c r="E617" s="71">
        <v>45650.0</v>
      </c>
      <c r="F617" s="69">
        <v>4.963125E8</v>
      </c>
      <c r="G617" s="69">
        <v>4.963125E8</v>
      </c>
      <c r="H617" s="69">
        <v>1.47625E7</v>
      </c>
      <c r="I617" s="69">
        <v>4.963125E8</v>
      </c>
      <c r="J617" s="70">
        <f t="shared" si="9"/>
        <v>0.02974436469</v>
      </c>
    </row>
    <row r="618" ht="22.5" customHeight="1" outlineLevel="3">
      <c r="A618" s="66" t="s">
        <v>1401</v>
      </c>
      <c r="B618" s="67" t="s">
        <v>1402</v>
      </c>
      <c r="C618" s="67" t="s">
        <v>1087</v>
      </c>
      <c r="D618" s="71">
        <v>45541.0</v>
      </c>
      <c r="E618" s="71">
        <v>45547.0</v>
      </c>
      <c r="F618" s="69">
        <v>1.14E7</v>
      </c>
      <c r="G618" s="69">
        <v>1.14E7</v>
      </c>
      <c r="H618" s="69">
        <v>1031190.0</v>
      </c>
      <c r="I618" s="69">
        <v>1.14E7</v>
      </c>
      <c r="J618" s="70">
        <f t="shared" si="9"/>
        <v>0.09045526316</v>
      </c>
    </row>
    <row r="619" ht="22.5" customHeight="1" outlineLevel="3">
      <c r="A619" s="66" t="s">
        <v>1403</v>
      </c>
      <c r="B619" s="67" t="s">
        <v>1404</v>
      </c>
      <c r="C619" s="67" t="s">
        <v>1103</v>
      </c>
      <c r="D619" s="71">
        <v>45525.0</v>
      </c>
      <c r="E619" s="71">
        <v>45551.0</v>
      </c>
      <c r="F619" s="69">
        <v>1.78E7</v>
      </c>
      <c r="G619" s="69">
        <v>1.78E7</v>
      </c>
      <c r="H619" s="69">
        <v>1300000.0</v>
      </c>
      <c r="I619" s="69">
        <v>1.78E7</v>
      </c>
      <c r="J619" s="70">
        <f t="shared" si="9"/>
        <v>0.07303370787</v>
      </c>
    </row>
    <row r="620" ht="22.5" customHeight="1" outlineLevel="3">
      <c r="A620" s="66" t="s">
        <v>1405</v>
      </c>
      <c r="B620" s="67" t="s">
        <v>1406</v>
      </c>
      <c r="C620" s="67" t="s">
        <v>1407</v>
      </c>
      <c r="D620" s="71">
        <v>45544.0</v>
      </c>
      <c r="E620" s="71">
        <v>45545.0</v>
      </c>
      <c r="F620" s="69">
        <v>2.24E7</v>
      </c>
      <c r="G620" s="69">
        <v>2.24E7</v>
      </c>
      <c r="H620" s="69">
        <v>8730000.0</v>
      </c>
      <c r="I620" s="69">
        <v>2.24E7</v>
      </c>
      <c r="J620" s="70">
        <f t="shared" si="9"/>
        <v>0.3897321429</v>
      </c>
    </row>
    <row r="621" ht="22.5" customHeight="1" outlineLevel="3">
      <c r="A621" s="66" t="s">
        <v>1408</v>
      </c>
      <c r="B621" s="67" t="s">
        <v>1409</v>
      </c>
      <c r="C621" s="67" t="s">
        <v>1410</v>
      </c>
      <c r="D621" s="71">
        <v>45553.0</v>
      </c>
      <c r="E621" s="71">
        <v>45559.0</v>
      </c>
      <c r="F621" s="69">
        <v>2.16E8</v>
      </c>
      <c r="G621" s="69">
        <v>2.16E8</v>
      </c>
      <c r="H621" s="69">
        <v>7.8666672E7</v>
      </c>
      <c r="I621" s="69">
        <v>2.16E8</v>
      </c>
      <c r="J621" s="70">
        <f t="shared" si="9"/>
        <v>0.3641975556</v>
      </c>
    </row>
    <row r="622" ht="22.5" customHeight="1" outlineLevel="3">
      <c r="A622" s="66" t="s">
        <v>1411</v>
      </c>
      <c r="B622" s="67" t="s">
        <v>1412</v>
      </c>
      <c r="C622" s="67" t="s">
        <v>1413</v>
      </c>
      <c r="D622" s="71">
        <v>45548.0</v>
      </c>
      <c r="E622" s="71">
        <v>45555.0</v>
      </c>
      <c r="F622" s="69">
        <v>6.5E7</v>
      </c>
      <c r="G622" s="69">
        <v>6.5E7</v>
      </c>
      <c r="H622" s="69">
        <v>2.888889E7</v>
      </c>
      <c r="I622" s="69">
        <v>6.5E7</v>
      </c>
      <c r="J622" s="70">
        <f t="shared" si="9"/>
        <v>0.4444444615</v>
      </c>
    </row>
    <row r="623" ht="22.5" customHeight="1" outlineLevel="3">
      <c r="A623" s="66" t="s">
        <v>1414</v>
      </c>
      <c r="B623" s="67" t="s">
        <v>1415</v>
      </c>
      <c r="C623" s="67" t="s">
        <v>1416</v>
      </c>
      <c r="D623" s="71">
        <v>45551.0</v>
      </c>
      <c r="E623" s="71">
        <v>45553.0</v>
      </c>
      <c r="F623" s="69">
        <v>3.6E7</v>
      </c>
      <c r="G623" s="69">
        <v>3.6E7</v>
      </c>
      <c r="H623" s="69">
        <v>1.7527777777777776E7</v>
      </c>
      <c r="I623" s="69">
        <v>3.6E7</v>
      </c>
      <c r="J623" s="70">
        <f t="shared" si="9"/>
        <v>0.486882716</v>
      </c>
    </row>
    <row r="624" ht="22.5" customHeight="1" outlineLevel="3">
      <c r="A624" s="66" t="s">
        <v>1417</v>
      </c>
      <c r="B624" s="67" t="s">
        <v>1418</v>
      </c>
      <c r="C624" s="67" t="s">
        <v>872</v>
      </c>
      <c r="D624" s="71">
        <v>45551.0</v>
      </c>
      <c r="E624" s="71">
        <v>45574.0</v>
      </c>
      <c r="F624" s="69">
        <v>4.71E7</v>
      </c>
      <c r="G624" s="69">
        <v>4.71E7</v>
      </c>
      <c r="H624" s="69">
        <v>5300000.0</v>
      </c>
      <c r="I624" s="69">
        <v>4.71E7</v>
      </c>
      <c r="J624" s="70">
        <f t="shared" si="9"/>
        <v>0.1125265393</v>
      </c>
    </row>
    <row r="625" ht="22.5" customHeight="1" outlineLevel="3">
      <c r="A625" s="66" t="s">
        <v>1419</v>
      </c>
      <c r="B625" s="67" t="s">
        <v>1420</v>
      </c>
      <c r="C625" s="67" t="s">
        <v>1316</v>
      </c>
      <c r="D625" s="71">
        <v>45552.0</v>
      </c>
      <c r="E625" s="71">
        <v>45566.0</v>
      </c>
      <c r="F625" s="69">
        <v>2.4076E7</v>
      </c>
      <c r="G625" s="69">
        <v>2.4076E7</v>
      </c>
      <c r="H625" s="69">
        <v>2574000.0</v>
      </c>
      <c r="I625" s="69">
        <v>2.4076E7</v>
      </c>
      <c r="J625" s="70">
        <f t="shared" si="9"/>
        <v>0.1069114471</v>
      </c>
    </row>
    <row r="626" ht="22.5" customHeight="1" outlineLevel="3">
      <c r="A626" s="66" t="s">
        <v>1421</v>
      </c>
      <c r="B626" s="67" t="s">
        <v>1422</v>
      </c>
      <c r="C626" s="67" t="s">
        <v>1423</v>
      </c>
      <c r="D626" s="71">
        <v>45552.0</v>
      </c>
      <c r="E626" s="71">
        <v>45561.0</v>
      </c>
      <c r="F626" s="69">
        <v>6.006E7</v>
      </c>
      <c r="G626" s="69">
        <v>6.006E7</v>
      </c>
      <c r="H626" s="69">
        <v>1.3385E7</v>
      </c>
      <c r="I626" s="69">
        <v>6.006E7</v>
      </c>
      <c r="J626" s="70">
        <f t="shared" si="9"/>
        <v>0.2228604729</v>
      </c>
    </row>
    <row r="627" ht="22.5" customHeight="1" outlineLevel="3">
      <c r="A627" s="66" t="s">
        <v>1424</v>
      </c>
      <c r="B627" s="67" t="s">
        <v>1425</v>
      </c>
      <c r="C627" s="67" t="s">
        <v>1426</v>
      </c>
      <c r="D627" s="71">
        <v>45552.0</v>
      </c>
      <c r="E627" s="71">
        <v>45628.0</v>
      </c>
      <c r="F627" s="69">
        <v>1.512E8</v>
      </c>
      <c r="G627" s="69">
        <v>1.4E8</v>
      </c>
      <c r="H627" s="69">
        <v>3.728641E7</v>
      </c>
      <c r="I627" s="69">
        <v>1.512E8</v>
      </c>
      <c r="J627" s="70">
        <f t="shared" si="9"/>
        <v>0.2663315</v>
      </c>
    </row>
    <row r="628" ht="22.5" customHeight="1" outlineLevel="3">
      <c r="A628" s="66" t="s">
        <v>1427</v>
      </c>
      <c r="B628" s="67" t="s">
        <v>1428</v>
      </c>
      <c r="C628" s="67" t="s">
        <v>1429</v>
      </c>
      <c r="D628" s="71">
        <v>45553.0</v>
      </c>
      <c r="E628" s="71">
        <v>45559.0</v>
      </c>
      <c r="F628" s="69">
        <v>3.915E8</v>
      </c>
      <c r="G628" s="69">
        <v>3.915E8</v>
      </c>
      <c r="H628" s="69">
        <v>1.4002569444444442E8</v>
      </c>
      <c r="I628" s="69">
        <v>3.915E8</v>
      </c>
      <c r="J628" s="70">
        <f t="shared" si="9"/>
        <v>0.3576646091</v>
      </c>
    </row>
    <row r="629" ht="22.5" customHeight="1" outlineLevel="3">
      <c r="A629" s="66" t="s">
        <v>1430</v>
      </c>
      <c r="B629" s="67" t="s">
        <v>1431</v>
      </c>
      <c r="C629" s="67" t="s">
        <v>807</v>
      </c>
      <c r="D629" s="71">
        <v>45555.0</v>
      </c>
      <c r="E629" s="71">
        <v>45566.0</v>
      </c>
      <c r="F629" s="69">
        <v>6.96059E8</v>
      </c>
      <c r="G629" s="69">
        <v>6.96059E8</v>
      </c>
      <c r="H629" s="69">
        <v>2.2242E7</v>
      </c>
      <c r="I629" s="69">
        <v>6.96059E8</v>
      </c>
      <c r="J629" s="70">
        <f t="shared" si="9"/>
        <v>0.03195418779</v>
      </c>
    </row>
    <row r="630" ht="22.5" customHeight="1" outlineLevel="3">
      <c r="A630" s="66" t="s">
        <v>1432</v>
      </c>
      <c r="B630" s="67" t="s">
        <v>1433</v>
      </c>
      <c r="C630" s="67" t="s">
        <v>1201</v>
      </c>
      <c r="D630" s="71">
        <v>45558.0</v>
      </c>
      <c r="E630" s="71">
        <v>45562.0</v>
      </c>
      <c r="F630" s="69">
        <v>1.485E8</v>
      </c>
      <c r="G630" s="69">
        <v>1.485E8</v>
      </c>
      <c r="H630" s="69">
        <v>7260000.0</v>
      </c>
      <c r="I630" s="69">
        <v>1.485E8</v>
      </c>
      <c r="J630" s="70">
        <f t="shared" si="9"/>
        <v>0.04888888889</v>
      </c>
    </row>
    <row r="631" ht="22.5" customHeight="1" outlineLevel="3">
      <c r="A631" s="66" t="s">
        <v>1434</v>
      </c>
      <c r="B631" s="67" t="s">
        <v>1435</v>
      </c>
      <c r="C631" s="67" t="s">
        <v>1331</v>
      </c>
      <c r="D631" s="71">
        <v>45559.0</v>
      </c>
      <c r="E631" s="71">
        <v>45580.0</v>
      </c>
      <c r="F631" s="69">
        <v>2.182E7</v>
      </c>
      <c r="G631" s="69">
        <v>2.182E7</v>
      </c>
      <c r="H631" s="69">
        <v>420000.0</v>
      </c>
      <c r="I631" s="69">
        <v>2.182E7</v>
      </c>
      <c r="J631" s="70">
        <f t="shared" si="9"/>
        <v>0.01924839597</v>
      </c>
    </row>
    <row r="632" ht="22.5" customHeight="1" outlineLevel="3">
      <c r="A632" s="66" t="s">
        <v>1436</v>
      </c>
      <c r="B632" s="67" t="s">
        <v>1437</v>
      </c>
      <c r="C632" s="67" t="s">
        <v>1438</v>
      </c>
      <c r="D632" s="71">
        <v>45561.0</v>
      </c>
      <c r="E632" s="71">
        <v>45591.0</v>
      </c>
      <c r="F632" s="69">
        <v>1.844495E8</v>
      </c>
      <c r="G632" s="69">
        <v>1.844495E8</v>
      </c>
      <c r="H632" s="69">
        <v>6.503075E7</v>
      </c>
      <c r="I632" s="69">
        <v>1.844495E8</v>
      </c>
      <c r="J632" s="70">
        <f t="shared" si="9"/>
        <v>0.3525666917</v>
      </c>
    </row>
    <row r="633" ht="22.5" customHeight="1" outlineLevel="3">
      <c r="A633" s="66" t="s">
        <v>1439</v>
      </c>
      <c r="B633" s="67" t="s">
        <v>1440</v>
      </c>
      <c r="C633" s="67" t="s">
        <v>1441</v>
      </c>
      <c r="D633" s="71">
        <v>45561.0</v>
      </c>
      <c r="E633" s="71">
        <v>45569.0</v>
      </c>
      <c r="F633" s="69">
        <v>8085000.0</v>
      </c>
      <c r="G633" s="69">
        <v>8085000.0</v>
      </c>
      <c r="H633" s="69">
        <v>1025600.0</v>
      </c>
      <c r="I633" s="69">
        <v>8085000.0</v>
      </c>
      <c r="J633" s="70">
        <f t="shared" si="9"/>
        <v>0.1268521954</v>
      </c>
    </row>
    <row r="634" ht="22.5" customHeight="1" outlineLevel="3">
      <c r="A634" s="66" t="s">
        <v>1442</v>
      </c>
      <c r="B634" s="67" t="s">
        <v>1281</v>
      </c>
      <c r="C634" s="67" t="s">
        <v>1028</v>
      </c>
      <c r="D634" s="71">
        <v>45547.0</v>
      </c>
      <c r="E634" s="71">
        <v>45551.0</v>
      </c>
      <c r="F634" s="69">
        <v>1.44E7</v>
      </c>
      <c r="G634" s="69">
        <v>1.44E7</v>
      </c>
      <c r="H634" s="69">
        <v>5354888.888888888</v>
      </c>
      <c r="I634" s="69">
        <v>1.44E7</v>
      </c>
      <c r="J634" s="70">
        <f t="shared" si="9"/>
        <v>0.371867284</v>
      </c>
    </row>
    <row r="635" ht="22.5" customHeight="1" outlineLevel="3">
      <c r="A635" s="66" t="s">
        <v>1443</v>
      </c>
      <c r="B635" s="67" t="s">
        <v>1444</v>
      </c>
      <c r="C635" s="67" t="s">
        <v>1445</v>
      </c>
      <c r="D635" s="71">
        <v>45551.0</v>
      </c>
      <c r="E635" s="71">
        <v>45554.0</v>
      </c>
      <c r="F635" s="69">
        <v>5250000.0</v>
      </c>
      <c r="G635" s="69">
        <v>5250000.0</v>
      </c>
      <c r="H635" s="69">
        <v>924274.666666666</v>
      </c>
      <c r="I635" s="69">
        <v>5250000.0</v>
      </c>
      <c r="J635" s="70">
        <f t="shared" si="9"/>
        <v>0.1760523175</v>
      </c>
    </row>
    <row r="636" ht="22.5" customHeight="1" outlineLevel="3">
      <c r="A636" s="66" t="s">
        <v>1446</v>
      </c>
      <c r="B636" s="67" t="s">
        <v>1447</v>
      </c>
      <c r="C636" s="67" t="s">
        <v>1448</v>
      </c>
      <c r="D636" s="71">
        <v>45553.0</v>
      </c>
      <c r="E636" s="71">
        <v>45555.0</v>
      </c>
      <c r="F636" s="69">
        <v>1070000.0</v>
      </c>
      <c r="G636" s="69">
        <v>1070000.0</v>
      </c>
      <c r="H636" s="69">
        <v>140000.0</v>
      </c>
      <c r="I636" s="69">
        <v>1070000.0</v>
      </c>
      <c r="J636" s="70">
        <f t="shared" si="9"/>
        <v>0.1308411215</v>
      </c>
    </row>
    <row r="637" ht="22.5" customHeight="1" outlineLevel="3">
      <c r="A637" s="66" t="s">
        <v>1449</v>
      </c>
      <c r="B637" s="67" t="s">
        <v>1450</v>
      </c>
      <c r="C637" s="67" t="s">
        <v>1451</v>
      </c>
      <c r="D637" s="71">
        <v>45554.0</v>
      </c>
      <c r="E637" s="71">
        <v>45559.0</v>
      </c>
      <c r="F637" s="69">
        <v>1790000.0</v>
      </c>
      <c r="G637" s="69">
        <v>1790000.0</v>
      </c>
      <c r="H637" s="69">
        <v>500000.0</v>
      </c>
      <c r="I637" s="69">
        <v>1790000.0</v>
      </c>
      <c r="J637" s="70">
        <f t="shared" si="9"/>
        <v>0.2793296089</v>
      </c>
    </row>
    <row r="638" ht="22.5" customHeight="1" outlineLevel="3">
      <c r="A638" s="66" t="s">
        <v>1452</v>
      </c>
      <c r="B638" s="67" t="s">
        <v>1453</v>
      </c>
      <c r="C638" s="67" t="s">
        <v>1454</v>
      </c>
      <c r="D638" s="71">
        <v>45504.0</v>
      </c>
      <c r="E638" s="71">
        <v>45589.0</v>
      </c>
      <c r="F638" s="69">
        <v>2226000.0</v>
      </c>
      <c r="G638" s="69">
        <v>2226000.0</v>
      </c>
      <c r="H638" s="69">
        <v>636000.0</v>
      </c>
      <c r="I638" s="69">
        <v>2226000.0</v>
      </c>
      <c r="J638" s="70">
        <f t="shared" si="9"/>
        <v>0.2857142857</v>
      </c>
    </row>
    <row r="639" ht="22.5" customHeight="1" outlineLevel="3">
      <c r="A639" s="66" t="s">
        <v>1455</v>
      </c>
      <c r="B639" s="67" t="s">
        <v>868</v>
      </c>
      <c r="C639" s="67" t="s">
        <v>1456</v>
      </c>
      <c r="D639" s="71">
        <v>45567.0</v>
      </c>
      <c r="E639" s="71">
        <v>45581.0</v>
      </c>
      <c r="F639" s="69">
        <v>2.52E7</v>
      </c>
      <c r="G639" s="69">
        <v>2.52E7</v>
      </c>
      <c r="H639" s="69">
        <v>822000.0</v>
      </c>
      <c r="I639" s="69">
        <v>2.52E7</v>
      </c>
      <c r="J639" s="70">
        <f t="shared" si="9"/>
        <v>0.03261904762</v>
      </c>
    </row>
    <row r="640" ht="22.5" customHeight="1" outlineLevel="3">
      <c r="A640" s="66" t="s">
        <v>1457</v>
      </c>
      <c r="B640" s="67" t="s">
        <v>1458</v>
      </c>
      <c r="C640" s="67" t="s">
        <v>1201</v>
      </c>
      <c r="D640" s="71">
        <v>45566.0</v>
      </c>
      <c r="E640" s="71">
        <v>45573.0</v>
      </c>
      <c r="F640" s="69">
        <v>9.52E7</v>
      </c>
      <c r="G640" s="69">
        <v>9.52E7</v>
      </c>
      <c r="H640" s="69">
        <v>2.1338888888889E7</v>
      </c>
      <c r="I640" s="69">
        <v>9.52E7</v>
      </c>
      <c r="J640" s="70">
        <f t="shared" si="9"/>
        <v>0.2241479925</v>
      </c>
    </row>
    <row r="641" ht="22.5" customHeight="1" outlineLevel="3">
      <c r="A641" s="66" t="s">
        <v>1459</v>
      </c>
      <c r="B641" s="67" t="s">
        <v>1460</v>
      </c>
      <c r="C641" s="67" t="s">
        <v>964</v>
      </c>
      <c r="D641" s="71">
        <v>45566.0</v>
      </c>
      <c r="E641" s="71">
        <v>45575.0</v>
      </c>
      <c r="F641" s="69">
        <v>5.7E7</v>
      </c>
      <c r="G641" s="69">
        <v>5.7E7</v>
      </c>
      <c r="H641" s="69">
        <v>4950000.0</v>
      </c>
      <c r="I641" s="69">
        <v>5.7E7</v>
      </c>
      <c r="J641" s="70">
        <f t="shared" si="9"/>
        <v>0.08684210526</v>
      </c>
    </row>
    <row r="642" ht="22.5" customHeight="1" outlineLevel="3">
      <c r="A642" s="66" t="s">
        <v>1461</v>
      </c>
      <c r="B642" s="67" t="s">
        <v>1462</v>
      </c>
      <c r="C642" s="67" t="s">
        <v>1463</v>
      </c>
      <c r="D642" s="71">
        <v>45565.0</v>
      </c>
      <c r="E642" s="71">
        <v>45582.0</v>
      </c>
      <c r="F642" s="69">
        <v>1.636E9</v>
      </c>
      <c r="G642" s="69">
        <v>1.636E9</v>
      </c>
      <c r="H642" s="69">
        <v>6.169333333333333E8</v>
      </c>
      <c r="I642" s="69">
        <v>1.636E9</v>
      </c>
      <c r="J642" s="70">
        <f t="shared" si="9"/>
        <v>0.3770986145</v>
      </c>
    </row>
    <row r="643" ht="22.5" customHeight="1" outlineLevel="3">
      <c r="A643" s="66" t="s">
        <v>1464</v>
      </c>
      <c r="B643" s="67" t="s">
        <v>1462</v>
      </c>
      <c r="C643" s="67" t="s">
        <v>1465</v>
      </c>
      <c r="D643" s="71">
        <v>45580.0</v>
      </c>
      <c r="E643" s="71">
        <v>45588.0</v>
      </c>
      <c r="F643" s="69">
        <v>1.64E9</v>
      </c>
      <c r="G643" s="69">
        <v>1.64E9</v>
      </c>
      <c r="H643" s="69">
        <v>6.3767112E8</v>
      </c>
      <c r="I643" s="69">
        <v>1.64E9</v>
      </c>
      <c r="J643" s="70">
        <f t="shared" si="9"/>
        <v>0.3888238537</v>
      </c>
    </row>
    <row r="644" ht="22.5" customHeight="1" outlineLevel="3">
      <c r="A644" s="66" t="s">
        <v>1466</v>
      </c>
      <c r="B644" s="67" t="s">
        <v>1467</v>
      </c>
      <c r="C644" s="67" t="s">
        <v>1325</v>
      </c>
      <c r="D644" s="71">
        <v>45572.0</v>
      </c>
      <c r="E644" s="71">
        <v>45580.0</v>
      </c>
      <c r="F644" s="69">
        <v>9.768E7</v>
      </c>
      <c r="G644" s="69">
        <v>9.768E7</v>
      </c>
      <c r="H644" s="69">
        <v>5220200.0</v>
      </c>
      <c r="I644" s="69">
        <v>9.768E7</v>
      </c>
      <c r="J644" s="70">
        <f t="shared" si="9"/>
        <v>0.05344185094</v>
      </c>
    </row>
    <row r="645" ht="22.5" customHeight="1" outlineLevel="3">
      <c r="A645" s="66" t="s">
        <v>1468</v>
      </c>
      <c r="B645" s="67" t="s">
        <v>1469</v>
      </c>
      <c r="C645" s="67" t="s">
        <v>1201</v>
      </c>
      <c r="D645" s="71">
        <v>45569.0</v>
      </c>
      <c r="E645" s="71">
        <v>45573.0</v>
      </c>
      <c r="F645" s="69">
        <v>4.95E7</v>
      </c>
      <c r="G645" s="69">
        <v>4.95E7</v>
      </c>
      <c r="H645" s="69">
        <v>2150000.0</v>
      </c>
      <c r="I645" s="69">
        <v>4.95E7</v>
      </c>
      <c r="J645" s="70">
        <f t="shared" si="9"/>
        <v>0.04343434343</v>
      </c>
    </row>
    <row r="646" ht="22.5" customHeight="1" outlineLevel="3">
      <c r="A646" s="66" t="s">
        <v>1470</v>
      </c>
      <c r="B646" s="67" t="s">
        <v>1471</v>
      </c>
      <c r="C646" s="67" t="s">
        <v>1472</v>
      </c>
      <c r="D646" s="71">
        <v>45572.0</v>
      </c>
      <c r="E646" s="71">
        <v>45581.0</v>
      </c>
      <c r="F646" s="69">
        <v>9.66088E7</v>
      </c>
      <c r="G646" s="69">
        <v>9.66088E7</v>
      </c>
      <c r="H646" s="69">
        <v>3.2683E7</v>
      </c>
      <c r="I646" s="69">
        <v>9.66088E7</v>
      </c>
      <c r="J646" s="70">
        <f t="shared" si="9"/>
        <v>0.3383025149</v>
      </c>
    </row>
    <row r="647" ht="22.5" customHeight="1" outlineLevel="3">
      <c r="A647" s="66" t="s">
        <v>1473</v>
      </c>
      <c r="B647" s="67" t="s">
        <v>1474</v>
      </c>
      <c r="C647" s="67" t="s">
        <v>807</v>
      </c>
      <c r="D647" s="71">
        <v>45573.0</v>
      </c>
      <c r="E647" s="71">
        <v>45582.0</v>
      </c>
      <c r="F647" s="69">
        <v>3.234E8</v>
      </c>
      <c r="G647" s="69">
        <v>3.234E8</v>
      </c>
      <c r="H647" s="69">
        <v>6320000.0</v>
      </c>
      <c r="I647" s="69">
        <v>3.234E8</v>
      </c>
      <c r="J647" s="70">
        <f t="shared" si="9"/>
        <v>0.0195423624</v>
      </c>
    </row>
    <row r="648" ht="22.5" customHeight="1" outlineLevel="3">
      <c r="A648" s="66" t="s">
        <v>1475</v>
      </c>
      <c r="B648" s="67" t="s">
        <v>1476</v>
      </c>
      <c r="C648" s="67" t="s">
        <v>1477</v>
      </c>
      <c r="D648" s="71">
        <v>45572.0</v>
      </c>
      <c r="E648" s="71">
        <v>45586.0</v>
      </c>
      <c r="F648" s="69">
        <v>4.0E7</v>
      </c>
      <c r="G648" s="69">
        <v>4.0E7</v>
      </c>
      <c r="H648" s="69">
        <v>2000000.0</v>
      </c>
      <c r="I648" s="69">
        <v>4.0E7</v>
      </c>
      <c r="J648" s="70">
        <f t="shared" si="9"/>
        <v>0.05</v>
      </c>
    </row>
    <row r="649" ht="22.5" customHeight="1" outlineLevel="3">
      <c r="A649" s="66" t="s">
        <v>1478</v>
      </c>
      <c r="B649" s="67" t="s">
        <v>1479</v>
      </c>
      <c r="C649" s="67" t="s">
        <v>1480</v>
      </c>
      <c r="D649" s="71">
        <v>45573.0</v>
      </c>
      <c r="E649" s="71">
        <v>45649.0</v>
      </c>
      <c r="F649" s="69">
        <v>2.6775E7</v>
      </c>
      <c r="G649" s="69">
        <v>2.6775E7</v>
      </c>
      <c r="H649" s="69"/>
      <c r="I649" s="69">
        <v>2.6775E7</v>
      </c>
      <c r="J649" s="70">
        <f t="shared" si="9"/>
        <v>0</v>
      </c>
    </row>
    <row r="650" ht="22.5" customHeight="1" outlineLevel="3">
      <c r="A650" s="66" t="s">
        <v>1481</v>
      </c>
      <c r="B650" s="67" t="s">
        <v>1482</v>
      </c>
      <c r="C650" s="67" t="s">
        <v>1483</v>
      </c>
      <c r="D650" s="71">
        <v>45573.0</v>
      </c>
      <c r="E650" s="71">
        <v>45581.0</v>
      </c>
      <c r="F650" s="69">
        <v>4.135E7</v>
      </c>
      <c r="G650" s="69">
        <v>4.135E7</v>
      </c>
      <c r="H650" s="69">
        <v>1896250.0</v>
      </c>
      <c r="I650" s="69">
        <v>4.135E7</v>
      </c>
      <c r="J650" s="70">
        <f t="shared" si="9"/>
        <v>0.04585852479</v>
      </c>
    </row>
    <row r="651" ht="22.5" customHeight="1" outlineLevel="3">
      <c r="A651" s="66" t="s">
        <v>1484</v>
      </c>
      <c r="B651" s="67" t="s">
        <v>1485</v>
      </c>
      <c r="C651" s="67" t="s">
        <v>1486</v>
      </c>
      <c r="D651" s="71">
        <v>45582.0</v>
      </c>
      <c r="E651" s="71">
        <v>45590.0</v>
      </c>
      <c r="F651" s="69">
        <v>3900000.0</v>
      </c>
      <c r="G651" s="69">
        <v>3900000.0</v>
      </c>
      <c r="H651" s="69">
        <v>560000.0</v>
      </c>
      <c r="I651" s="69">
        <v>3900000.0</v>
      </c>
      <c r="J651" s="70">
        <f t="shared" si="9"/>
        <v>0.1435897436</v>
      </c>
    </row>
    <row r="652" ht="22.5" customHeight="1" outlineLevel="3">
      <c r="A652" s="66" t="s">
        <v>1487</v>
      </c>
      <c r="B652" s="67" t="s">
        <v>1488</v>
      </c>
      <c r="C652" s="67" t="s">
        <v>1489</v>
      </c>
      <c r="D652" s="71">
        <v>45575.0</v>
      </c>
      <c r="E652" s="71">
        <v>45586.0</v>
      </c>
      <c r="F652" s="69">
        <v>9960000.0</v>
      </c>
      <c r="G652" s="69">
        <v>9960000.0</v>
      </c>
      <c r="H652" s="69">
        <v>335000.0</v>
      </c>
      <c r="I652" s="69">
        <v>9960000.0</v>
      </c>
      <c r="J652" s="70">
        <f t="shared" si="9"/>
        <v>0.03363453815</v>
      </c>
    </row>
    <row r="653" ht="22.5" customHeight="1" outlineLevel="3">
      <c r="A653" s="66" t="s">
        <v>1490</v>
      </c>
      <c r="B653" s="67" t="s">
        <v>1491</v>
      </c>
      <c r="C653" s="67" t="s">
        <v>1078</v>
      </c>
      <c r="D653" s="71">
        <v>45580.0</v>
      </c>
      <c r="E653" s="71">
        <v>45596.0</v>
      </c>
      <c r="F653" s="69">
        <v>1.71105E8</v>
      </c>
      <c r="G653" s="69">
        <v>1.71105E8</v>
      </c>
      <c r="H653" s="69">
        <v>5.5462625E7</v>
      </c>
      <c r="I653" s="69">
        <v>8.55525E7</v>
      </c>
      <c r="J653" s="70">
        <f t="shared" si="9"/>
        <v>0.3241438006</v>
      </c>
    </row>
    <row r="654" ht="22.5" customHeight="1" outlineLevel="3">
      <c r="A654" s="66" t="s">
        <v>1492</v>
      </c>
      <c r="B654" s="67" t="s">
        <v>1493</v>
      </c>
      <c r="C654" s="67" t="s">
        <v>878</v>
      </c>
      <c r="D654" s="71">
        <v>45565.0</v>
      </c>
      <c r="E654" s="71">
        <v>45567.0</v>
      </c>
      <c r="F654" s="69">
        <v>4.3575E7</v>
      </c>
      <c r="G654" s="69">
        <v>4.3575E7</v>
      </c>
      <c r="H654" s="69">
        <v>2575000.0</v>
      </c>
      <c r="I654" s="69">
        <v>4.3575E7</v>
      </c>
      <c r="J654" s="70">
        <f t="shared" si="9"/>
        <v>0.05909351692</v>
      </c>
    </row>
    <row r="655" ht="22.5" customHeight="1" outlineLevel="3">
      <c r="A655" s="66" t="s">
        <v>1494</v>
      </c>
      <c r="B655" s="67" t="s">
        <v>1495</v>
      </c>
      <c r="C655" s="67" t="s">
        <v>1147</v>
      </c>
      <c r="D655" s="71">
        <v>45566.0</v>
      </c>
      <c r="E655" s="71">
        <v>45568.0</v>
      </c>
      <c r="F655" s="69">
        <v>937000.0</v>
      </c>
      <c r="G655" s="69">
        <v>937000.0</v>
      </c>
      <c r="H655" s="69">
        <v>122000.0</v>
      </c>
      <c r="I655" s="69">
        <v>937000.0</v>
      </c>
      <c r="J655" s="70">
        <f t="shared" si="9"/>
        <v>0.1302027748</v>
      </c>
    </row>
    <row r="656" ht="22.5" customHeight="1" outlineLevel="3">
      <c r="A656" s="66" t="s">
        <v>1496</v>
      </c>
      <c r="B656" s="67" t="s">
        <v>1497</v>
      </c>
      <c r="C656" s="67" t="s">
        <v>1498</v>
      </c>
      <c r="D656" s="71">
        <v>45574.0</v>
      </c>
      <c r="E656" s="71">
        <v>45579.0</v>
      </c>
      <c r="F656" s="69">
        <v>3.74E7</v>
      </c>
      <c r="G656" s="69">
        <v>3.74E7</v>
      </c>
      <c r="H656" s="69">
        <v>1.45528E7</v>
      </c>
      <c r="I656" s="69">
        <v>3.74E7</v>
      </c>
      <c r="J656" s="70">
        <f t="shared" si="9"/>
        <v>0.3891122995</v>
      </c>
    </row>
    <row r="657" ht="22.5" customHeight="1" outlineLevel="3">
      <c r="A657" s="66" t="s">
        <v>1499</v>
      </c>
      <c r="B657" s="67" t="s">
        <v>1500</v>
      </c>
      <c r="C657" s="67" t="s">
        <v>755</v>
      </c>
      <c r="D657" s="71">
        <v>45573.0</v>
      </c>
      <c r="E657" s="71">
        <v>45594.0</v>
      </c>
      <c r="F657" s="69">
        <v>4200000.0</v>
      </c>
      <c r="G657" s="69">
        <v>4200000.0</v>
      </c>
      <c r="H657" s="69">
        <v>810000.0</v>
      </c>
      <c r="I657" s="69">
        <v>4200000.0</v>
      </c>
      <c r="J657" s="70">
        <f t="shared" si="9"/>
        <v>0.1928571429</v>
      </c>
    </row>
    <row r="658" ht="22.5" customHeight="1" outlineLevel="3">
      <c r="A658" s="66" t="s">
        <v>1501</v>
      </c>
      <c r="B658" s="67" t="s">
        <v>1502</v>
      </c>
      <c r="C658" s="67" t="s">
        <v>1503</v>
      </c>
      <c r="D658" s="71">
        <v>45555.0</v>
      </c>
      <c r="E658" s="71">
        <v>45582.0</v>
      </c>
      <c r="F658" s="69">
        <v>9500000.0</v>
      </c>
      <c r="G658" s="69">
        <v>9500000.0</v>
      </c>
      <c r="H658" s="69">
        <v>2194250.0</v>
      </c>
      <c r="I658" s="69">
        <v>9500000.0</v>
      </c>
      <c r="J658" s="70">
        <f t="shared" si="9"/>
        <v>0.2309736842</v>
      </c>
    </row>
    <row r="659" ht="22.5" customHeight="1" outlineLevel="3">
      <c r="A659" s="66" t="s">
        <v>1504</v>
      </c>
      <c r="B659" s="67" t="s">
        <v>1505</v>
      </c>
      <c r="C659" s="67" t="s">
        <v>1506</v>
      </c>
      <c r="D659" s="71">
        <v>45587.0</v>
      </c>
      <c r="E659" s="71">
        <v>45594.0</v>
      </c>
      <c r="F659" s="69">
        <v>4757000.0</v>
      </c>
      <c r="G659" s="69">
        <v>4757000.0</v>
      </c>
      <c r="H659" s="69">
        <v>182555.0</v>
      </c>
      <c r="I659" s="69">
        <v>4757000.0</v>
      </c>
      <c r="J659" s="70">
        <f t="shared" si="9"/>
        <v>0.03837607736</v>
      </c>
    </row>
    <row r="660" ht="22.5" customHeight="1" outlineLevel="3">
      <c r="A660" s="66" t="s">
        <v>1507</v>
      </c>
      <c r="B660" s="67" t="s">
        <v>1508</v>
      </c>
      <c r="C660" s="67" t="s">
        <v>1509</v>
      </c>
      <c r="D660" s="71">
        <v>45566.0</v>
      </c>
      <c r="E660" s="71">
        <v>45600.0</v>
      </c>
      <c r="F660" s="69">
        <v>9945000.0</v>
      </c>
      <c r="G660" s="69">
        <v>9945000.0</v>
      </c>
      <c r="H660" s="69">
        <v>1673948.3999999994</v>
      </c>
      <c r="I660" s="69">
        <v>9945000.0</v>
      </c>
      <c r="J660" s="70">
        <f t="shared" si="9"/>
        <v>0.1683206033</v>
      </c>
    </row>
    <row r="661" ht="22.5" customHeight="1" outlineLevel="3">
      <c r="A661" s="66" t="s">
        <v>1510</v>
      </c>
      <c r="B661" s="67" t="s">
        <v>1511</v>
      </c>
      <c r="C661" s="67" t="s">
        <v>1506</v>
      </c>
      <c r="D661" s="71">
        <v>45587.0</v>
      </c>
      <c r="E661" s="71">
        <v>45594.0</v>
      </c>
      <c r="F661" s="69">
        <v>1.166E7</v>
      </c>
      <c r="G661" s="69">
        <v>1.166E7</v>
      </c>
      <c r="H661" s="69">
        <v>448160.0</v>
      </c>
      <c r="I661" s="69">
        <v>1.166E7</v>
      </c>
      <c r="J661" s="70">
        <f t="shared" si="9"/>
        <v>0.03843567753</v>
      </c>
    </row>
    <row r="662" ht="22.5" customHeight="1" outlineLevel="3">
      <c r="A662" s="66" t="s">
        <v>1512</v>
      </c>
      <c r="B662" s="67" t="s">
        <v>1513</v>
      </c>
      <c r="C662" s="67" t="s">
        <v>1095</v>
      </c>
      <c r="D662" s="71">
        <v>45569.0</v>
      </c>
      <c r="E662" s="71">
        <v>45593.0</v>
      </c>
      <c r="F662" s="69">
        <v>8700000.0</v>
      </c>
      <c r="G662" s="69">
        <v>8700000.0</v>
      </c>
      <c r="H662" s="69">
        <v>220000.0</v>
      </c>
      <c r="I662" s="69">
        <v>8700000.0</v>
      </c>
      <c r="J662" s="70">
        <f t="shared" si="9"/>
        <v>0.02528735632</v>
      </c>
    </row>
    <row r="663" ht="22.5" customHeight="1" outlineLevel="3">
      <c r="A663" s="66" t="s">
        <v>1514</v>
      </c>
      <c r="B663" s="67" t="s">
        <v>1515</v>
      </c>
      <c r="C663" s="67" t="s">
        <v>1516</v>
      </c>
      <c r="D663" s="71">
        <v>45587.0</v>
      </c>
      <c r="E663" s="71">
        <v>45593.0</v>
      </c>
      <c r="F663" s="69">
        <v>6000000.0</v>
      </c>
      <c r="G663" s="69">
        <v>6000000.0</v>
      </c>
      <c r="H663" s="69">
        <v>1004800.0</v>
      </c>
      <c r="I663" s="69">
        <v>6000000.0</v>
      </c>
      <c r="J663" s="70">
        <f t="shared" si="9"/>
        <v>0.1674666667</v>
      </c>
    </row>
    <row r="664" ht="22.5" customHeight="1" outlineLevel="3">
      <c r="A664" s="66" t="s">
        <v>1517</v>
      </c>
      <c r="B664" s="67" t="s">
        <v>1518</v>
      </c>
      <c r="C664" s="67" t="s">
        <v>1519</v>
      </c>
      <c r="D664" s="71">
        <v>45586.0</v>
      </c>
      <c r="E664" s="71">
        <v>45595.0</v>
      </c>
      <c r="F664" s="69">
        <v>1.44552E8</v>
      </c>
      <c r="G664" s="69">
        <v>1.44552E8</v>
      </c>
      <c r="H664" s="69">
        <v>2250000.0</v>
      </c>
      <c r="I664" s="69">
        <v>1.44552E8</v>
      </c>
      <c r="J664" s="70">
        <f t="shared" si="9"/>
        <v>0.01556533289</v>
      </c>
    </row>
    <row r="665" ht="22.5" customHeight="1" outlineLevel="3">
      <c r="A665" s="66" t="s">
        <v>1520</v>
      </c>
      <c r="B665" s="67" t="s">
        <v>1521</v>
      </c>
      <c r="C665" s="67" t="s">
        <v>1087</v>
      </c>
      <c r="D665" s="71">
        <v>45580.0</v>
      </c>
      <c r="E665" s="71">
        <v>45596.0</v>
      </c>
      <c r="F665" s="69">
        <v>3.35E7</v>
      </c>
      <c r="G665" s="69">
        <v>3.35E7</v>
      </c>
      <c r="H665" s="69">
        <v>1590000.0</v>
      </c>
      <c r="I665" s="69">
        <v>3.35E7</v>
      </c>
      <c r="J665" s="70">
        <f t="shared" si="9"/>
        <v>0.04746268657</v>
      </c>
    </row>
    <row r="666" ht="22.5" customHeight="1" outlineLevel="3">
      <c r="A666" s="66" t="s">
        <v>1522</v>
      </c>
      <c r="B666" s="67" t="s">
        <v>1523</v>
      </c>
      <c r="C666" s="67" t="s">
        <v>1524</v>
      </c>
      <c r="D666" s="71">
        <v>45586.0</v>
      </c>
      <c r="E666" s="71">
        <v>45595.0</v>
      </c>
      <c r="F666" s="69">
        <v>3.253005E8</v>
      </c>
      <c r="G666" s="69">
        <v>3.253005E8</v>
      </c>
      <c r="H666" s="69">
        <v>3.25422E7</v>
      </c>
      <c r="I666" s="69">
        <v>3.253005E8</v>
      </c>
      <c r="J666" s="70">
        <f t="shared" si="9"/>
        <v>0.1000373501</v>
      </c>
    </row>
    <row r="667" ht="22.5" customHeight="1" outlineLevel="3">
      <c r="A667" s="66" t="s">
        <v>1525</v>
      </c>
      <c r="B667" s="67" t="s">
        <v>1526</v>
      </c>
      <c r="C667" s="67" t="s">
        <v>1527</v>
      </c>
      <c r="D667" s="71">
        <v>45582.0</v>
      </c>
      <c r="E667" s="71">
        <v>45604.0</v>
      </c>
      <c r="F667" s="69">
        <v>7.712475E8</v>
      </c>
      <c r="G667" s="69">
        <v>7.712475E8</v>
      </c>
      <c r="H667" s="69">
        <v>7.712475E7</v>
      </c>
      <c r="I667" s="69">
        <v>7.712475E8</v>
      </c>
      <c r="J667" s="70">
        <f t="shared" si="9"/>
        <v>0.1</v>
      </c>
    </row>
    <row r="668" ht="22.5" customHeight="1" outlineLevel="3">
      <c r="A668" s="66" t="s">
        <v>1528</v>
      </c>
      <c r="B668" s="67" t="s">
        <v>1529</v>
      </c>
      <c r="C668" s="67" t="s">
        <v>1530</v>
      </c>
      <c r="D668" s="71">
        <v>45588.0</v>
      </c>
      <c r="E668" s="71">
        <v>45600.0</v>
      </c>
      <c r="F668" s="69">
        <v>3.26025E8</v>
      </c>
      <c r="G668" s="69">
        <v>3.26025E8</v>
      </c>
      <c r="H668" s="69">
        <v>4.995725E7</v>
      </c>
      <c r="I668" s="69">
        <v>3.26025E8</v>
      </c>
      <c r="J668" s="70">
        <f t="shared" si="9"/>
        <v>0.1532313473</v>
      </c>
    </row>
    <row r="669" ht="22.5" customHeight="1" outlineLevel="3">
      <c r="A669" s="66" t="s">
        <v>1531</v>
      </c>
      <c r="B669" s="67" t="s">
        <v>1532</v>
      </c>
      <c r="C669" s="67" t="s">
        <v>1533</v>
      </c>
      <c r="D669" s="71">
        <v>45586.0</v>
      </c>
      <c r="E669" s="71">
        <v>45588.0</v>
      </c>
      <c r="F669" s="69">
        <v>3.418632E8</v>
      </c>
      <c r="G669" s="69">
        <v>3.418632E8</v>
      </c>
      <c r="H669" s="69">
        <v>4.44592E7</v>
      </c>
      <c r="I669" s="69">
        <v>3.418632E8</v>
      </c>
      <c r="J669" s="70">
        <f t="shared" si="9"/>
        <v>0.1300496807</v>
      </c>
    </row>
    <row r="670" ht="22.5" customHeight="1" outlineLevel="3">
      <c r="A670" s="66" t="s">
        <v>1534</v>
      </c>
      <c r="B670" s="67" t="s">
        <v>1535</v>
      </c>
      <c r="C670" s="67" t="s">
        <v>839</v>
      </c>
      <c r="D670" s="71">
        <v>45586.0</v>
      </c>
      <c r="E670" s="71">
        <v>45593.0</v>
      </c>
      <c r="F670" s="69">
        <v>1.70646E8</v>
      </c>
      <c r="G670" s="69">
        <v>1.70646E8</v>
      </c>
      <c r="H670" s="69">
        <v>2.00646E7</v>
      </c>
      <c r="I670" s="69">
        <v>1.70646E8</v>
      </c>
      <c r="J670" s="70">
        <f t="shared" si="9"/>
        <v>0.1175802539</v>
      </c>
    </row>
    <row r="671" ht="22.5" customHeight="1" outlineLevel="3">
      <c r="A671" s="66" t="s">
        <v>1536</v>
      </c>
      <c r="B671" s="67" t="s">
        <v>1491</v>
      </c>
      <c r="C671" s="67" t="s">
        <v>1078</v>
      </c>
      <c r="D671" s="71">
        <v>45588.0</v>
      </c>
      <c r="E671" s="71">
        <v>45597.0</v>
      </c>
      <c r="F671" s="69">
        <v>1.71105E8</v>
      </c>
      <c r="G671" s="69">
        <v>1.71105E8</v>
      </c>
      <c r="H671" s="69">
        <v>5.801875E7</v>
      </c>
      <c r="I671" s="69">
        <v>8.55525E7</v>
      </c>
      <c r="J671" s="70">
        <f t="shared" si="9"/>
        <v>0.339082727</v>
      </c>
    </row>
    <row r="672" ht="22.5" customHeight="1" outlineLevel="3">
      <c r="A672" s="66" t="s">
        <v>1537</v>
      </c>
      <c r="B672" s="67" t="s">
        <v>1538</v>
      </c>
      <c r="C672" s="67" t="s">
        <v>1078</v>
      </c>
      <c r="D672" s="71">
        <v>45589.0</v>
      </c>
      <c r="E672" s="71">
        <v>45596.0</v>
      </c>
      <c r="F672" s="69">
        <v>9.57352E8</v>
      </c>
      <c r="G672" s="69">
        <v>9.57352E8</v>
      </c>
      <c r="H672" s="69">
        <v>2.4740675E8</v>
      </c>
      <c r="I672" s="69">
        <v>3.829408E8</v>
      </c>
      <c r="J672" s="70">
        <f t="shared" si="9"/>
        <v>0.2584281957</v>
      </c>
    </row>
    <row r="673" ht="22.5" customHeight="1" outlineLevel="3">
      <c r="A673" s="66" t="s">
        <v>1539</v>
      </c>
      <c r="B673" s="67" t="s">
        <v>1540</v>
      </c>
      <c r="C673" s="67" t="s">
        <v>836</v>
      </c>
      <c r="D673" s="71">
        <v>45589.0</v>
      </c>
      <c r="E673" s="71">
        <v>45600.0</v>
      </c>
      <c r="F673" s="69">
        <v>1.40576E8</v>
      </c>
      <c r="G673" s="69">
        <v>1.40576E8</v>
      </c>
      <c r="H673" s="69">
        <v>2576000.0</v>
      </c>
      <c r="I673" s="69">
        <v>1.40576E8</v>
      </c>
      <c r="J673" s="70">
        <f t="shared" si="9"/>
        <v>0.01832460733</v>
      </c>
    </row>
    <row r="674" ht="22.5" customHeight="1" outlineLevel="3">
      <c r="A674" s="66" t="s">
        <v>1541</v>
      </c>
      <c r="B674" s="67" t="s">
        <v>1016</v>
      </c>
      <c r="C674" s="67" t="s">
        <v>1017</v>
      </c>
      <c r="D674" s="71">
        <v>45590.0</v>
      </c>
      <c r="E674" s="71">
        <v>45600.0</v>
      </c>
      <c r="F674" s="69">
        <v>2.8E7</v>
      </c>
      <c r="G674" s="69">
        <v>2.8E7</v>
      </c>
      <c r="H674" s="69">
        <v>1.0866666666666664E7</v>
      </c>
      <c r="I674" s="69">
        <v>2.8E7</v>
      </c>
      <c r="J674" s="70">
        <f t="shared" si="9"/>
        <v>0.3880952381</v>
      </c>
    </row>
    <row r="675" ht="22.5" customHeight="1" outlineLevel="3">
      <c r="A675" s="66" t="s">
        <v>1542</v>
      </c>
      <c r="B675" s="67" t="s">
        <v>1543</v>
      </c>
      <c r="C675" s="67" t="s">
        <v>1063</v>
      </c>
      <c r="D675" s="71">
        <v>45590.0</v>
      </c>
      <c r="E675" s="71">
        <v>45624.0</v>
      </c>
      <c r="F675" s="69">
        <v>9.623E7</v>
      </c>
      <c r="G675" s="69">
        <v>9.623E7</v>
      </c>
      <c r="H675" s="69">
        <v>2.7952375E7</v>
      </c>
      <c r="I675" s="69">
        <v>9.623E7</v>
      </c>
      <c r="J675" s="70">
        <f t="shared" si="9"/>
        <v>0.2904746441</v>
      </c>
    </row>
    <row r="676" ht="22.5" customHeight="1" outlineLevel="3">
      <c r="A676" s="66" t="s">
        <v>1544</v>
      </c>
      <c r="B676" s="67" t="s">
        <v>1404</v>
      </c>
      <c r="C676" s="67" t="s">
        <v>814</v>
      </c>
      <c r="D676" s="71">
        <v>45593.0</v>
      </c>
      <c r="E676" s="71">
        <v>45601.0</v>
      </c>
      <c r="F676" s="69">
        <v>1.734E7</v>
      </c>
      <c r="G676" s="69">
        <v>1.734E7</v>
      </c>
      <c r="H676" s="69">
        <v>540000.0</v>
      </c>
      <c r="I676" s="69">
        <v>1.734E7</v>
      </c>
      <c r="J676" s="70">
        <f t="shared" si="9"/>
        <v>0.03114186851</v>
      </c>
    </row>
    <row r="677" ht="22.5" customHeight="1" outlineLevel="3">
      <c r="A677" s="66" t="s">
        <v>1545</v>
      </c>
      <c r="B677" s="67" t="s">
        <v>1404</v>
      </c>
      <c r="C677" s="67" t="s">
        <v>814</v>
      </c>
      <c r="D677" s="71">
        <v>45594.0</v>
      </c>
      <c r="E677" s="71">
        <v>45602.0</v>
      </c>
      <c r="F677" s="69">
        <v>8670000.0</v>
      </c>
      <c r="G677" s="69">
        <v>8670000.0</v>
      </c>
      <c r="H677" s="69">
        <v>270000.0</v>
      </c>
      <c r="I677" s="69">
        <v>8670000.0</v>
      </c>
      <c r="J677" s="70">
        <f t="shared" si="9"/>
        <v>0.03114186851</v>
      </c>
    </row>
    <row r="678" ht="22.5" customHeight="1" outlineLevel="3">
      <c r="A678" s="66" t="s">
        <v>1546</v>
      </c>
      <c r="B678" s="67" t="s">
        <v>1547</v>
      </c>
      <c r="C678" s="67" t="s">
        <v>1548</v>
      </c>
      <c r="D678" s="71">
        <v>45579.0</v>
      </c>
      <c r="E678" s="71">
        <v>45596.0</v>
      </c>
      <c r="F678" s="69">
        <v>1.12E7</v>
      </c>
      <c r="G678" s="69">
        <v>1.12E7</v>
      </c>
      <c r="H678" s="69">
        <v>3883333.3333333395</v>
      </c>
      <c r="I678" s="69">
        <v>1.12E7</v>
      </c>
      <c r="J678" s="70">
        <f t="shared" si="9"/>
        <v>0.3467261905</v>
      </c>
    </row>
    <row r="679" ht="22.5" customHeight="1" outlineLevel="3">
      <c r="A679" s="66" t="s">
        <v>1549</v>
      </c>
      <c r="B679" s="67" t="s">
        <v>1550</v>
      </c>
      <c r="C679" s="67" t="s">
        <v>761</v>
      </c>
      <c r="D679" s="71">
        <v>45595.0</v>
      </c>
      <c r="E679" s="71">
        <v>45597.0</v>
      </c>
      <c r="F679" s="69">
        <v>2.74E7</v>
      </c>
      <c r="G679" s="69">
        <v>2.74E7</v>
      </c>
      <c r="H679" s="69">
        <v>1.1516666E7</v>
      </c>
      <c r="I679" s="69">
        <v>2.74E7</v>
      </c>
      <c r="J679" s="70">
        <f t="shared" si="9"/>
        <v>0.4203162774</v>
      </c>
    </row>
    <row r="680" ht="22.5" customHeight="1" outlineLevel="3">
      <c r="A680" s="66" t="s">
        <v>1551</v>
      </c>
      <c r="B680" s="67" t="s">
        <v>1552</v>
      </c>
      <c r="C680" s="67" t="s">
        <v>1553</v>
      </c>
      <c r="D680" s="71">
        <v>45593.0</v>
      </c>
      <c r="E680" s="71">
        <v>45596.0</v>
      </c>
      <c r="F680" s="69">
        <v>1.023E7</v>
      </c>
      <c r="G680" s="69">
        <v>1.023E7</v>
      </c>
      <c r="H680" s="69">
        <v>340000.0</v>
      </c>
      <c r="I680" s="69">
        <v>1.023E7</v>
      </c>
      <c r="J680" s="70">
        <f t="shared" si="9"/>
        <v>0.03323558162</v>
      </c>
    </row>
    <row r="681" ht="22.5" customHeight="1" outlineLevel="3">
      <c r="A681" s="66" t="s">
        <v>1554</v>
      </c>
      <c r="B681" s="67" t="s">
        <v>1555</v>
      </c>
      <c r="C681" s="67" t="s">
        <v>1556</v>
      </c>
      <c r="D681" s="71">
        <v>45594.0</v>
      </c>
      <c r="E681" s="71">
        <v>45596.0</v>
      </c>
      <c r="F681" s="69">
        <v>2.6E7</v>
      </c>
      <c r="G681" s="69">
        <v>2.6E7</v>
      </c>
      <c r="H681" s="69">
        <v>1.0118E7</v>
      </c>
      <c r="I681" s="69">
        <v>2.6E7</v>
      </c>
      <c r="J681" s="70">
        <f t="shared" si="9"/>
        <v>0.3891538462</v>
      </c>
    </row>
    <row r="682" ht="22.5" customHeight="1" outlineLevel="3">
      <c r="A682" s="66" t="s">
        <v>1557</v>
      </c>
      <c r="B682" s="67" t="s">
        <v>1558</v>
      </c>
      <c r="C682" s="67" t="s">
        <v>807</v>
      </c>
      <c r="D682" s="71">
        <v>45600.0</v>
      </c>
      <c r="E682" s="71">
        <v>45616.0</v>
      </c>
      <c r="F682" s="69">
        <v>3.31392E8</v>
      </c>
      <c r="G682" s="69">
        <v>3.31392E8</v>
      </c>
      <c r="H682" s="69">
        <v>3067000.0</v>
      </c>
      <c r="I682" s="69">
        <v>3.31392E8</v>
      </c>
      <c r="J682" s="70">
        <f t="shared" si="9"/>
        <v>0.009254900541</v>
      </c>
    </row>
    <row r="683" ht="22.5" customHeight="1" outlineLevel="3">
      <c r="A683" s="66" t="s">
        <v>1559</v>
      </c>
      <c r="B683" s="67" t="s">
        <v>1560</v>
      </c>
      <c r="C683" s="67" t="s">
        <v>1078</v>
      </c>
      <c r="D683" s="71">
        <v>45600.0</v>
      </c>
      <c r="E683" s="71">
        <v>45607.0</v>
      </c>
      <c r="F683" s="69">
        <v>2.0E7</v>
      </c>
      <c r="G683" s="69">
        <v>2.0E7</v>
      </c>
      <c r="H683" s="69">
        <v>7916666.666666666</v>
      </c>
      <c r="I683" s="69">
        <v>1.0E7</v>
      </c>
      <c r="J683" s="70">
        <f t="shared" si="9"/>
        <v>0.3958333333</v>
      </c>
    </row>
    <row r="684" ht="22.5" customHeight="1" outlineLevel="3">
      <c r="A684" s="66" t="s">
        <v>1561</v>
      </c>
      <c r="B684" s="67" t="s">
        <v>1562</v>
      </c>
      <c r="C684" s="67" t="s">
        <v>1563</v>
      </c>
      <c r="D684" s="71">
        <v>45600.0</v>
      </c>
      <c r="E684" s="71">
        <v>45607.0</v>
      </c>
      <c r="F684" s="69">
        <v>3.413326E8</v>
      </c>
      <c r="G684" s="69">
        <v>3.413326E8</v>
      </c>
      <c r="H684" s="69">
        <v>6.24036E7</v>
      </c>
      <c r="I684" s="69">
        <v>3.413326E8</v>
      </c>
      <c r="J684" s="70">
        <f t="shared" si="9"/>
        <v>0.1828234397</v>
      </c>
    </row>
    <row r="685" ht="22.5" customHeight="1" outlineLevel="3">
      <c r="A685" s="66" t="s">
        <v>1564</v>
      </c>
      <c r="B685" s="67" t="s">
        <v>1565</v>
      </c>
      <c r="C685" s="67" t="s">
        <v>1566</v>
      </c>
      <c r="D685" s="71">
        <v>45607.0</v>
      </c>
      <c r="E685" s="71">
        <v>45611.0</v>
      </c>
      <c r="F685" s="69">
        <v>5.466E7</v>
      </c>
      <c r="G685" s="69">
        <v>5.466E7</v>
      </c>
      <c r="H685" s="69">
        <v>2.41095E7</v>
      </c>
      <c r="I685" s="69">
        <v>5.466E7</v>
      </c>
      <c r="J685" s="70">
        <f t="shared" si="9"/>
        <v>0.4410812294</v>
      </c>
    </row>
    <row r="686" ht="22.5" customHeight="1" outlineLevel="3">
      <c r="A686" s="66" t="s">
        <v>1567</v>
      </c>
      <c r="B686" s="67" t="s">
        <v>1568</v>
      </c>
      <c r="C686" s="67" t="s">
        <v>1569</v>
      </c>
      <c r="D686" s="71">
        <v>45603.0</v>
      </c>
      <c r="E686" s="71">
        <v>45611.0</v>
      </c>
      <c r="F686" s="69">
        <v>4757000.0</v>
      </c>
      <c r="G686" s="69">
        <v>4757000.0</v>
      </c>
      <c r="H686" s="69">
        <v>182555.0</v>
      </c>
      <c r="I686" s="69">
        <v>4757000.0</v>
      </c>
      <c r="J686" s="70">
        <f t="shared" si="9"/>
        <v>0.03837607736</v>
      </c>
    </row>
    <row r="687" ht="22.5" customHeight="1" outlineLevel="3">
      <c r="A687" s="66" t="s">
        <v>1570</v>
      </c>
      <c r="B687" s="67" t="s">
        <v>1571</v>
      </c>
      <c r="C687" s="67" t="s">
        <v>1242</v>
      </c>
      <c r="D687" s="71">
        <v>45611.0</v>
      </c>
      <c r="E687" s="71">
        <v>45621.0</v>
      </c>
      <c r="F687" s="69">
        <v>1.8E7</v>
      </c>
      <c r="G687" s="69">
        <v>1.8E7</v>
      </c>
      <c r="H687" s="69">
        <v>8016666.666666666</v>
      </c>
      <c r="I687" s="69">
        <v>1.8E7</v>
      </c>
      <c r="J687" s="70">
        <f t="shared" si="9"/>
        <v>0.4453703704</v>
      </c>
    </row>
    <row r="688" ht="22.5" customHeight="1" outlineLevel="3">
      <c r="A688" s="66" t="s">
        <v>1572</v>
      </c>
      <c r="B688" s="67" t="s">
        <v>1573</v>
      </c>
      <c r="C688" s="67" t="s">
        <v>878</v>
      </c>
      <c r="D688" s="71">
        <v>45602.0</v>
      </c>
      <c r="E688" s="71">
        <v>45602.0</v>
      </c>
      <c r="F688" s="69">
        <v>7.63E7</v>
      </c>
      <c r="G688" s="69">
        <v>7.63E7</v>
      </c>
      <c r="H688" s="69">
        <v>6300000.0</v>
      </c>
      <c r="I688" s="69">
        <v>7.63E7</v>
      </c>
      <c r="J688" s="70">
        <f t="shared" si="9"/>
        <v>0.08256880734</v>
      </c>
    </row>
    <row r="689" ht="22.5" customHeight="1" outlineLevel="3">
      <c r="A689" s="66" t="s">
        <v>1574</v>
      </c>
      <c r="B689" s="67" t="s">
        <v>1575</v>
      </c>
      <c r="C689" s="67" t="s">
        <v>1576</v>
      </c>
      <c r="D689" s="71">
        <v>45602.0</v>
      </c>
      <c r="E689" s="71">
        <v>45623.0</v>
      </c>
      <c r="F689" s="69">
        <v>6.861E7</v>
      </c>
      <c r="G689" s="69">
        <v>6.861E7</v>
      </c>
      <c r="H689" s="69">
        <v>9259504.0</v>
      </c>
      <c r="I689" s="69">
        <v>6.861E7</v>
      </c>
      <c r="J689" s="70">
        <f t="shared" si="9"/>
        <v>0.1349585192</v>
      </c>
    </row>
    <row r="690" ht="22.5" customHeight="1" outlineLevel="3">
      <c r="A690" s="66" t="s">
        <v>1577</v>
      </c>
      <c r="B690" s="67" t="s">
        <v>938</v>
      </c>
      <c r="C690" s="67" t="s">
        <v>755</v>
      </c>
      <c r="D690" s="71">
        <v>45603.0</v>
      </c>
      <c r="E690" s="71">
        <v>45623.0</v>
      </c>
      <c r="F690" s="69">
        <v>3000000.0</v>
      </c>
      <c r="G690" s="69">
        <v>3000000.0</v>
      </c>
      <c r="H690" s="69">
        <v>300000.0</v>
      </c>
      <c r="I690" s="69"/>
      <c r="J690" s="70">
        <f t="shared" si="9"/>
        <v>0.1</v>
      </c>
    </row>
    <row r="691" ht="22.5" customHeight="1" outlineLevel="3">
      <c r="A691" s="66" t="s">
        <v>1578</v>
      </c>
      <c r="B691" s="67" t="s">
        <v>1579</v>
      </c>
      <c r="C691" s="67" t="s">
        <v>869</v>
      </c>
      <c r="D691" s="71">
        <v>45614.0</v>
      </c>
      <c r="E691" s="71">
        <v>45630.0</v>
      </c>
      <c r="F691" s="69">
        <v>1.647E8</v>
      </c>
      <c r="G691" s="69">
        <v>1.647E8</v>
      </c>
      <c r="H691" s="69">
        <v>4032000.0</v>
      </c>
      <c r="I691" s="69"/>
      <c r="J691" s="70">
        <f t="shared" si="9"/>
        <v>0.02448087432</v>
      </c>
    </row>
    <row r="692" ht="22.5" customHeight="1" outlineLevel="3">
      <c r="A692" s="66" t="s">
        <v>1580</v>
      </c>
      <c r="B692" s="67" t="s">
        <v>1581</v>
      </c>
      <c r="C692" s="67" t="s">
        <v>1020</v>
      </c>
      <c r="D692" s="71">
        <v>45617.0</v>
      </c>
      <c r="E692" s="71">
        <v>45630.0</v>
      </c>
      <c r="F692" s="69">
        <v>2.28E7</v>
      </c>
      <c r="G692" s="69">
        <v>2.28E7</v>
      </c>
      <c r="H692" s="69">
        <v>550000.0</v>
      </c>
      <c r="I692" s="69">
        <v>2.28E7</v>
      </c>
      <c r="J692" s="70">
        <f t="shared" si="9"/>
        <v>0.02412280702</v>
      </c>
    </row>
    <row r="693" ht="22.5" customHeight="1" outlineLevel="3">
      <c r="A693" s="66" t="s">
        <v>1582</v>
      </c>
      <c r="B693" s="67" t="s">
        <v>1264</v>
      </c>
      <c r="C693" s="67" t="s">
        <v>1583</v>
      </c>
      <c r="D693" s="71">
        <v>45621.0</v>
      </c>
      <c r="E693" s="71">
        <v>45628.0</v>
      </c>
      <c r="F693" s="69">
        <v>7.0E7</v>
      </c>
      <c r="G693" s="69">
        <v>7.0E7</v>
      </c>
      <c r="H693" s="69">
        <v>4200000.0</v>
      </c>
      <c r="I693" s="69"/>
      <c r="J693" s="70">
        <f t="shared" si="9"/>
        <v>0.06</v>
      </c>
    </row>
    <row r="694" ht="22.5" customHeight="1" outlineLevel="3">
      <c r="A694" s="66" t="s">
        <v>1584</v>
      </c>
      <c r="B694" s="67" t="s">
        <v>1585</v>
      </c>
      <c r="C694" s="67" t="s">
        <v>1036</v>
      </c>
      <c r="D694" s="71">
        <v>45614.0</v>
      </c>
      <c r="E694" s="71">
        <v>45630.0</v>
      </c>
      <c r="F694" s="69">
        <v>1500000.0</v>
      </c>
      <c r="G694" s="69">
        <v>1500000.0</v>
      </c>
      <c r="H694" s="69">
        <v>34000.0</v>
      </c>
      <c r="I694" s="69">
        <v>1500000.0</v>
      </c>
      <c r="J694" s="70">
        <f t="shared" si="9"/>
        <v>0.02266666667</v>
      </c>
    </row>
    <row r="695" ht="22.5" customHeight="1" outlineLevel="3">
      <c r="A695" s="66" t="s">
        <v>1586</v>
      </c>
      <c r="B695" s="67" t="s">
        <v>1587</v>
      </c>
      <c r="C695" s="67" t="s">
        <v>934</v>
      </c>
      <c r="D695" s="71">
        <v>45616.0</v>
      </c>
      <c r="E695" s="71">
        <v>45617.0</v>
      </c>
      <c r="F695" s="69">
        <v>3.36E7</v>
      </c>
      <c r="G695" s="69">
        <v>3.36E7</v>
      </c>
      <c r="H695" s="69">
        <v>1.2843332E7</v>
      </c>
      <c r="I695" s="69">
        <v>3.36E7</v>
      </c>
      <c r="J695" s="70">
        <f t="shared" si="9"/>
        <v>0.3822420238</v>
      </c>
    </row>
    <row r="696" ht="22.5" customHeight="1" outlineLevel="3">
      <c r="A696" s="66" t="s">
        <v>1588</v>
      </c>
      <c r="B696" s="67" t="s">
        <v>1589</v>
      </c>
      <c r="C696" s="67" t="s">
        <v>1590</v>
      </c>
      <c r="D696" s="71">
        <v>45618.0</v>
      </c>
      <c r="E696" s="71">
        <v>45621.0</v>
      </c>
      <c r="F696" s="69">
        <v>1.02E7</v>
      </c>
      <c r="G696" s="69">
        <v>1.02E7</v>
      </c>
      <c r="H696" s="69">
        <v>1020000.0</v>
      </c>
      <c r="I696" s="69">
        <v>1.02E7</v>
      </c>
      <c r="J696" s="70">
        <f t="shared" si="9"/>
        <v>0.1</v>
      </c>
    </row>
    <row r="697" ht="22.5" customHeight="1" outlineLevel="3">
      <c r="A697" s="66" t="s">
        <v>1591</v>
      </c>
      <c r="B697" s="67" t="s">
        <v>1592</v>
      </c>
      <c r="C697" s="67" t="s">
        <v>615</v>
      </c>
      <c r="D697" s="71">
        <v>45618.0</v>
      </c>
      <c r="E697" s="71">
        <v>45622.0</v>
      </c>
      <c r="F697" s="69">
        <v>1.74882E8</v>
      </c>
      <c r="G697" s="69">
        <v>1.74882E8</v>
      </c>
      <c r="H697" s="69">
        <v>3132000.0</v>
      </c>
      <c r="I697" s="69">
        <v>1.74882E8</v>
      </c>
      <c r="J697" s="70">
        <f t="shared" si="9"/>
        <v>0.01790921879</v>
      </c>
    </row>
    <row r="698" ht="22.5" customHeight="1" outlineLevel="3">
      <c r="A698" s="66" t="s">
        <v>1593</v>
      </c>
      <c r="B698" s="67" t="s">
        <v>1594</v>
      </c>
      <c r="C698" s="67" t="s">
        <v>1595</v>
      </c>
      <c r="D698" s="71">
        <v>45625.0</v>
      </c>
      <c r="E698" s="71">
        <v>45635.0</v>
      </c>
      <c r="F698" s="69">
        <v>1.1149E7</v>
      </c>
      <c r="G698" s="69">
        <v>1.1149E7</v>
      </c>
      <c r="H698" s="69">
        <v>1184000.0</v>
      </c>
      <c r="I698" s="69">
        <v>1.1149E7</v>
      </c>
      <c r="J698" s="70">
        <f t="shared" si="9"/>
        <v>0.1061978653</v>
      </c>
    </row>
    <row r="699" ht="22.5" customHeight="1" outlineLevel="3">
      <c r="A699" s="66" t="s">
        <v>1596</v>
      </c>
      <c r="B699" s="67" t="s">
        <v>1597</v>
      </c>
      <c r="C699" s="67" t="s">
        <v>1223</v>
      </c>
      <c r="D699" s="68"/>
      <c r="E699" s="71">
        <v>45653.0</v>
      </c>
      <c r="F699" s="69">
        <v>1.2066E9</v>
      </c>
      <c r="G699" s="69">
        <v>1.2066E9</v>
      </c>
      <c r="H699" s="69"/>
      <c r="I699" s="69">
        <v>1.2066E9</v>
      </c>
      <c r="J699" s="70">
        <f t="shared" si="9"/>
        <v>0</v>
      </c>
    </row>
    <row r="700" ht="22.5" customHeight="1" outlineLevel="3">
      <c r="A700" s="66" t="s">
        <v>1598</v>
      </c>
      <c r="B700" s="67" t="s">
        <v>1599</v>
      </c>
      <c r="C700" s="67" t="s">
        <v>1600</v>
      </c>
      <c r="D700" s="68"/>
      <c r="E700" s="68"/>
      <c r="F700" s="69">
        <v>1.0225E9</v>
      </c>
      <c r="G700" s="69"/>
      <c r="H700" s="69"/>
      <c r="I700" s="69"/>
      <c r="J700" s="70" t="str">
        <f t="shared" si="9"/>
        <v>#DIV/0!</v>
      </c>
    </row>
    <row r="701" ht="22.5" customHeight="1" outlineLevel="3">
      <c r="A701" s="66" t="s">
        <v>1601</v>
      </c>
      <c r="B701" s="67" t="s">
        <v>1602</v>
      </c>
      <c r="C701" s="67" t="s">
        <v>1603</v>
      </c>
      <c r="D701" s="68"/>
      <c r="E701" s="71">
        <v>45646.0</v>
      </c>
      <c r="F701" s="69">
        <v>9.5950001E8</v>
      </c>
      <c r="G701" s="69">
        <v>9.5950001E8</v>
      </c>
      <c r="H701" s="69">
        <v>2.8396669E8</v>
      </c>
      <c r="I701" s="69">
        <v>1.91900002E8</v>
      </c>
      <c r="J701" s="70">
        <f t="shared" si="9"/>
        <v>0.2959527744</v>
      </c>
    </row>
    <row r="702" ht="22.5" customHeight="1" outlineLevel="3">
      <c r="A702" s="66" t="s">
        <v>1604</v>
      </c>
      <c r="B702" s="67" t="s">
        <v>1605</v>
      </c>
      <c r="C702" s="67" t="s">
        <v>1606</v>
      </c>
      <c r="D702" s="68"/>
      <c r="E702" s="71">
        <v>45643.0</v>
      </c>
      <c r="F702" s="69">
        <v>3.0825E8</v>
      </c>
      <c r="G702" s="69">
        <v>3.0825E8</v>
      </c>
      <c r="H702" s="69">
        <v>9.391563E7</v>
      </c>
      <c r="I702" s="69">
        <v>3.0825E8</v>
      </c>
      <c r="J702" s="70">
        <f t="shared" si="9"/>
        <v>0.3046735766</v>
      </c>
    </row>
    <row r="703" ht="22.5" customHeight="1" outlineLevel="3">
      <c r="A703" s="66" t="s">
        <v>1607</v>
      </c>
      <c r="B703" s="67" t="s">
        <v>1608</v>
      </c>
      <c r="C703" s="67" t="s">
        <v>1242</v>
      </c>
      <c r="D703" s="71">
        <v>45624.0</v>
      </c>
      <c r="E703" s="71">
        <v>45629.0</v>
      </c>
      <c r="F703" s="69">
        <v>1.8E7</v>
      </c>
      <c r="G703" s="69">
        <v>1.8E7</v>
      </c>
      <c r="H703" s="69">
        <v>8016666.666666666</v>
      </c>
      <c r="I703" s="69">
        <v>1.8E7</v>
      </c>
      <c r="J703" s="70">
        <f t="shared" si="9"/>
        <v>0.4453703704</v>
      </c>
    </row>
    <row r="704" ht="22.5" customHeight="1" outlineLevel="3">
      <c r="A704" s="66" t="s">
        <v>1609</v>
      </c>
      <c r="B704" s="67" t="s">
        <v>1610</v>
      </c>
      <c r="C704" s="67" t="s">
        <v>1060</v>
      </c>
      <c r="D704" s="71">
        <v>45628.0</v>
      </c>
      <c r="E704" s="71">
        <v>45644.0</v>
      </c>
      <c r="F704" s="69">
        <v>3.2878E7</v>
      </c>
      <c r="G704" s="69">
        <v>3.2878E7</v>
      </c>
      <c r="H704" s="69"/>
      <c r="I704" s="69"/>
      <c r="J704" s="70">
        <f t="shared" si="9"/>
        <v>0</v>
      </c>
    </row>
    <row r="705" ht="22.5" customHeight="1" outlineLevel="3">
      <c r="A705" s="66" t="s">
        <v>1611</v>
      </c>
      <c r="B705" s="67" t="s">
        <v>1608</v>
      </c>
      <c r="C705" s="67" t="s">
        <v>1242</v>
      </c>
      <c r="D705" s="71">
        <v>45625.0</v>
      </c>
      <c r="E705" s="71">
        <v>45630.0</v>
      </c>
      <c r="F705" s="69">
        <v>1.8E7</v>
      </c>
      <c r="G705" s="69">
        <v>1.8E7</v>
      </c>
      <c r="H705" s="69">
        <v>8016666.666666666</v>
      </c>
      <c r="I705" s="69">
        <v>1.8E7</v>
      </c>
      <c r="J705" s="70">
        <f t="shared" si="9"/>
        <v>0.4453703704</v>
      </c>
    </row>
    <row r="706" ht="22.5" customHeight="1" outlineLevel="3">
      <c r="A706" s="66" t="s">
        <v>1612</v>
      </c>
      <c r="B706" s="67" t="s">
        <v>1613</v>
      </c>
      <c r="C706" s="67" t="s">
        <v>866</v>
      </c>
      <c r="D706" s="71">
        <v>45623.0</v>
      </c>
      <c r="E706" s="71">
        <v>45624.0</v>
      </c>
      <c r="F706" s="69">
        <v>3.927E7</v>
      </c>
      <c r="G706" s="69">
        <v>3.927E7</v>
      </c>
      <c r="H706" s="69">
        <v>1.80255E7</v>
      </c>
      <c r="I706" s="69">
        <v>3.927E7</v>
      </c>
      <c r="J706" s="70">
        <f t="shared" si="9"/>
        <v>0.4590145149</v>
      </c>
    </row>
    <row r="707" ht="22.5" customHeight="1" outlineLevel="3">
      <c r="A707" s="66" t="s">
        <v>1614</v>
      </c>
      <c r="B707" s="67" t="s">
        <v>1615</v>
      </c>
      <c r="C707" s="67" t="s">
        <v>1328</v>
      </c>
      <c r="D707" s="71">
        <v>45630.0</v>
      </c>
      <c r="E707" s="71">
        <v>45636.0</v>
      </c>
      <c r="F707" s="69">
        <v>1.391E7</v>
      </c>
      <c r="G707" s="69">
        <v>1.391E7</v>
      </c>
      <c r="H707" s="69">
        <v>410000.0</v>
      </c>
      <c r="I707" s="69">
        <v>1.391E7</v>
      </c>
      <c r="J707" s="70">
        <f t="shared" si="9"/>
        <v>0.0294751977</v>
      </c>
    </row>
    <row r="708" ht="22.5" customHeight="1" outlineLevel="3">
      <c r="A708" s="66" t="s">
        <v>1616</v>
      </c>
      <c r="B708" s="67" t="s">
        <v>1617</v>
      </c>
      <c r="C708" s="67" t="s">
        <v>1201</v>
      </c>
      <c r="D708" s="71">
        <v>45630.0</v>
      </c>
      <c r="E708" s="71">
        <v>45636.0</v>
      </c>
      <c r="F708" s="69">
        <v>4.1575E7</v>
      </c>
      <c r="G708" s="69">
        <v>4.1575E7</v>
      </c>
      <c r="H708" s="69">
        <v>1175000.0</v>
      </c>
      <c r="I708" s="69">
        <v>4.1575E7</v>
      </c>
      <c r="J708" s="70">
        <f t="shared" si="9"/>
        <v>0.02826217679</v>
      </c>
    </row>
    <row r="709" ht="22.5" customHeight="1" outlineLevel="3">
      <c r="A709" s="66" t="s">
        <v>1618</v>
      </c>
      <c r="B709" s="67" t="s">
        <v>1619</v>
      </c>
      <c r="C709" s="67" t="s">
        <v>850</v>
      </c>
      <c r="D709" s="71">
        <v>45621.0</v>
      </c>
      <c r="E709" s="71">
        <v>45636.0</v>
      </c>
      <c r="F709" s="69">
        <v>1.355E7</v>
      </c>
      <c r="G709" s="69">
        <v>1.355E7</v>
      </c>
      <c r="H709" s="69">
        <v>550000.0</v>
      </c>
      <c r="I709" s="69">
        <v>1.355E7</v>
      </c>
      <c r="J709" s="70">
        <f t="shared" si="9"/>
        <v>0.0405904059</v>
      </c>
    </row>
    <row r="710" ht="22.5" customHeight="1" outlineLevel="3">
      <c r="A710" s="66" t="s">
        <v>1620</v>
      </c>
      <c r="B710" s="67" t="s">
        <v>1621</v>
      </c>
      <c r="C710" s="67" t="s">
        <v>814</v>
      </c>
      <c r="D710" s="71">
        <v>45623.0</v>
      </c>
      <c r="E710" s="71">
        <v>45638.0</v>
      </c>
      <c r="F710" s="69">
        <v>2.2172E7</v>
      </c>
      <c r="G710" s="69">
        <v>2.2172E7</v>
      </c>
      <c r="H710" s="69">
        <v>867024.0</v>
      </c>
      <c r="I710" s="69"/>
      <c r="J710" s="70">
        <f t="shared" si="9"/>
        <v>0.03910445607</v>
      </c>
    </row>
    <row r="711" ht="22.5" customHeight="1" outlineLevel="3">
      <c r="A711" s="66" t="s">
        <v>1622</v>
      </c>
      <c r="B711" s="67" t="s">
        <v>1623</v>
      </c>
      <c r="C711" s="67" t="s">
        <v>878</v>
      </c>
      <c r="D711" s="71">
        <v>45630.0</v>
      </c>
      <c r="E711" s="71">
        <v>45646.0</v>
      </c>
      <c r="F711" s="69">
        <v>5355000.0</v>
      </c>
      <c r="G711" s="69">
        <v>5355000.0</v>
      </c>
      <c r="H711" s="69"/>
      <c r="I711" s="69">
        <v>5355000.0</v>
      </c>
      <c r="J711" s="70">
        <f t="shared" si="9"/>
        <v>0</v>
      </c>
    </row>
    <row r="712" ht="22.5" customHeight="1" outlineLevel="3">
      <c r="A712" s="66" t="s">
        <v>1624</v>
      </c>
      <c r="B712" s="67" t="s">
        <v>1625</v>
      </c>
      <c r="C712" s="67" t="s">
        <v>1282</v>
      </c>
      <c r="D712" s="71">
        <v>45642.0</v>
      </c>
      <c r="E712" s="71">
        <v>45645.0</v>
      </c>
      <c r="F712" s="69">
        <v>3.68E7</v>
      </c>
      <c r="G712" s="69">
        <v>3.68E7</v>
      </c>
      <c r="H712" s="69"/>
      <c r="I712" s="69"/>
      <c r="J712" s="70">
        <f t="shared" si="9"/>
        <v>0</v>
      </c>
    </row>
    <row r="713" ht="22.5" customHeight="1" outlineLevel="3">
      <c r="A713" s="66" t="s">
        <v>1626</v>
      </c>
      <c r="B713" s="67" t="s">
        <v>1627</v>
      </c>
      <c r="C713" s="67" t="s">
        <v>814</v>
      </c>
      <c r="D713" s="71">
        <v>45642.0</v>
      </c>
      <c r="E713" s="68"/>
      <c r="F713" s="69">
        <v>2.97106E8</v>
      </c>
      <c r="G713" s="69"/>
      <c r="H713" s="69">
        <v>2.373493E7</v>
      </c>
      <c r="I713" s="69"/>
      <c r="J713" s="70" t="str">
        <f t="shared" si="9"/>
        <v>#DIV/0!</v>
      </c>
    </row>
    <row r="714" ht="22.5" customHeight="1" outlineLevel="3">
      <c r="A714" s="66" t="s">
        <v>1628</v>
      </c>
      <c r="B714" s="67" t="s">
        <v>739</v>
      </c>
      <c r="C714" s="67" t="s">
        <v>740</v>
      </c>
      <c r="D714" s="71">
        <v>45645.0</v>
      </c>
      <c r="E714" s="71">
        <v>45657.0</v>
      </c>
      <c r="F714" s="69">
        <v>1.8515E8</v>
      </c>
      <c r="G714" s="69">
        <v>1.8515E8</v>
      </c>
      <c r="H714" s="69">
        <v>2585000.0</v>
      </c>
      <c r="I714" s="69"/>
      <c r="J714" s="70">
        <f t="shared" si="9"/>
        <v>0.01396165271</v>
      </c>
    </row>
    <row r="715" ht="22.5" customHeight="1" outlineLevel="3">
      <c r="A715" s="66" t="s">
        <v>1629</v>
      </c>
      <c r="B715" s="67" t="s">
        <v>1610</v>
      </c>
      <c r="C715" s="67" t="s">
        <v>1060</v>
      </c>
      <c r="D715" s="71">
        <v>45646.0</v>
      </c>
      <c r="E715" s="71">
        <v>45650.0</v>
      </c>
      <c r="F715" s="69">
        <v>3.2878E7</v>
      </c>
      <c r="G715" s="69">
        <v>3.2878E7</v>
      </c>
      <c r="H715" s="69">
        <v>927000.0</v>
      </c>
      <c r="I715" s="69"/>
      <c r="J715" s="70">
        <f t="shared" si="9"/>
        <v>0.02819514569</v>
      </c>
    </row>
    <row r="716" ht="22.5" customHeight="1" outlineLevel="3">
      <c r="A716" s="66" t="s">
        <v>1630</v>
      </c>
      <c r="B716" s="67" t="s">
        <v>1631</v>
      </c>
      <c r="C716" s="67" t="s">
        <v>1632</v>
      </c>
      <c r="D716" s="71">
        <v>45646.0</v>
      </c>
      <c r="E716" s="71">
        <v>45650.0</v>
      </c>
      <c r="F716" s="69">
        <v>6.44841E7</v>
      </c>
      <c r="G716" s="69">
        <v>6.44841E7</v>
      </c>
      <c r="H716" s="69">
        <v>5088311.199999988</v>
      </c>
      <c r="I716" s="69"/>
      <c r="J716" s="70">
        <f t="shared" si="9"/>
        <v>0.07890799748</v>
      </c>
    </row>
    <row r="717" ht="22.5" customHeight="1" outlineLevel="3">
      <c r="A717" s="66" t="s">
        <v>1633</v>
      </c>
      <c r="B717" s="67" t="s">
        <v>1387</v>
      </c>
      <c r="C717" s="67" t="s">
        <v>777</v>
      </c>
      <c r="D717" s="71">
        <v>45656.0</v>
      </c>
      <c r="E717" s="71">
        <v>45656.0</v>
      </c>
      <c r="F717" s="69">
        <v>4.959E7</v>
      </c>
      <c r="G717" s="69">
        <v>1.9836E7</v>
      </c>
      <c r="H717" s="69">
        <v>2460000.0</v>
      </c>
      <c r="I717" s="69">
        <v>1.73565E7</v>
      </c>
      <c r="J717" s="70">
        <f t="shared" si="9"/>
        <v>0.1240169389</v>
      </c>
    </row>
    <row r="718" ht="22.5" customHeight="1" outlineLevel="3">
      <c r="A718" s="66" t="s">
        <v>1634</v>
      </c>
      <c r="B718" s="67" t="s">
        <v>1635</v>
      </c>
      <c r="C718" s="67" t="s">
        <v>1302</v>
      </c>
      <c r="D718" s="71">
        <v>45643.0</v>
      </c>
      <c r="E718" s="71">
        <v>45650.0</v>
      </c>
      <c r="F718" s="69">
        <v>2.9045E7</v>
      </c>
      <c r="G718" s="69">
        <v>2.9045E7</v>
      </c>
      <c r="H718" s="69">
        <v>2035000.0</v>
      </c>
      <c r="I718" s="69">
        <v>1.38565E7</v>
      </c>
      <c r="J718" s="70">
        <f t="shared" si="9"/>
        <v>0.07006369427</v>
      </c>
    </row>
    <row r="719" ht="22.5" customHeight="1" outlineLevel="3">
      <c r="A719" s="66" t="s">
        <v>1636</v>
      </c>
      <c r="B719" s="67" t="s">
        <v>1637</v>
      </c>
      <c r="C719" s="67" t="s">
        <v>1028</v>
      </c>
      <c r="D719" s="71">
        <v>45646.0</v>
      </c>
      <c r="E719" s="71">
        <v>45649.0</v>
      </c>
      <c r="F719" s="69">
        <v>3.36E7</v>
      </c>
      <c r="G719" s="69">
        <v>3.36E7</v>
      </c>
      <c r="H719" s="69">
        <v>1.2350967E7</v>
      </c>
      <c r="I719" s="69"/>
      <c r="J719" s="70">
        <f t="shared" si="9"/>
        <v>0.3675883036</v>
      </c>
    </row>
    <row r="720" ht="22.5" customHeight="1" outlineLevel="3">
      <c r="A720" s="66" t="s">
        <v>1638</v>
      </c>
      <c r="B720" s="67" t="s">
        <v>1639</v>
      </c>
      <c r="C720" s="67" t="s">
        <v>1640</v>
      </c>
      <c r="D720" s="71">
        <v>45651.0</v>
      </c>
      <c r="E720" s="71">
        <v>45652.0</v>
      </c>
      <c r="F720" s="69">
        <v>740000.0</v>
      </c>
      <c r="G720" s="69">
        <v>740000.0</v>
      </c>
      <c r="H720" s="69">
        <v>150000.0</v>
      </c>
      <c r="I720" s="69">
        <v>740000.0</v>
      </c>
      <c r="J720" s="70">
        <f t="shared" si="9"/>
        <v>0.2027027027</v>
      </c>
    </row>
    <row r="721" ht="22.5" customHeight="1" outlineLevel="3">
      <c r="A721" s="66" t="s">
        <v>1641</v>
      </c>
      <c r="B721" s="67" t="s">
        <v>1642</v>
      </c>
      <c r="C721" s="67" t="s">
        <v>924</v>
      </c>
      <c r="D721" s="71">
        <v>45642.0</v>
      </c>
      <c r="E721" s="71">
        <v>45653.0</v>
      </c>
      <c r="F721" s="69">
        <v>3600000.0</v>
      </c>
      <c r="G721" s="69">
        <v>3600000.0</v>
      </c>
      <c r="H721" s="69"/>
      <c r="I721" s="69"/>
      <c r="J721" s="70">
        <f t="shared" si="9"/>
        <v>0</v>
      </c>
    </row>
    <row r="722" ht="22.5" customHeight="1" outlineLevel="3">
      <c r="A722" s="66" t="s">
        <v>1643</v>
      </c>
      <c r="B722" s="67" t="s">
        <v>1644</v>
      </c>
      <c r="C722" s="67" t="s">
        <v>1210</v>
      </c>
      <c r="D722" s="71">
        <v>45656.0</v>
      </c>
      <c r="E722" s="71">
        <v>45657.0</v>
      </c>
      <c r="F722" s="69">
        <v>4850000.0</v>
      </c>
      <c r="G722" s="69">
        <v>4850000.0</v>
      </c>
      <c r="H722" s="69">
        <v>450000.0</v>
      </c>
      <c r="I722" s="69">
        <v>4850000.0</v>
      </c>
      <c r="J722" s="70">
        <f t="shared" si="9"/>
        <v>0.09278350515</v>
      </c>
    </row>
    <row r="723" ht="22.5" customHeight="1" outlineLevel="3">
      <c r="A723" s="66" t="s">
        <v>1645</v>
      </c>
      <c r="B723" s="67" t="s">
        <v>1290</v>
      </c>
      <c r="C723" s="67" t="s">
        <v>850</v>
      </c>
      <c r="D723" s="71">
        <v>45657.0</v>
      </c>
      <c r="E723" s="68"/>
      <c r="F723" s="69">
        <v>3350000.0</v>
      </c>
      <c r="G723" s="69"/>
      <c r="H723" s="69">
        <v>630000.0</v>
      </c>
      <c r="I723" s="69"/>
      <c r="J723" s="70" t="str">
        <f t="shared" si="9"/>
        <v>#DIV/0!</v>
      </c>
    </row>
    <row r="724" ht="22.5" customHeight="1" outlineLevel="1">
      <c r="A724" s="63" t="s">
        <v>1646</v>
      </c>
      <c r="F724" s="64">
        <f t="shared" ref="F724:I724" si="10">sum(F725:F765)</f>
        <v>28620725458</v>
      </c>
      <c r="G724" s="64">
        <f t="shared" si="10"/>
        <v>16333397759</v>
      </c>
      <c r="H724" s="64">
        <f t="shared" si="10"/>
        <v>3383176651</v>
      </c>
      <c r="I724" s="64">
        <f t="shared" si="10"/>
        <v>20532404258</v>
      </c>
      <c r="J724" s="65"/>
    </row>
    <row r="725" ht="22.5" customHeight="1" outlineLevel="3">
      <c r="A725" s="66" t="s">
        <v>1647</v>
      </c>
      <c r="B725" s="67" t="s">
        <v>1648</v>
      </c>
      <c r="C725" s="67" t="s">
        <v>1649</v>
      </c>
      <c r="D725" s="68" t="s">
        <v>1650</v>
      </c>
      <c r="E725" s="71">
        <v>45321.0</v>
      </c>
      <c r="F725" s="69">
        <v>1.60875E8</v>
      </c>
      <c r="G725" s="69">
        <v>1.4625E8</v>
      </c>
      <c r="H725" s="69">
        <v>3.5749209E7</v>
      </c>
      <c r="I725" s="69">
        <v>1.60875E8</v>
      </c>
      <c r="J725" s="70">
        <f t="shared" ref="J725:J765" si="11">H725/G725</f>
        <v>0.2444390359</v>
      </c>
    </row>
    <row r="726" ht="22.5" customHeight="1" outlineLevel="3">
      <c r="A726" s="66" t="s">
        <v>1651</v>
      </c>
      <c r="B726" s="67" t="s">
        <v>1652</v>
      </c>
      <c r="C726" s="67" t="s">
        <v>1653</v>
      </c>
      <c r="D726" s="68" t="s">
        <v>1654</v>
      </c>
      <c r="E726" s="71">
        <v>45372.0</v>
      </c>
      <c r="F726" s="69">
        <v>6.54764E8</v>
      </c>
      <c r="G726" s="69">
        <v>5.9524E8</v>
      </c>
      <c r="H726" s="69">
        <v>1.774112315E8</v>
      </c>
      <c r="I726" s="69">
        <v>6.54764E8</v>
      </c>
      <c r="J726" s="70">
        <f t="shared" si="11"/>
        <v>0.2980499152</v>
      </c>
    </row>
    <row r="727" ht="22.5" customHeight="1" outlineLevel="3">
      <c r="A727" s="66" t="s">
        <v>1655</v>
      </c>
      <c r="B727" s="67" t="s">
        <v>1656</v>
      </c>
      <c r="C727" s="67" t="s">
        <v>729</v>
      </c>
      <c r="D727" s="68" t="s">
        <v>1657</v>
      </c>
      <c r="E727" s="71">
        <v>45391.0</v>
      </c>
      <c r="F727" s="69">
        <v>3.61175E8</v>
      </c>
      <c r="G727" s="69">
        <v>3.61175E8</v>
      </c>
      <c r="H727" s="69">
        <v>6.934041644444442E7</v>
      </c>
      <c r="I727" s="69">
        <v>3.61175E8</v>
      </c>
      <c r="J727" s="70">
        <f t="shared" si="11"/>
        <v>0.1919856481</v>
      </c>
    </row>
    <row r="728" ht="22.5" customHeight="1" outlineLevel="3">
      <c r="A728" s="66" t="s">
        <v>431</v>
      </c>
      <c r="B728" s="67" t="s">
        <v>432</v>
      </c>
      <c r="C728" s="67" t="s">
        <v>1658</v>
      </c>
      <c r="D728" s="71">
        <v>45383.0</v>
      </c>
      <c r="E728" s="71">
        <v>45404.0</v>
      </c>
      <c r="F728" s="69">
        <v>2.4569E8</v>
      </c>
      <c r="G728" s="69">
        <v>2.4569E8</v>
      </c>
      <c r="H728" s="69">
        <v>4.21047385E7</v>
      </c>
      <c r="I728" s="69">
        <v>4.9138E8</v>
      </c>
      <c r="J728" s="70">
        <f t="shared" si="11"/>
        <v>0.171373432</v>
      </c>
    </row>
    <row r="729" ht="22.5" customHeight="1" outlineLevel="3">
      <c r="A729" s="66" t="s">
        <v>1659</v>
      </c>
      <c r="B729" s="67" t="s">
        <v>1660</v>
      </c>
      <c r="C729" s="67" t="s">
        <v>1661</v>
      </c>
      <c r="D729" s="71">
        <v>45401.0</v>
      </c>
      <c r="E729" s="71">
        <v>45447.0</v>
      </c>
      <c r="F729" s="69">
        <v>6.213438E8</v>
      </c>
      <c r="G729" s="69">
        <v>5.64858E8</v>
      </c>
      <c r="H729" s="69">
        <v>9.838182282E7</v>
      </c>
      <c r="I729" s="69">
        <v>6.213438E8</v>
      </c>
      <c r="J729" s="70">
        <f t="shared" si="11"/>
        <v>0.174170894</v>
      </c>
    </row>
    <row r="730" ht="22.5" customHeight="1" outlineLevel="3">
      <c r="A730" s="66" t="s">
        <v>1662</v>
      </c>
      <c r="B730" s="67" t="s">
        <v>1663</v>
      </c>
      <c r="C730" s="67" t="s">
        <v>1664</v>
      </c>
      <c r="D730" s="71">
        <v>45405.0</v>
      </c>
      <c r="E730" s="71">
        <v>45461.0</v>
      </c>
      <c r="F730" s="69">
        <v>3.7499E8</v>
      </c>
      <c r="G730" s="69">
        <v>3.409E8</v>
      </c>
      <c r="H730" s="69">
        <v>9.8110884125E7</v>
      </c>
      <c r="I730" s="69">
        <v>3.7499E8</v>
      </c>
      <c r="J730" s="70">
        <f t="shared" si="11"/>
        <v>0.2877996014</v>
      </c>
    </row>
    <row r="731" ht="22.5" customHeight="1" outlineLevel="3">
      <c r="A731" s="66" t="s">
        <v>1665</v>
      </c>
      <c r="B731" s="67" t="s">
        <v>1666</v>
      </c>
      <c r="C731" s="67" t="s">
        <v>1667</v>
      </c>
      <c r="D731" s="71">
        <v>45418.0</v>
      </c>
      <c r="E731" s="71">
        <v>45428.0</v>
      </c>
      <c r="F731" s="69">
        <v>8.184E7</v>
      </c>
      <c r="G731" s="69">
        <v>7.44E7</v>
      </c>
      <c r="H731" s="69">
        <v>2.7211582E7</v>
      </c>
      <c r="I731" s="69">
        <v>8.0352E7</v>
      </c>
      <c r="J731" s="70">
        <f t="shared" si="11"/>
        <v>0.3657470699</v>
      </c>
    </row>
    <row r="732" ht="22.5" customHeight="1" outlineLevel="3">
      <c r="A732" s="66" t="s">
        <v>1668</v>
      </c>
      <c r="B732" s="67" t="s">
        <v>1669</v>
      </c>
      <c r="C732" s="67" t="s">
        <v>1670</v>
      </c>
      <c r="D732" s="71">
        <v>45421.0</v>
      </c>
      <c r="E732" s="71">
        <v>45422.0</v>
      </c>
      <c r="F732" s="69">
        <v>5500000.0</v>
      </c>
      <c r="G732" s="69">
        <v>5000000.0</v>
      </c>
      <c r="H732" s="69">
        <v>5000000.0</v>
      </c>
      <c r="I732" s="69">
        <v>5500000.0</v>
      </c>
      <c r="J732" s="70">
        <f t="shared" si="11"/>
        <v>1</v>
      </c>
    </row>
    <row r="733" ht="22.5" customHeight="1" outlineLevel="3">
      <c r="A733" s="66" t="s">
        <v>1671</v>
      </c>
      <c r="B733" s="67" t="s">
        <v>1672</v>
      </c>
      <c r="C733" s="67" t="s">
        <v>1673</v>
      </c>
      <c r="D733" s="71">
        <v>45440.0</v>
      </c>
      <c r="E733" s="71">
        <v>45460.0</v>
      </c>
      <c r="F733" s="69">
        <v>8.55E8</v>
      </c>
      <c r="G733" s="69">
        <v>8.55E8</v>
      </c>
      <c r="H733" s="69">
        <v>8.282859416739583E7</v>
      </c>
      <c r="I733" s="69">
        <v>8.55E8</v>
      </c>
      <c r="J733" s="70">
        <f t="shared" si="11"/>
        <v>0.09687554873</v>
      </c>
    </row>
    <row r="734" ht="22.5" customHeight="1" outlineLevel="3">
      <c r="A734" s="66" t="s">
        <v>1674</v>
      </c>
      <c r="B734" s="67" t="s">
        <v>1675</v>
      </c>
      <c r="C734" s="67" t="s">
        <v>1673</v>
      </c>
      <c r="D734" s="71">
        <v>45447.0</v>
      </c>
      <c r="E734" s="71">
        <v>45467.0</v>
      </c>
      <c r="F734" s="69">
        <v>1.7E9</v>
      </c>
      <c r="G734" s="69">
        <v>1.7E9</v>
      </c>
      <c r="H734" s="69">
        <v>2.788777837349093E8</v>
      </c>
      <c r="I734" s="69">
        <v>2.125E9</v>
      </c>
      <c r="J734" s="70">
        <f t="shared" si="11"/>
        <v>0.1640457551</v>
      </c>
    </row>
    <row r="735" ht="22.5" customHeight="1" outlineLevel="3">
      <c r="A735" s="66" t="s">
        <v>1676</v>
      </c>
      <c r="B735" s="67" t="s">
        <v>1677</v>
      </c>
      <c r="C735" s="67" t="s">
        <v>1649</v>
      </c>
      <c r="D735" s="71">
        <v>45458.0</v>
      </c>
      <c r="E735" s="71">
        <v>45477.0</v>
      </c>
      <c r="F735" s="69">
        <v>9394768.0</v>
      </c>
      <c r="G735" s="69">
        <v>8540698.0</v>
      </c>
      <c r="H735" s="69">
        <v>0.0</v>
      </c>
      <c r="I735" s="69">
        <v>9394768.0</v>
      </c>
      <c r="J735" s="70">
        <f t="shared" si="11"/>
        <v>0</v>
      </c>
    </row>
    <row r="736" ht="22.5" customHeight="1" outlineLevel="3">
      <c r="A736" s="66" t="s">
        <v>1678</v>
      </c>
      <c r="B736" s="67" t="s">
        <v>1679</v>
      </c>
      <c r="C736" s="67" t="s">
        <v>1680</v>
      </c>
      <c r="D736" s="71">
        <v>45478.0</v>
      </c>
      <c r="E736" s="71">
        <v>45491.0</v>
      </c>
      <c r="F736" s="69">
        <v>1.65275E8</v>
      </c>
      <c r="G736" s="69">
        <v>1.5025E8</v>
      </c>
      <c r="H736" s="69">
        <v>4.386075E7</v>
      </c>
      <c r="I736" s="69">
        <v>1.65275E8</v>
      </c>
      <c r="J736" s="70">
        <f t="shared" si="11"/>
        <v>0.2919184692</v>
      </c>
    </row>
    <row r="737" ht="22.5" customHeight="1" outlineLevel="3">
      <c r="A737" s="66" t="s">
        <v>1681</v>
      </c>
      <c r="B737" s="67" t="s">
        <v>1682</v>
      </c>
      <c r="C737" s="67" t="s">
        <v>729</v>
      </c>
      <c r="D737" s="71">
        <v>45483.0</v>
      </c>
      <c r="E737" s="71">
        <v>45488.0</v>
      </c>
      <c r="F737" s="69">
        <v>6.7733E8</v>
      </c>
      <c r="G737" s="69">
        <v>6.7733E8</v>
      </c>
      <c r="H737" s="69">
        <v>1.9349896634710562E8</v>
      </c>
      <c r="I737" s="69">
        <v>6.7733E8</v>
      </c>
      <c r="J737" s="70">
        <f t="shared" si="11"/>
        <v>0.2856790137</v>
      </c>
    </row>
    <row r="738" ht="22.5" customHeight="1" outlineLevel="3">
      <c r="A738" s="66" t="s">
        <v>1683</v>
      </c>
      <c r="B738" s="67" t="s">
        <v>1684</v>
      </c>
      <c r="C738" s="67" t="s">
        <v>729</v>
      </c>
      <c r="D738" s="71">
        <v>45491.0</v>
      </c>
      <c r="E738" s="71">
        <v>45495.0</v>
      </c>
      <c r="F738" s="69">
        <v>1.6894E8</v>
      </c>
      <c r="G738" s="69">
        <v>1.6894E8</v>
      </c>
      <c r="H738" s="69">
        <v>3.6544E7</v>
      </c>
      <c r="I738" s="69">
        <v>1.6894E8</v>
      </c>
      <c r="J738" s="70">
        <f t="shared" si="11"/>
        <v>0.2163134841</v>
      </c>
    </row>
    <row r="739" ht="22.5" customHeight="1" outlineLevel="3">
      <c r="A739" s="66" t="s">
        <v>1685</v>
      </c>
      <c r="B739" s="67" t="s">
        <v>1686</v>
      </c>
      <c r="C739" s="67" t="s">
        <v>729</v>
      </c>
      <c r="D739" s="71">
        <v>45491.0</v>
      </c>
      <c r="E739" s="71">
        <v>45498.0</v>
      </c>
      <c r="F739" s="69">
        <v>3.8117314E8</v>
      </c>
      <c r="G739" s="69">
        <v>3.8117314E8</v>
      </c>
      <c r="H739" s="69">
        <v>7.486799E7</v>
      </c>
      <c r="I739" s="69">
        <v>3.8117314E8</v>
      </c>
      <c r="J739" s="70">
        <f t="shared" si="11"/>
        <v>0.1964146529</v>
      </c>
    </row>
    <row r="740" ht="22.5" customHeight="1" outlineLevel="3">
      <c r="A740" s="66" t="s">
        <v>1687</v>
      </c>
      <c r="B740" s="67" t="s">
        <v>1688</v>
      </c>
      <c r="C740" s="67" t="s">
        <v>729</v>
      </c>
      <c r="D740" s="71">
        <v>45509.0</v>
      </c>
      <c r="E740" s="71">
        <v>45519.0</v>
      </c>
      <c r="F740" s="69">
        <v>1.51885E8</v>
      </c>
      <c r="G740" s="69">
        <v>1.51885E8</v>
      </c>
      <c r="H740" s="69">
        <v>4.1256E7</v>
      </c>
      <c r="I740" s="69">
        <v>1.51885E8</v>
      </c>
      <c r="J740" s="70">
        <f t="shared" si="11"/>
        <v>0.2716265596</v>
      </c>
    </row>
    <row r="741" ht="22.5" customHeight="1" outlineLevel="3">
      <c r="A741" s="66" t="s">
        <v>1689</v>
      </c>
      <c r="B741" s="67" t="s">
        <v>1690</v>
      </c>
      <c r="C741" s="67" t="s">
        <v>1691</v>
      </c>
      <c r="D741" s="71">
        <v>45513.0</v>
      </c>
      <c r="E741" s="71">
        <v>45520.0</v>
      </c>
      <c r="F741" s="69">
        <v>2.09E8</v>
      </c>
      <c r="G741" s="69">
        <v>2.09E8</v>
      </c>
      <c r="H741" s="69">
        <v>3.19345625E7</v>
      </c>
      <c r="I741" s="69">
        <v>2.09E8</v>
      </c>
      <c r="J741" s="70">
        <f t="shared" si="11"/>
        <v>0.1527969498</v>
      </c>
    </row>
    <row r="742" ht="22.5" customHeight="1" outlineLevel="3">
      <c r="A742" s="66" t="s">
        <v>1692</v>
      </c>
      <c r="B742" s="67" t="s">
        <v>1693</v>
      </c>
      <c r="C742" s="67" t="s">
        <v>517</v>
      </c>
      <c r="D742" s="71">
        <v>45509.0</v>
      </c>
      <c r="E742" s="68"/>
      <c r="F742" s="69">
        <v>2.075E8</v>
      </c>
      <c r="G742" s="69"/>
      <c r="H742" s="69">
        <v>2.4257E7</v>
      </c>
      <c r="I742" s="69"/>
      <c r="J742" s="70" t="str">
        <f t="shared" si="11"/>
        <v>#DIV/0!</v>
      </c>
    </row>
    <row r="743" ht="22.5" customHeight="1" outlineLevel="3">
      <c r="A743" s="66" t="s">
        <v>1694</v>
      </c>
      <c r="B743" s="67" t="s">
        <v>1695</v>
      </c>
      <c r="C743" s="67" t="s">
        <v>1696</v>
      </c>
      <c r="D743" s="71">
        <v>45531.0</v>
      </c>
      <c r="E743" s="71">
        <v>45531.0</v>
      </c>
      <c r="F743" s="69">
        <v>4.8E7</v>
      </c>
      <c r="G743" s="69">
        <v>4.4444444E7</v>
      </c>
      <c r="H743" s="69">
        <v>5894444.44444444</v>
      </c>
      <c r="I743" s="69">
        <v>4.8E7</v>
      </c>
      <c r="J743" s="70">
        <f t="shared" si="11"/>
        <v>0.1326250013</v>
      </c>
    </row>
    <row r="744" ht="22.5" customHeight="1" outlineLevel="3">
      <c r="A744" s="66" t="s">
        <v>1697</v>
      </c>
      <c r="B744" s="67" t="s">
        <v>1698</v>
      </c>
      <c r="C744" s="67" t="s">
        <v>1011</v>
      </c>
      <c r="D744" s="71">
        <v>45540.0</v>
      </c>
      <c r="E744" s="71">
        <v>45646.0</v>
      </c>
      <c r="F744" s="69">
        <v>4.106E7</v>
      </c>
      <c r="G744" s="69">
        <v>4.106E7</v>
      </c>
      <c r="H744" s="69">
        <v>1.404082E7</v>
      </c>
      <c r="I744" s="69">
        <v>2.053E7</v>
      </c>
      <c r="J744" s="70">
        <f t="shared" si="11"/>
        <v>0.3419585972</v>
      </c>
    </row>
    <row r="745" ht="22.5" customHeight="1" outlineLevel="3">
      <c r="A745" s="66" t="s">
        <v>1699</v>
      </c>
      <c r="B745" s="67" t="s">
        <v>1700</v>
      </c>
      <c r="C745" s="67" t="s">
        <v>729</v>
      </c>
      <c r="D745" s="71">
        <v>45558.0</v>
      </c>
      <c r="E745" s="71">
        <v>45561.0</v>
      </c>
      <c r="F745" s="69">
        <v>1.95261E8</v>
      </c>
      <c r="G745" s="69">
        <v>1.95261E8</v>
      </c>
      <c r="H745" s="69">
        <v>5.8529409037499994E7</v>
      </c>
      <c r="I745" s="69">
        <v>1.95261E8</v>
      </c>
      <c r="J745" s="70">
        <f t="shared" si="11"/>
        <v>0.2997496122</v>
      </c>
    </row>
    <row r="746" ht="22.5" customHeight="1" outlineLevel="3">
      <c r="A746" s="66" t="s">
        <v>1701</v>
      </c>
      <c r="B746" s="67" t="s">
        <v>1702</v>
      </c>
      <c r="C746" s="67" t="s">
        <v>1703</v>
      </c>
      <c r="D746" s="71">
        <v>45560.0</v>
      </c>
      <c r="E746" s="71">
        <v>45572.0</v>
      </c>
      <c r="F746" s="69">
        <v>3300000.0</v>
      </c>
      <c r="G746" s="69">
        <v>3950000.0</v>
      </c>
      <c r="H746" s="69">
        <v>0.0</v>
      </c>
      <c r="I746" s="69">
        <v>4266000.0</v>
      </c>
      <c r="J746" s="70">
        <f t="shared" si="11"/>
        <v>0</v>
      </c>
    </row>
    <row r="747" ht="22.5" customHeight="1" outlineLevel="3">
      <c r="A747" s="66" t="s">
        <v>1704</v>
      </c>
      <c r="B747" s="67" t="s">
        <v>1705</v>
      </c>
      <c r="C747" s="67" t="s">
        <v>729</v>
      </c>
      <c r="D747" s="71">
        <v>45561.0</v>
      </c>
      <c r="E747" s="71">
        <v>45572.0</v>
      </c>
      <c r="F747" s="69">
        <v>3.7928275E8</v>
      </c>
      <c r="G747" s="69">
        <v>3.7928275E8</v>
      </c>
      <c r="H747" s="69">
        <v>5.7006121111111104E7</v>
      </c>
      <c r="I747" s="69">
        <v>3.7928275E8</v>
      </c>
      <c r="J747" s="70">
        <f t="shared" si="11"/>
        <v>0.1502997991</v>
      </c>
    </row>
    <row r="748" ht="22.5" customHeight="1" outlineLevel="3">
      <c r="A748" s="66" t="s">
        <v>1706</v>
      </c>
      <c r="B748" s="67" t="s">
        <v>1707</v>
      </c>
      <c r="C748" s="67" t="s">
        <v>729</v>
      </c>
      <c r="D748" s="71">
        <v>45560.0</v>
      </c>
      <c r="E748" s="71">
        <v>45569.0</v>
      </c>
      <c r="F748" s="69">
        <v>3.61175E8</v>
      </c>
      <c r="G748" s="69">
        <v>3.61175E8</v>
      </c>
      <c r="H748" s="69">
        <v>8.014351793333334E7</v>
      </c>
      <c r="I748" s="69">
        <v>3.61175E8</v>
      </c>
      <c r="J748" s="70">
        <f t="shared" si="11"/>
        <v>0.2218966372</v>
      </c>
    </row>
    <row r="749" ht="22.5" customHeight="1" outlineLevel="3">
      <c r="A749" s="66" t="s">
        <v>727</v>
      </c>
      <c r="B749" s="67" t="s">
        <v>728</v>
      </c>
      <c r="C749" s="67" t="s">
        <v>729</v>
      </c>
      <c r="D749" s="71">
        <v>45562.0</v>
      </c>
      <c r="E749" s="71">
        <v>45565.0</v>
      </c>
      <c r="F749" s="69">
        <v>3.0525E9</v>
      </c>
      <c r="G749" s="69">
        <v>3.0525E9</v>
      </c>
      <c r="H749" s="69">
        <v>5.362558133333335E8</v>
      </c>
      <c r="I749" s="69">
        <v>6.105E9</v>
      </c>
      <c r="J749" s="70">
        <f t="shared" si="11"/>
        <v>0.1756775801</v>
      </c>
    </row>
    <row r="750" ht="22.5" customHeight="1" outlineLevel="3">
      <c r="A750" s="66" t="s">
        <v>1708</v>
      </c>
      <c r="B750" s="67" t="s">
        <v>1709</v>
      </c>
      <c r="C750" s="67" t="s">
        <v>1710</v>
      </c>
      <c r="D750" s="71">
        <v>45551.0</v>
      </c>
      <c r="E750" s="71">
        <v>45609.0</v>
      </c>
      <c r="F750" s="69">
        <v>1.083082E9</v>
      </c>
      <c r="G750" s="69">
        <v>9.8462E8</v>
      </c>
      <c r="H750" s="69">
        <v>1.89213235E8</v>
      </c>
      <c r="I750" s="69">
        <v>9.747738E8</v>
      </c>
      <c r="J750" s="70">
        <f t="shared" si="11"/>
        <v>0.192168791</v>
      </c>
    </row>
    <row r="751" ht="22.5" customHeight="1" outlineLevel="3">
      <c r="A751" s="66" t="s">
        <v>1711</v>
      </c>
      <c r="B751" s="67" t="s">
        <v>1712</v>
      </c>
      <c r="C751" s="67" t="s">
        <v>1713</v>
      </c>
      <c r="D751" s="71">
        <v>45576.0</v>
      </c>
      <c r="E751" s="71">
        <v>45589.0</v>
      </c>
      <c r="F751" s="69">
        <v>1.93296E9</v>
      </c>
      <c r="G751" s="69">
        <v>1.93296E9</v>
      </c>
      <c r="H751" s="69">
        <v>5.699460571337976E8</v>
      </c>
      <c r="I751" s="69">
        <v>1.739664E9</v>
      </c>
      <c r="J751" s="70">
        <f t="shared" si="11"/>
        <v>0.2948566226</v>
      </c>
    </row>
    <row r="752" ht="22.5" customHeight="1" outlineLevel="3">
      <c r="A752" s="66" t="s">
        <v>1714</v>
      </c>
      <c r="B752" s="67" t="s">
        <v>1715</v>
      </c>
      <c r="C752" s="67" t="s">
        <v>1716</v>
      </c>
      <c r="D752" s="71">
        <v>45587.0</v>
      </c>
      <c r="E752" s="68"/>
      <c r="F752" s="69">
        <v>9.5985E8</v>
      </c>
      <c r="G752" s="69">
        <v>0.0</v>
      </c>
      <c r="H752" s="69">
        <v>2.617772730000007E7</v>
      </c>
      <c r="I752" s="69">
        <v>2.87955E8</v>
      </c>
      <c r="J752" s="70" t="str">
        <f t="shared" si="11"/>
        <v>#DIV/0!</v>
      </c>
    </row>
    <row r="753" ht="22.5" customHeight="1" outlineLevel="3">
      <c r="A753" s="66" t="s">
        <v>1717</v>
      </c>
      <c r="B753" s="67" t="s">
        <v>1718</v>
      </c>
      <c r="C753" s="67" t="s">
        <v>729</v>
      </c>
      <c r="D753" s="71">
        <v>45589.0</v>
      </c>
      <c r="E753" s="71">
        <v>45601.0</v>
      </c>
      <c r="F753" s="69">
        <v>8.86E7</v>
      </c>
      <c r="G753" s="69">
        <v>8.86E7</v>
      </c>
      <c r="H753" s="69">
        <v>9899963.75</v>
      </c>
      <c r="I753" s="69">
        <v>8.86E7</v>
      </c>
      <c r="J753" s="70">
        <f t="shared" si="11"/>
        <v>0.1117377398</v>
      </c>
    </row>
    <row r="754" ht="22.5" customHeight="1" outlineLevel="3">
      <c r="A754" s="66" t="s">
        <v>1719</v>
      </c>
      <c r="B754" s="67" t="s">
        <v>1690</v>
      </c>
      <c r="C754" s="67" t="s">
        <v>1720</v>
      </c>
      <c r="D754" s="71">
        <v>45595.0</v>
      </c>
      <c r="E754" s="71">
        <v>45615.0</v>
      </c>
      <c r="F754" s="69">
        <v>9.6E7</v>
      </c>
      <c r="G754" s="69">
        <v>9.6E7</v>
      </c>
      <c r="H754" s="69">
        <v>6864300.0</v>
      </c>
      <c r="I754" s="69"/>
      <c r="J754" s="70">
        <f t="shared" si="11"/>
        <v>0.071503125</v>
      </c>
    </row>
    <row r="755" ht="22.5" customHeight="1" outlineLevel="3">
      <c r="A755" s="66" t="s">
        <v>1721</v>
      </c>
      <c r="B755" s="67" t="s">
        <v>1722</v>
      </c>
      <c r="C755" s="67" t="s">
        <v>1723</v>
      </c>
      <c r="D755" s="71">
        <v>45602.0</v>
      </c>
      <c r="E755" s="71">
        <v>45630.0</v>
      </c>
      <c r="F755" s="69">
        <v>9.46E7</v>
      </c>
      <c r="G755" s="69">
        <v>8.6E7</v>
      </c>
      <c r="H755" s="69">
        <v>3.01692375E7</v>
      </c>
      <c r="I755" s="69">
        <v>9.46E7</v>
      </c>
      <c r="J755" s="70">
        <f t="shared" si="11"/>
        <v>0.3508050872</v>
      </c>
    </row>
    <row r="756" ht="22.5" customHeight="1" outlineLevel="3">
      <c r="A756" s="66" t="s">
        <v>1724</v>
      </c>
      <c r="B756" s="67" t="s">
        <v>1725</v>
      </c>
      <c r="C756" s="67" t="s">
        <v>1726</v>
      </c>
      <c r="D756" s="71">
        <v>45624.0</v>
      </c>
      <c r="E756" s="71">
        <v>45651.0</v>
      </c>
      <c r="F756" s="69">
        <v>3.26579E8</v>
      </c>
      <c r="G756" s="69">
        <v>2.9689E8</v>
      </c>
      <c r="H756" s="69">
        <v>1.15943579E8</v>
      </c>
      <c r="I756" s="69">
        <v>3.26579E8</v>
      </c>
      <c r="J756" s="70">
        <f t="shared" si="11"/>
        <v>0.3905270605</v>
      </c>
    </row>
    <row r="757" ht="22.5" customHeight="1" outlineLevel="3">
      <c r="A757" s="66" t="s">
        <v>1727</v>
      </c>
      <c r="B757" s="67" t="s">
        <v>1728</v>
      </c>
      <c r="C757" s="67" t="s">
        <v>1729</v>
      </c>
      <c r="D757" s="71">
        <v>45621.0</v>
      </c>
      <c r="E757" s="71">
        <v>45638.0</v>
      </c>
      <c r="F757" s="69">
        <v>2.59E7</v>
      </c>
      <c r="G757" s="69">
        <v>2.59E7</v>
      </c>
      <c r="H757" s="69">
        <v>2886250.0</v>
      </c>
      <c r="I757" s="69">
        <v>2.59E7</v>
      </c>
      <c r="J757" s="70">
        <f t="shared" si="11"/>
        <v>0.1114382239</v>
      </c>
    </row>
    <row r="758" ht="22.5" customHeight="1" outlineLevel="3">
      <c r="A758" s="66" t="s">
        <v>1730</v>
      </c>
      <c r="B758" s="67" t="s">
        <v>1731</v>
      </c>
      <c r="C758" s="67" t="s">
        <v>1732</v>
      </c>
      <c r="D758" s="71">
        <v>45632.0</v>
      </c>
      <c r="E758" s="71">
        <v>45652.0</v>
      </c>
      <c r="F758" s="69">
        <v>5.8E8</v>
      </c>
      <c r="G758" s="69">
        <v>5.27272727E8</v>
      </c>
      <c r="H758" s="69">
        <v>5.254272727272725E7</v>
      </c>
      <c r="I758" s="69">
        <v>2.9E8</v>
      </c>
      <c r="J758" s="70">
        <f t="shared" si="11"/>
        <v>0.09965000005</v>
      </c>
    </row>
    <row r="759" ht="22.5" customHeight="1" outlineLevel="3">
      <c r="A759" s="66" t="s">
        <v>1733</v>
      </c>
      <c r="B759" s="67" t="s">
        <v>1734</v>
      </c>
      <c r="C759" s="67" t="s">
        <v>1735</v>
      </c>
      <c r="D759" s="68"/>
      <c r="E759" s="68"/>
      <c r="F759" s="69">
        <v>6.979E9</v>
      </c>
      <c r="G759" s="69"/>
      <c r="H759" s="69"/>
      <c r="I759" s="69"/>
      <c r="J759" s="70" t="str">
        <f t="shared" si="11"/>
        <v>#DIV/0!</v>
      </c>
    </row>
    <row r="760" ht="22.5" customHeight="1" outlineLevel="3">
      <c r="A760" s="66" t="s">
        <v>1736</v>
      </c>
      <c r="B760" s="67" t="s">
        <v>1737</v>
      </c>
      <c r="C760" s="67" t="s">
        <v>1735</v>
      </c>
      <c r="D760" s="68"/>
      <c r="E760" s="68"/>
      <c r="F760" s="69">
        <v>2.789E9</v>
      </c>
      <c r="G760" s="69"/>
      <c r="H760" s="69"/>
      <c r="I760" s="69"/>
      <c r="J760" s="70" t="str">
        <f t="shared" si="11"/>
        <v>#DIV/0!</v>
      </c>
    </row>
    <row r="761" ht="22.5" customHeight="1" outlineLevel="3">
      <c r="A761" s="66" t="s">
        <v>1738</v>
      </c>
      <c r="B761" s="67" t="s">
        <v>1739</v>
      </c>
      <c r="C761" s="67" t="s">
        <v>1673</v>
      </c>
      <c r="D761" s="68"/>
      <c r="E761" s="68"/>
      <c r="F761" s="69">
        <v>9.32E8</v>
      </c>
      <c r="G761" s="69"/>
      <c r="H761" s="69"/>
      <c r="I761" s="69"/>
      <c r="J761" s="70" t="str">
        <f t="shared" si="11"/>
        <v>#DIV/0!</v>
      </c>
    </row>
    <row r="762" ht="22.5" customHeight="1" outlineLevel="3">
      <c r="A762" s="66" t="s">
        <v>1740</v>
      </c>
      <c r="B762" s="67" t="s">
        <v>1741</v>
      </c>
      <c r="C762" s="67" t="s">
        <v>1742</v>
      </c>
      <c r="D762" s="71">
        <v>45642.0</v>
      </c>
      <c r="E762" s="71">
        <v>45649.0</v>
      </c>
      <c r="F762" s="69">
        <v>3.3E8</v>
      </c>
      <c r="G762" s="69">
        <v>3.0E8</v>
      </c>
      <c r="H762" s="69">
        <v>7.96212E7</v>
      </c>
      <c r="I762" s="69">
        <v>3.3E8</v>
      </c>
      <c r="J762" s="70">
        <f t="shared" si="11"/>
        <v>0.265404</v>
      </c>
    </row>
    <row r="763" ht="22.5" customHeight="1" outlineLevel="3">
      <c r="A763" s="66" t="s">
        <v>1743</v>
      </c>
      <c r="B763" s="67" t="s">
        <v>1744</v>
      </c>
      <c r="C763" s="67" t="s">
        <v>1680</v>
      </c>
      <c r="D763" s="68"/>
      <c r="E763" s="71">
        <v>45646.0</v>
      </c>
      <c r="F763" s="69">
        <v>1.925E7</v>
      </c>
      <c r="G763" s="69">
        <v>1.75E7</v>
      </c>
      <c r="H763" s="69">
        <v>0.0</v>
      </c>
      <c r="I763" s="69">
        <v>1.925E7</v>
      </c>
      <c r="J763" s="70">
        <f t="shared" si="11"/>
        <v>0</v>
      </c>
    </row>
    <row r="764" ht="22.5" customHeight="1" outlineLevel="3">
      <c r="A764" s="66" t="s">
        <v>1745</v>
      </c>
      <c r="B764" s="67" t="s">
        <v>1746</v>
      </c>
      <c r="C764" s="67" t="s">
        <v>1747</v>
      </c>
      <c r="D764" s="71">
        <v>45646.0</v>
      </c>
      <c r="E764" s="71">
        <v>45656.0</v>
      </c>
      <c r="F764" s="69">
        <v>8.03E7</v>
      </c>
      <c r="G764" s="69">
        <v>7.3E7</v>
      </c>
      <c r="H764" s="69">
        <v>1.9234125E7</v>
      </c>
      <c r="I764" s="69">
        <v>8.03E7</v>
      </c>
      <c r="J764" s="70">
        <f t="shared" si="11"/>
        <v>0.2634811644</v>
      </c>
    </row>
    <row r="765" ht="22.5" customHeight="1" outlineLevel="3">
      <c r="A765" s="66" t="s">
        <v>724</v>
      </c>
      <c r="B765" s="67" t="s">
        <v>725</v>
      </c>
      <c r="C765" s="67" t="s">
        <v>1748</v>
      </c>
      <c r="D765" s="71">
        <v>45652.0</v>
      </c>
      <c r="E765" s="71">
        <v>45657.0</v>
      </c>
      <c r="F765" s="69">
        <v>1.19135E9</v>
      </c>
      <c r="G765" s="69">
        <v>1.19135E9</v>
      </c>
      <c r="H765" s="69">
        <v>1.6757259156799996E8</v>
      </c>
      <c r="I765" s="69">
        <v>1.66789E9</v>
      </c>
      <c r="J765" s="70">
        <f t="shared" si="11"/>
        <v>0.1406577341</v>
      </c>
    </row>
    <row r="766" ht="22.5" customHeight="1" outlineLevel="1">
      <c r="A766" s="63" t="s">
        <v>1749</v>
      </c>
      <c r="F766" s="64">
        <f t="shared" ref="F766:I766" si="12">sum(F767:F780)</f>
        <v>2494807408</v>
      </c>
      <c r="G766" s="64">
        <f t="shared" si="12"/>
        <v>1984875175</v>
      </c>
      <c r="H766" s="64">
        <f t="shared" si="12"/>
        <v>976885993.1</v>
      </c>
      <c r="I766" s="64">
        <f t="shared" si="12"/>
        <v>1033605408</v>
      </c>
      <c r="J766" s="65"/>
    </row>
    <row r="767" ht="22.5" customHeight="1" outlineLevel="3">
      <c r="A767" s="66" t="s">
        <v>1750</v>
      </c>
      <c r="B767" s="67" t="s">
        <v>1751</v>
      </c>
      <c r="C767" s="67" t="s">
        <v>1752</v>
      </c>
      <c r="D767" s="71">
        <v>45419.0</v>
      </c>
      <c r="E767" s="68"/>
      <c r="F767" s="69">
        <v>2.34E8</v>
      </c>
      <c r="G767" s="69"/>
      <c r="H767" s="69"/>
      <c r="I767" s="69"/>
      <c r="J767" s="70" t="str">
        <f t="shared" ref="J767:J780" si="13">H767/G767</f>
        <v>#DIV/0!</v>
      </c>
    </row>
    <row r="768" ht="22.5" customHeight="1" outlineLevel="3">
      <c r="A768" s="66" t="s">
        <v>1753</v>
      </c>
      <c r="B768" s="67" t="s">
        <v>1754</v>
      </c>
      <c r="C768" s="67" t="s">
        <v>1755</v>
      </c>
      <c r="D768" s="71">
        <v>45470.0</v>
      </c>
      <c r="E768" s="71">
        <v>45582.0</v>
      </c>
      <c r="F768" s="69">
        <v>6600000.0</v>
      </c>
      <c r="G768" s="69">
        <v>6000000.0</v>
      </c>
      <c r="H768" s="69">
        <v>6000000.0</v>
      </c>
      <c r="I768" s="69">
        <v>6480000.0</v>
      </c>
      <c r="J768" s="70">
        <f t="shared" si="13"/>
        <v>1</v>
      </c>
    </row>
    <row r="769" ht="22.5" customHeight="1" outlineLevel="3">
      <c r="A769" s="66" t="s">
        <v>1756</v>
      </c>
      <c r="B769" s="67" t="s">
        <v>1757</v>
      </c>
      <c r="C769" s="67" t="s">
        <v>1758</v>
      </c>
      <c r="D769" s="71">
        <v>45478.0</v>
      </c>
      <c r="E769" s="71">
        <v>45657.0</v>
      </c>
      <c r="F769" s="69">
        <v>5.07E8</v>
      </c>
      <c r="G769" s="69">
        <v>3.755555555555555E8</v>
      </c>
      <c r="H769" s="69">
        <v>2.4988888888888884E8</v>
      </c>
      <c r="I769" s="69">
        <v>1.521E8</v>
      </c>
      <c r="J769" s="70">
        <f t="shared" si="13"/>
        <v>0.6653846154</v>
      </c>
    </row>
    <row r="770" ht="22.5" customHeight="1" outlineLevel="3">
      <c r="A770" s="66" t="s">
        <v>1759</v>
      </c>
      <c r="B770" s="67" t="s">
        <v>1760</v>
      </c>
      <c r="C770" s="67" t="s">
        <v>1761</v>
      </c>
      <c r="D770" s="71">
        <v>45477.0</v>
      </c>
      <c r="E770" s="71">
        <v>45657.0</v>
      </c>
      <c r="F770" s="69">
        <v>3.92251E8</v>
      </c>
      <c r="G770" s="69">
        <v>3.56591818E8</v>
      </c>
      <c r="H770" s="69">
        <v>1.32923328E8</v>
      </c>
      <c r="I770" s="69"/>
      <c r="J770" s="70">
        <f t="shared" si="13"/>
        <v>0.3727604541</v>
      </c>
    </row>
    <row r="771" ht="22.5" customHeight="1" outlineLevel="3">
      <c r="A771" s="66" t="s">
        <v>1762</v>
      </c>
      <c r="B771" s="67" t="s">
        <v>1754</v>
      </c>
      <c r="C771" s="67" t="s">
        <v>1763</v>
      </c>
      <c r="D771" s="71">
        <v>45540.0</v>
      </c>
      <c r="E771" s="71">
        <v>45629.0</v>
      </c>
      <c r="F771" s="69">
        <v>6.48E7</v>
      </c>
      <c r="G771" s="69">
        <v>6.0E7</v>
      </c>
      <c r="H771" s="69">
        <v>4.2E7</v>
      </c>
      <c r="I771" s="69">
        <v>6.48E7</v>
      </c>
      <c r="J771" s="70">
        <f t="shared" si="13"/>
        <v>0.7</v>
      </c>
    </row>
    <row r="772" ht="22.5" customHeight="1" outlineLevel="3">
      <c r="A772" s="66" t="s">
        <v>1764</v>
      </c>
      <c r="B772" s="67" t="s">
        <v>1754</v>
      </c>
      <c r="C772" s="67" t="s">
        <v>1765</v>
      </c>
      <c r="D772" s="71">
        <v>45541.0</v>
      </c>
      <c r="E772" s="71">
        <v>45618.0</v>
      </c>
      <c r="F772" s="69">
        <v>2.847E7</v>
      </c>
      <c r="G772" s="69">
        <v>2.6361111E7</v>
      </c>
      <c r="H772" s="69">
        <v>1.84527777E7</v>
      </c>
      <c r="I772" s="69">
        <v>2.847E7</v>
      </c>
      <c r="J772" s="70">
        <f t="shared" si="13"/>
        <v>0.7</v>
      </c>
    </row>
    <row r="773" ht="22.5" customHeight="1" outlineLevel="3">
      <c r="A773" s="66" t="s">
        <v>1766</v>
      </c>
      <c r="B773" s="67" t="s">
        <v>1754</v>
      </c>
      <c r="C773" s="67" t="s">
        <v>1767</v>
      </c>
      <c r="D773" s="71">
        <v>45547.0</v>
      </c>
      <c r="E773" s="71">
        <v>45656.0</v>
      </c>
      <c r="F773" s="69">
        <v>4.01E8</v>
      </c>
      <c r="G773" s="69">
        <v>3.71296296E8</v>
      </c>
      <c r="H773" s="69">
        <v>1.76486296E8</v>
      </c>
      <c r="I773" s="69">
        <v>4.01E8</v>
      </c>
      <c r="J773" s="70">
        <f t="shared" si="13"/>
        <v>0.4753246879</v>
      </c>
    </row>
    <row r="774" ht="22.5" customHeight="1" outlineLevel="3">
      <c r="A774" s="66" t="s">
        <v>1768</v>
      </c>
      <c r="B774" s="67" t="s">
        <v>1769</v>
      </c>
      <c r="C774" s="67" t="s">
        <v>1761</v>
      </c>
      <c r="D774" s="71">
        <v>45566.0</v>
      </c>
      <c r="E774" s="71">
        <v>45657.0</v>
      </c>
      <c r="F774" s="69">
        <v>4.66971E8</v>
      </c>
      <c r="G774" s="69">
        <v>4.24519091E8</v>
      </c>
      <c r="H774" s="69">
        <v>1.56503399E8</v>
      </c>
      <c r="I774" s="69"/>
      <c r="J774" s="70">
        <f t="shared" si="13"/>
        <v>0.3686604497</v>
      </c>
    </row>
    <row r="775" ht="22.5" customHeight="1" outlineLevel="3">
      <c r="A775" s="66" t="s">
        <v>1770</v>
      </c>
      <c r="B775" s="67" t="s">
        <v>1771</v>
      </c>
      <c r="C775" s="67" t="s">
        <v>1767</v>
      </c>
      <c r="D775" s="71">
        <v>45581.0</v>
      </c>
      <c r="E775" s="71">
        <v>45656.0</v>
      </c>
      <c r="F775" s="69">
        <v>2.749E8</v>
      </c>
      <c r="G775" s="69">
        <v>2.54537037E8</v>
      </c>
      <c r="H775" s="69">
        <v>1.19757037E8</v>
      </c>
      <c r="I775" s="69">
        <v>2.749E8</v>
      </c>
      <c r="J775" s="70">
        <f t="shared" si="13"/>
        <v>0.4704896325</v>
      </c>
    </row>
    <row r="776" ht="22.5" customHeight="1" outlineLevel="3">
      <c r="A776" s="66" t="s">
        <v>1772</v>
      </c>
      <c r="B776" s="67" t="s">
        <v>1771</v>
      </c>
      <c r="C776" s="67" t="s">
        <v>1773</v>
      </c>
      <c r="D776" s="71">
        <v>45610.0</v>
      </c>
      <c r="E776" s="71">
        <v>45657.0</v>
      </c>
      <c r="F776" s="69">
        <v>9.3E7</v>
      </c>
      <c r="G776" s="69">
        <v>8.61111111111111E7</v>
      </c>
      <c r="H776" s="69">
        <v>5.0971111E7</v>
      </c>
      <c r="I776" s="69">
        <v>9.3E7</v>
      </c>
      <c r="J776" s="70">
        <f t="shared" si="13"/>
        <v>0.5919225794</v>
      </c>
    </row>
    <row r="777" ht="22.5" customHeight="1" outlineLevel="3">
      <c r="A777" s="66" t="s">
        <v>1774</v>
      </c>
      <c r="B777" s="67" t="s">
        <v>1771</v>
      </c>
      <c r="C777" s="67" t="s">
        <v>1775</v>
      </c>
      <c r="D777" s="71">
        <v>45631.0</v>
      </c>
      <c r="E777" s="71">
        <v>45656.0</v>
      </c>
      <c r="F777" s="69">
        <v>7455408.0</v>
      </c>
      <c r="G777" s="69">
        <v>6903155.555555555</v>
      </c>
      <c r="H777" s="69">
        <v>6903155.555555555</v>
      </c>
      <c r="I777" s="69">
        <v>7455408.0</v>
      </c>
      <c r="J777" s="70">
        <f t="shared" si="13"/>
        <v>1</v>
      </c>
    </row>
    <row r="778" ht="22.5" customHeight="1" outlineLevel="3">
      <c r="A778" s="66" t="s">
        <v>1776</v>
      </c>
      <c r="B778" s="67" t="s">
        <v>1771</v>
      </c>
      <c r="C778" s="67" t="s">
        <v>1777</v>
      </c>
      <c r="D778" s="71">
        <v>45631.0</v>
      </c>
      <c r="E778" s="71">
        <v>45656.0</v>
      </c>
      <c r="F778" s="69">
        <v>5400000.0</v>
      </c>
      <c r="G778" s="69">
        <v>5000000.0</v>
      </c>
      <c r="H778" s="69">
        <v>5000000.0</v>
      </c>
      <c r="I778" s="69">
        <v>5400000.0</v>
      </c>
      <c r="J778" s="70">
        <f t="shared" si="13"/>
        <v>1</v>
      </c>
    </row>
    <row r="779" ht="22.5" customHeight="1" outlineLevel="3">
      <c r="A779" s="66" t="s">
        <v>1778</v>
      </c>
      <c r="B779" s="67" t="s">
        <v>1771</v>
      </c>
      <c r="C779" s="67" t="s">
        <v>1779</v>
      </c>
      <c r="D779" s="71">
        <v>45639.0</v>
      </c>
      <c r="E779" s="71">
        <v>45657.0</v>
      </c>
      <c r="F779" s="69">
        <v>6480000.0</v>
      </c>
      <c r="G779" s="69">
        <v>6000000.0</v>
      </c>
      <c r="H779" s="69">
        <v>6000000.0</v>
      </c>
      <c r="I779" s="69"/>
      <c r="J779" s="70">
        <f t="shared" si="13"/>
        <v>1</v>
      </c>
    </row>
    <row r="780" ht="22.5" customHeight="1" outlineLevel="3">
      <c r="A780" s="66" t="s">
        <v>1780</v>
      </c>
      <c r="B780" s="67" t="s">
        <v>1771</v>
      </c>
      <c r="C780" s="67" t="s">
        <v>1781</v>
      </c>
      <c r="D780" s="71">
        <v>45649.0</v>
      </c>
      <c r="E780" s="71">
        <v>45657.0</v>
      </c>
      <c r="F780" s="69">
        <v>6480000.0</v>
      </c>
      <c r="G780" s="69">
        <v>6000000.0</v>
      </c>
      <c r="H780" s="69">
        <v>6000000.0</v>
      </c>
      <c r="I780" s="69"/>
      <c r="J780" s="70">
        <f t="shared" si="13"/>
        <v>1</v>
      </c>
    </row>
    <row r="781" ht="22.5" customHeight="1" outlineLevel="1">
      <c r="A781" s="63" t="s">
        <v>1769</v>
      </c>
      <c r="F781" s="64"/>
      <c r="G781" s="64"/>
      <c r="H781" s="64"/>
      <c r="I781" s="64"/>
      <c r="J781" s="65"/>
    </row>
    <row r="782" ht="22.5" customHeight="1" outlineLevel="1">
      <c r="A782" s="63" t="s">
        <v>1782</v>
      </c>
      <c r="F782" s="64">
        <f t="shared" ref="F782:I782" si="14">sum(F783:F801)</f>
        <v>3513469000</v>
      </c>
      <c r="G782" s="64">
        <f t="shared" si="14"/>
        <v>996940000</v>
      </c>
      <c r="H782" s="64">
        <f t="shared" si="14"/>
        <v>753308721.2</v>
      </c>
      <c r="I782" s="64">
        <f t="shared" si="14"/>
        <v>1015548100</v>
      </c>
      <c r="J782" s="65"/>
    </row>
    <row r="783" ht="22.5" customHeight="1" outlineLevel="3">
      <c r="A783" s="66" t="s">
        <v>1783</v>
      </c>
      <c r="B783" s="67" t="s">
        <v>1784</v>
      </c>
      <c r="C783" s="67" t="s">
        <v>1785</v>
      </c>
      <c r="D783" s="71">
        <v>45372.0</v>
      </c>
      <c r="E783" s="68"/>
      <c r="F783" s="69">
        <v>8.13E7</v>
      </c>
      <c r="G783" s="69"/>
      <c r="H783" s="69">
        <v>2.3090073684210524E7</v>
      </c>
      <c r="I783" s="69"/>
      <c r="J783" s="70" t="str">
        <f t="shared" ref="J783:J801" si="15">H783/G783</f>
        <v>#DIV/0!</v>
      </c>
    </row>
    <row r="784" ht="22.5" customHeight="1" outlineLevel="3">
      <c r="A784" s="66" t="s">
        <v>1786</v>
      </c>
      <c r="B784" s="67" t="s">
        <v>1787</v>
      </c>
      <c r="C784" s="67" t="s">
        <v>1788</v>
      </c>
      <c r="D784" s="68"/>
      <c r="E784" s="71">
        <v>45420.0</v>
      </c>
      <c r="F784" s="69">
        <v>5.681E7</v>
      </c>
      <c r="G784" s="69">
        <v>5.681E7</v>
      </c>
      <c r="H784" s="69">
        <v>2.2383743111111104E7</v>
      </c>
      <c r="I784" s="69">
        <v>5.681E7</v>
      </c>
      <c r="J784" s="70">
        <f t="shared" si="15"/>
        <v>0.3940106163</v>
      </c>
    </row>
    <row r="785" ht="22.5" customHeight="1" outlineLevel="3">
      <c r="A785" s="66" t="s">
        <v>1789</v>
      </c>
      <c r="B785" s="67" t="s">
        <v>1787</v>
      </c>
      <c r="C785" s="67" t="s">
        <v>1790</v>
      </c>
      <c r="D785" s="68"/>
      <c r="E785" s="71">
        <v>45420.0</v>
      </c>
      <c r="F785" s="69">
        <v>5.681E7</v>
      </c>
      <c r="G785" s="69">
        <v>5.681E7</v>
      </c>
      <c r="H785" s="69"/>
      <c r="I785" s="69">
        <v>5.681E7</v>
      </c>
      <c r="J785" s="70">
        <f t="shared" si="15"/>
        <v>0</v>
      </c>
    </row>
    <row r="786" ht="22.5" customHeight="1" outlineLevel="3">
      <c r="A786" s="66" t="s">
        <v>1791</v>
      </c>
      <c r="B786" s="67" t="s">
        <v>1787</v>
      </c>
      <c r="C786" s="67" t="s">
        <v>1792</v>
      </c>
      <c r="D786" s="68"/>
      <c r="E786" s="71">
        <v>45420.0</v>
      </c>
      <c r="F786" s="69">
        <v>5.681E7</v>
      </c>
      <c r="G786" s="69">
        <v>5.681E7</v>
      </c>
      <c r="H786" s="69"/>
      <c r="I786" s="69">
        <v>5.681E7</v>
      </c>
      <c r="J786" s="70">
        <f t="shared" si="15"/>
        <v>0</v>
      </c>
    </row>
    <row r="787" ht="22.5" customHeight="1" outlineLevel="3">
      <c r="A787" s="66" t="s">
        <v>1793</v>
      </c>
      <c r="B787" s="67" t="s">
        <v>1794</v>
      </c>
      <c r="C787" s="67" t="s">
        <v>1795</v>
      </c>
      <c r="D787" s="68"/>
      <c r="E787" s="71">
        <v>45467.0</v>
      </c>
      <c r="F787" s="69">
        <v>5.2E7</v>
      </c>
      <c r="G787" s="69">
        <v>5.2E7</v>
      </c>
      <c r="H787" s="69">
        <v>2.3899742466666672E7</v>
      </c>
      <c r="I787" s="69">
        <v>5.2E7</v>
      </c>
      <c r="J787" s="70">
        <f t="shared" si="15"/>
        <v>0.4596104321</v>
      </c>
    </row>
    <row r="788" ht="22.5" customHeight="1" outlineLevel="3">
      <c r="A788" s="66" t="s">
        <v>1796</v>
      </c>
      <c r="B788" s="67" t="s">
        <v>1797</v>
      </c>
      <c r="C788" s="67" t="s">
        <v>1798</v>
      </c>
      <c r="D788" s="68"/>
      <c r="E788" s="71">
        <v>45524.0</v>
      </c>
      <c r="F788" s="69">
        <v>1.446E8</v>
      </c>
      <c r="G788" s="69">
        <v>1.446E8</v>
      </c>
      <c r="H788" s="69">
        <v>2.8219291849999994E7</v>
      </c>
      <c r="I788" s="69">
        <v>1.446E8</v>
      </c>
      <c r="J788" s="70">
        <f t="shared" si="15"/>
        <v>0.1951541622</v>
      </c>
    </row>
    <row r="789" ht="22.5" customHeight="1" outlineLevel="3">
      <c r="A789" s="66" t="s">
        <v>1799</v>
      </c>
      <c r="B789" s="67" t="s">
        <v>1800</v>
      </c>
      <c r="C789" s="67" t="s">
        <v>1801</v>
      </c>
      <c r="D789" s="68"/>
      <c r="E789" s="71">
        <v>45474.0</v>
      </c>
      <c r="F789" s="69">
        <v>2.85E7</v>
      </c>
      <c r="G789" s="69">
        <v>2.85E7</v>
      </c>
      <c r="H789" s="69">
        <v>8929298.666666668</v>
      </c>
      <c r="I789" s="69">
        <v>2.85E7</v>
      </c>
      <c r="J789" s="70">
        <f t="shared" si="15"/>
        <v>0.3133087251</v>
      </c>
    </row>
    <row r="790" ht="22.5" customHeight="1" outlineLevel="3">
      <c r="A790" s="66" t="s">
        <v>1802</v>
      </c>
      <c r="B790" s="67" t="s">
        <v>1803</v>
      </c>
      <c r="C790" s="67" t="s">
        <v>1804</v>
      </c>
      <c r="D790" s="71">
        <v>45467.0</v>
      </c>
      <c r="E790" s="71">
        <v>45475.0</v>
      </c>
      <c r="F790" s="69">
        <v>5.2981E8</v>
      </c>
      <c r="G790" s="69">
        <v>5.2981E8</v>
      </c>
      <c r="H790" s="69">
        <v>6.729E7</v>
      </c>
      <c r="I790" s="69">
        <v>2.860974E8</v>
      </c>
      <c r="J790" s="70">
        <f t="shared" si="15"/>
        <v>0.1270077952</v>
      </c>
    </row>
    <row r="791" ht="22.5" customHeight="1" outlineLevel="3">
      <c r="A791" s="66" t="s">
        <v>1805</v>
      </c>
      <c r="B791" s="67" t="s">
        <v>1806</v>
      </c>
      <c r="C791" s="67" t="s">
        <v>1807</v>
      </c>
      <c r="D791" s="68"/>
      <c r="E791" s="68"/>
      <c r="F791" s="69">
        <v>8.118000000000001E8</v>
      </c>
      <c r="G791" s="69"/>
      <c r="H791" s="69">
        <v>2.04E8</v>
      </c>
      <c r="I791" s="69"/>
      <c r="J791" s="70" t="str">
        <f t="shared" si="15"/>
        <v>#DIV/0!</v>
      </c>
    </row>
    <row r="792" ht="22.5" customHeight="1" outlineLevel="3">
      <c r="A792" s="66" t="s">
        <v>1808</v>
      </c>
      <c r="B792" s="67" t="s">
        <v>1809</v>
      </c>
      <c r="C792" s="67" t="s">
        <v>1810</v>
      </c>
      <c r="D792" s="68"/>
      <c r="E792" s="71">
        <v>45628.0</v>
      </c>
      <c r="F792" s="69">
        <v>4.16E7</v>
      </c>
      <c r="G792" s="69">
        <v>4.16E7</v>
      </c>
      <c r="H792" s="69">
        <v>1.8733333333333332E7</v>
      </c>
      <c r="I792" s="69"/>
      <c r="J792" s="70">
        <f t="shared" si="15"/>
        <v>0.4503205128</v>
      </c>
    </row>
    <row r="793" ht="22.5" customHeight="1" outlineLevel="3">
      <c r="A793" s="66" t="s">
        <v>1811</v>
      </c>
      <c r="B793" s="67" t="s">
        <v>1812</v>
      </c>
      <c r="C793" s="67" t="s">
        <v>1813</v>
      </c>
      <c r="D793" s="68"/>
      <c r="E793" s="68"/>
      <c r="F793" s="69">
        <v>7.524E7</v>
      </c>
      <c r="G793" s="69"/>
      <c r="H793" s="69">
        <v>2.2065345E7</v>
      </c>
      <c r="I793" s="69">
        <v>3.762E7</v>
      </c>
      <c r="J793" s="70" t="str">
        <f t="shared" si="15"/>
        <v>#DIV/0!</v>
      </c>
    </row>
    <row r="794" ht="22.5" customHeight="1" outlineLevel="3">
      <c r="A794" s="66" t="s">
        <v>1814</v>
      </c>
      <c r="B794" s="67" t="s">
        <v>1815</v>
      </c>
      <c r="C794" s="67" t="s">
        <v>1798</v>
      </c>
      <c r="D794" s="68"/>
      <c r="E794" s="71">
        <v>45657.0</v>
      </c>
      <c r="F794" s="69">
        <v>3.0E7</v>
      </c>
      <c r="G794" s="69">
        <v>3.0E7</v>
      </c>
      <c r="H794" s="69">
        <v>8861161.850000001</v>
      </c>
      <c r="I794" s="69">
        <v>1.5E7</v>
      </c>
      <c r="J794" s="70">
        <f t="shared" si="15"/>
        <v>0.2953720617</v>
      </c>
    </row>
    <row r="795" ht="22.5" customHeight="1" outlineLevel="3">
      <c r="A795" s="66" t="s">
        <v>1816</v>
      </c>
      <c r="B795" s="67" t="s">
        <v>1817</v>
      </c>
      <c r="C795" s="67" t="s">
        <v>1818</v>
      </c>
      <c r="D795" s="71">
        <v>45545.0</v>
      </c>
      <c r="E795" s="68"/>
      <c r="F795" s="69">
        <v>1.3525E8</v>
      </c>
      <c r="G795" s="69"/>
      <c r="H795" s="69">
        <v>4200920.0</v>
      </c>
      <c r="I795" s="69"/>
      <c r="J795" s="70" t="str">
        <f t="shared" si="15"/>
        <v>#DIV/0!</v>
      </c>
    </row>
    <row r="796" ht="22.5" customHeight="1" outlineLevel="3">
      <c r="A796" s="66" t="s">
        <v>1819</v>
      </c>
      <c r="B796" s="67" t="s">
        <v>1820</v>
      </c>
      <c r="C796" s="67" t="s">
        <v>1821</v>
      </c>
      <c r="D796" s="71">
        <v>45560.0</v>
      </c>
      <c r="E796" s="68"/>
      <c r="F796" s="69">
        <v>7.2E7</v>
      </c>
      <c r="G796" s="69"/>
      <c r="H796" s="69">
        <v>3.5103803333333336E7</v>
      </c>
      <c r="I796" s="69"/>
      <c r="J796" s="70" t="str">
        <f t="shared" si="15"/>
        <v>#DIV/0!</v>
      </c>
    </row>
    <row r="797" ht="22.5" customHeight="1" outlineLevel="3">
      <c r="A797" s="66" t="s">
        <v>1822</v>
      </c>
      <c r="B797" s="67" t="s">
        <v>1784</v>
      </c>
      <c r="C797" s="67" t="s">
        <v>1823</v>
      </c>
      <c r="D797" s="71">
        <v>45572.0</v>
      </c>
      <c r="E797" s="68"/>
      <c r="F797" s="69">
        <v>6.26E7</v>
      </c>
      <c r="G797" s="69"/>
      <c r="H797" s="69">
        <v>1.6890073684210524E7</v>
      </c>
      <c r="I797" s="69"/>
      <c r="J797" s="70" t="str">
        <f t="shared" si="15"/>
        <v>#DIV/0!</v>
      </c>
    </row>
    <row r="798" ht="22.5" customHeight="1" outlineLevel="3">
      <c r="A798" s="66" t="s">
        <v>1824</v>
      </c>
      <c r="B798" s="67" t="s">
        <v>1825</v>
      </c>
      <c r="C798" s="67" t="s">
        <v>1826</v>
      </c>
      <c r="D798" s="71">
        <v>45586.0</v>
      </c>
      <c r="E798" s="68"/>
      <c r="F798" s="69">
        <v>6.19609E8</v>
      </c>
      <c r="G798" s="69"/>
      <c r="H798" s="69">
        <v>1.2498453947368419E8</v>
      </c>
      <c r="I798" s="69">
        <v>1.858827E8</v>
      </c>
      <c r="J798" s="70" t="str">
        <f t="shared" si="15"/>
        <v>#DIV/0!</v>
      </c>
    </row>
    <row r="799" ht="22.5" customHeight="1" outlineLevel="3">
      <c r="A799" s="66" t="s">
        <v>1827</v>
      </c>
      <c r="B799" s="67" t="s">
        <v>1825</v>
      </c>
      <c r="C799" s="67" t="s">
        <v>1826</v>
      </c>
      <c r="D799" s="71">
        <v>45596.0</v>
      </c>
      <c r="E799" s="68"/>
      <c r="F799" s="69">
        <v>2.2306E8</v>
      </c>
      <c r="G799" s="69"/>
      <c r="H799" s="69">
        <v>3.2495602631578952E7</v>
      </c>
      <c r="I799" s="69">
        <v>6.6918E7</v>
      </c>
      <c r="J799" s="70" t="str">
        <f t="shared" si="15"/>
        <v>#DIV/0!</v>
      </c>
    </row>
    <row r="800" ht="22.5" customHeight="1" outlineLevel="3">
      <c r="A800" s="66" t="s">
        <v>1828</v>
      </c>
      <c r="B800" s="67" t="s">
        <v>1784</v>
      </c>
      <c r="C800" s="67" t="s">
        <v>1829</v>
      </c>
      <c r="D800" s="71">
        <v>45631.0</v>
      </c>
      <c r="E800" s="68"/>
      <c r="F800" s="69">
        <v>9.5E7</v>
      </c>
      <c r="G800" s="69"/>
      <c r="H800" s="69">
        <v>4.475535E7</v>
      </c>
      <c r="I800" s="69">
        <v>2.85E7</v>
      </c>
      <c r="J800" s="70" t="str">
        <f t="shared" si="15"/>
        <v>#DIV/0!</v>
      </c>
    </row>
    <row r="801" ht="22.5" customHeight="1" outlineLevel="3">
      <c r="A801" s="66" t="s">
        <v>1830</v>
      </c>
      <c r="B801" s="67" t="s">
        <v>1825</v>
      </c>
      <c r="C801" s="67" t="s">
        <v>1831</v>
      </c>
      <c r="D801" s="71">
        <v>45635.0</v>
      </c>
      <c r="E801" s="68"/>
      <c r="F801" s="69">
        <v>3.4067E8</v>
      </c>
      <c r="G801" s="69"/>
      <c r="H801" s="69">
        <v>6.740644210526317E7</v>
      </c>
      <c r="I801" s="69"/>
      <c r="J801" s="70" t="str">
        <f t="shared" si="15"/>
        <v>#DIV/0!</v>
      </c>
    </row>
    <row r="802" ht="22.5" customHeight="1" outlineLevel="1">
      <c r="A802" s="63" t="s">
        <v>1832</v>
      </c>
      <c r="F802" s="64">
        <f t="shared" ref="F802:I802" si="16">sum(F803:F829)</f>
        <v>21445467806</v>
      </c>
      <c r="G802" s="64">
        <f t="shared" si="16"/>
        <v>4780282986</v>
      </c>
      <c r="H802" s="64">
        <f t="shared" si="16"/>
        <v>7222457371</v>
      </c>
      <c r="I802" s="64">
        <f t="shared" si="16"/>
        <v>5008349319</v>
      </c>
      <c r="J802" s="65"/>
    </row>
    <row r="803" ht="22.5" customHeight="1" outlineLevel="3">
      <c r="A803" s="66" t="s">
        <v>1833</v>
      </c>
      <c r="B803" s="67" t="s">
        <v>1832</v>
      </c>
      <c r="C803" s="67" t="s">
        <v>1834</v>
      </c>
      <c r="D803" s="71">
        <v>45341.0</v>
      </c>
      <c r="E803" s="71">
        <v>45656.0</v>
      </c>
      <c r="F803" s="69">
        <v>2.035168E9</v>
      </c>
      <c r="G803" s="69">
        <v>9.667048E7</v>
      </c>
      <c r="H803" s="69">
        <v>5.84548158E8</v>
      </c>
      <c r="I803" s="69">
        <v>1.04404118E8</v>
      </c>
      <c r="J803" s="70">
        <f t="shared" ref="J803:J829" si="17">H803/G803</f>
        <v>6.046811374</v>
      </c>
    </row>
    <row r="804" ht="22.5" customHeight="1" outlineLevel="3">
      <c r="A804" s="66" t="s">
        <v>1833</v>
      </c>
      <c r="B804" s="67" t="s">
        <v>1832</v>
      </c>
      <c r="C804" s="67" t="s">
        <v>1835</v>
      </c>
      <c r="D804" s="71">
        <v>45341.0</v>
      </c>
      <c r="E804" s="71">
        <v>45357.0</v>
      </c>
      <c r="F804" s="69">
        <v>1.7590272E9</v>
      </c>
      <c r="G804" s="69">
        <v>1.6333824E8</v>
      </c>
      <c r="H804" s="69">
        <v>5.0513861E8</v>
      </c>
      <c r="I804" s="69">
        <v>1.76405299E8</v>
      </c>
      <c r="J804" s="70">
        <f t="shared" si="17"/>
        <v>3.092592463</v>
      </c>
    </row>
    <row r="805" ht="22.5" customHeight="1" outlineLevel="3">
      <c r="A805" s="66" t="s">
        <v>1833</v>
      </c>
      <c r="B805" s="67" t="s">
        <v>1832</v>
      </c>
      <c r="C805" s="67" t="s">
        <v>1836</v>
      </c>
      <c r="D805" s="71">
        <v>45341.0</v>
      </c>
      <c r="E805" s="71">
        <v>45357.0</v>
      </c>
      <c r="F805" s="69">
        <v>5.095744E9</v>
      </c>
      <c r="G805" s="69">
        <v>1.45228704E9</v>
      </c>
      <c r="H805" s="69">
        <v>1.46359719E9</v>
      </c>
      <c r="I805" s="69">
        <v>1.568470003E9</v>
      </c>
      <c r="J805" s="70">
        <f t="shared" si="17"/>
        <v>1.00778782</v>
      </c>
    </row>
    <row r="806" ht="22.5" customHeight="1" outlineLevel="3">
      <c r="A806" s="66" t="s">
        <v>1837</v>
      </c>
      <c r="B806" s="67" t="s">
        <v>1832</v>
      </c>
      <c r="C806" s="67" t="s">
        <v>349</v>
      </c>
      <c r="D806" s="71">
        <v>45363.0</v>
      </c>
      <c r="E806" s="71">
        <v>45548.0</v>
      </c>
      <c r="F806" s="69">
        <v>2.7E8</v>
      </c>
      <c r="G806" s="69">
        <v>2.5E8</v>
      </c>
      <c r="H806" s="69">
        <v>1.71875E8</v>
      </c>
      <c r="I806" s="69">
        <v>2.7E8</v>
      </c>
      <c r="J806" s="70">
        <f t="shared" si="17"/>
        <v>0.6875</v>
      </c>
    </row>
    <row r="807" ht="22.5" customHeight="1" outlineLevel="3">
      <c r="A807" s="66" t="s">
        <v>1838</v>
      </c>
      <c r="B807" s="67" t="s">
        <v>500</v>
      </c>
      <c r="C807" s="67" t="s">
        <v>1839</v>
      </c>
      <c r="D807" s="71">
        <v>45384.0</v>
      </c>
      <c r="E807" s="68"/>
      <c r="F807" s="69">
        <v>8.998821E8</v>
      </c>
      <c r="G807" s="69"/>
      <c r="H807" s="69">
        <v>2.726316145833334E8</v>
      </c>
      <c r="I807" s="69">
        <v>1.34982315E8</v>
      </c>
      <c r="J807" s="70" t="str">
        <f t="shared" si="17"/>
        <v>#DIV/0!</v>
      </c>
    </row>
    <row r="808" ht="22.5" customHeight="1" outlineLevel="3">
      <c r="A808" s="66" t="s">
        <v>1840</v>
      </c>
      <c r="B808" s="67" t="s">
        <v>1841</v>
      </c>
      <c r="C808" s="67" t="s">
        <v>1842</v>
      </c>
      <c r="D808" s="71">
        <v>45397.0</v>
      </c>
      <c r="E808" s="68"/>
      <c r="F808" s="69">
        <v>5.0E7</v>
      </c>
      <c r="G808" s="69"/>
      <c r="H808" s="69">
        <v>4.45E7</v>
      </c>
      <c r="I808" s="69">
        <v>2.5E7</v>
      </c>
      <c r="J808" s="70" t="str">
        <f t="shared" si="17"/>
        <v>#DIV/0!</v>
      </c>
    </row>
    <row r="809" ht="22.5" customHeight="1" outlineLevel="3">
      <c r="A809" s="66" t="s">
        <v>1843</v>
      </c>
      <c r="B809" s="67" t="s">
        <v>500</v>
      </c>
      <c r="C809" s="67" t="s">
        <v>1844</v>
      </c>
      <c r="D809" s="71">
        <v>45366.0</v>
      </c>
      <c r="E809" s="71">
        <v>45392.0</v>
      </c>
      <c r="F809" s="69">
        <v>5.0E7</v>
      </c>
      <c r="G809" s="69">
        <v>5.0E7</v>
      </c>
      <c r="H809" s="69">
        <v>4.45E7</v>
      </c>
      <c r="I809" s="69">
        <v>5.0E7</v>
      </c>
      <c r="J809" s="70">
        <f t="shared" si="17"/>
        <v>0.89</v>
      </c>
    </row>
    <row r="810" ht="22.5" customHeight="1" outlineLevel="3">
      <c r="A810" s="66" t="s">
        <v>1845</v>
      </c>
      <c r="B810" s="67" t="s">
        <v>500</v>
      </c>
      <c r="C810" s="67" t="s">
        <v>1846</v>
      </c>
      <c r="D810" s="71">
        <v>45399.0</v>
      </c>
      <c r="E810" s="71">
        <v>45477.0</v>
      </c>
      <c r="F810" s="69">
        <v>9.7243E7</v>
      </c>
      <c r="G810" s="69">
        <v>9.7243E7</v>
      </c>
      <c r="H810" s="69">
        <v>3.954627E7</v>
      </c>
      <c r="I810" s="69">
        <v>9.7243E7</v>
      </c>
      <c r="J810" s="70">
        <f t="shared" si="17"/>
        <v>0.4066747221</v>
      </c>
    </row>
    <row r="811" ht="22.5" customHeight="1" outlineLevel="3">
      <c r="A811" s="66" t="s">
        <v>1847</v>
      </c>
      <c r="B811" s="67" t="s">
        <v>500</v>
      </c>
      <c r="C811" s="67" t="s">
        <v>1848</v>
      </c>
      <c r="D811" s="71">
        <v>45419.0</v>
      </c>
      <c r="E811" s="71">
        <v>45425.0</v>
      </c>
      <c r="F811" s="69">
        <v>2.86E7</v>
      </c>
      <c r="G811" s="69">
        <v>2.86E7</v>
      </c>
      <c r="H811" s="69">
        <v>1.6319E7</v>
      </c>
      <c r="I811" s="69">
        <v>2.86E7</v>
      </c>
      <c r="J811" s="70">
        <f t="shared" si="17"/>
        <v>0.5705944056</v>
      </c>
    </row>
    <row r="812" ht="22.5" customHeight="1" outlineLevel="3">
      <c r="A812" s="66" t="s">
        <v>1849</v>
      </c>
      <c r="B812" s="67" t="s">
        <v>500</v>
      </c>
      <c r="C812" s="67" t="s">
        <v>1848</v>
      </c>
      <c r="D812" s="71">
        <v>45427.0</v>
      </c>
      <c r="E812" s="71">
        <v>45432.0</v>
      </c>
      <c r="F812" s="69">
        <v>1.76E7</v>
      </c>
      <c r="G812" s="69">
        <v>1.76E7</v>
      </c>
      <c r="H812" s="69">
        <v>1.0979E7</v>
      </c>
      <c r="I812" s="69">
        <v>1.76E7</v>
      </c>
      <c r="J812" s="70">
        <f t="shared" si="17"/>
        <v>0.6238068182</v>
      </c>
    </row>
    <row r="813" ht="22.5" customHeight="1" outlineLevel="3">
      <c r="A813" s="66" t="s">
        <v>1850</v>
      </c>
      <c r="B813" s="67" t="s">
        <v>1832</v>
      </c>
      <c r="C813" s="67" t="s">
        <v>1851</v>
      </c>
      <c r="D813" s="68"/>
      <c r="E813" s="68"/>
      <c r="F813" s="69">
        <v>3.44E8</v>
      </c>
      <c r="G813" s="69"/>
      <c r="H813" s="69">
        <v>2.1898148148148146E8</v>
      </c>
      <c r="I813" s="69"/>
      <c r="J813" s="70" t="str">
        <f t="shared" si="17"/>
        <v>#DIV/0!</v>
      </c>
    </row>
    <row r="814" ht="22.5" customHeight="1" outlineLevel="3">
      <c r="A814" s="66" t="s">
        <v>1852</v>
      </c>
      <c r="B814" s="67" t="s">
        <v>1853</v>
      </c>
      <c r="C814" s="67" t="s">
        <v>1854</v>
      </c>
      <c r="D814" s="71">
        <v>45432.0</v>
      </c>
      <c r="E814" s="71">
        <v>45657.0</v>
      </c>
      <c r="F814" s="69">
        <v>2.0406E8</v>
      </c>
      <c r="G814" s="69">
        <v>1.75925926E8</v>
      </c>
      <c r="H814" s="69">
        <v>1.1259259259259257E8</v>
      </c>
      <c r="I814" s="69">
        <v>1.9E8</v>
      </c>
      <c r="J814" s="70">
        <f t="shared" si="17"/>
        <v>0.6399999997</v>
      </c>
    </row>
    <row r="815" ht="22.5" customHeight="1" outlineLevel="3">
      <c r="A815" s="66" t="s">
        <v>1855</v>
      </c>
      <c r="B815" s="67" t="s">
        <v>1856</v>
      </c>
      <c r="C815" s="67" t="s">
        <v>1857</v>
      </c>
      <c r="D815" s="71">
        <v>45441.0</v>
      </c>
      <c r="E815" s="71">
        <v>45449.0</v>
      </c>
      <c r="F815" s="69">
        <v>1.2E7</v>
      </c>
      <c r="G815" s="69">
        <v>1.0909091E7</v>
      </c>
      <c r="H815" s="69">
        <v>1.068E7</v>
      </c>
      <c r="I815" s="69">
        <v>1.2E7</v>
      </c>
      <c r="J815" s="70">
        <f t="shared" si="17"/>
        <v>0.9789999918</v>
      </c>
    </row>
    <row r="816" ht="22.5" customHeight="1" outlineLevel="3">
      <c r="A816" s="66" t="s">
        <v>1858</v>
      </c>
      <c r="B816" s="67" t="s">
        <v>1832</v>
      </c>
      <c r="C816" s="67" t="s">
        <v>1859</v>
      </c>
      <c r="D816" s="71">
        <v>45484.0</v>
      </c>
      <c r="E816" s="71">
        <v>45551.0</v>
      </c>
      <c r="F816" s="69">
        <v>7.02E7</v>
      </c>
      <c r="G816" s="69">
        <v>6.5E7</v>
      </c>
      <c r="H816" s="69">
        <v>5.785E7</v>
      </c>
      <c r="I816" s="69">
        <v>7.02E7</v>
      </c>
      <c r="J816" s="70">
        <f t="shared" si="17"/>
        <v>0.89</v>
      </c>
    </row>
    <row r="817" ht="22.5" customHeight="1" outlineLevel="3">
      <c r="A817" s="66" t="s">
        <v>1860</v>
      </c>
      <c r="B817" s="67" t="s">
        <v>1832</v>
      </c>
      <c r="C817" s="67" t="s">
        <v>1861</v>
      </c>
      <c r="D817" s="71">
        <v>45478.0</v>
      </c>
      <c r="E817" s="71">
        <v>45657.0</v>
      </c>
      <c r="F817" s="69">
        <v>4.88132509E8</v>
      </c>
      <c r="G817" s="69">
        <v>3.84178363E8</v>
      </c>
      <c r="H817" s="69">
        <v>2.2854244081818178E8</v>
      </c>
      <c r="I817" s="69">
        <v>1.45E8</v>
      </c>
      <c r="J817" s="70">
        <f t="shared" si="17"/>
        <v>0.5948862894</v>
      </c>
    </row>
    <row r="818" ht="22.5" customHeight="1" outlineLevel="3">
      <c r="A818" s="66" t="s">
        <v>1862</v>
      </c>
      <c r="B818" s="67" t="s">
        <v>1832</v>
      </c>
      <c r="C818" s="67" t="s">
        <v>1863</v>
      </c>
      <c r="D818" s="71">
        <v>45502.0</v>
      </c>
      <c r="E818" s="71">
        <v>45657.0</v>
      </c>
      <c r="F818" s="69">
        <v>4.059474545454545E8</v>
      </c>
      <c r="G818" s="69">
        <v>3.19495682E8</v>
      </c>
      <c r="H818" s="69">
        <v>2.0767219318181816E8</v>
      </c>
      <c r="I818" s="69">
        <v>1.24E8</v>
      </c>
      <c r="J818" s="70">
        <f t="shared" si="17"/>
        <v>0.6499999996</v>
      </c>
    </row>
    <row r="819" ht="22.5" customHeight="1" outlineLevel="3">
      <c r="A819" s="66" t="s">
        <v>1864</v>
      </c>
      <c r="B819" s="67" t="s">
        <v>1865</v>
      </c>
      <c r="C819" s="67" t="s">
        <v>1866</v>
      </c>
      <c r="D819" s="71">
        <v>45544.0</v>
      </c>
      <c r="E819" s="71">
        <v>45657.0</v>
      </c>
      <c r="F819" s="69">
        <v>6.15E8</v>
      </c>
      <c r="G819" s="69">
        <v>1.3E8</v>
      </c>
      <c r="H819" s="69">
        <v>2.0745E8</v>
      </c>
      <c r="I819" s="69">
        <v>0.0</v>
      </c>
      <c r="J819" s="70">
        <f t="shared" si="17"/>
        <v>1.595769231</v>
      </c>
    </row>
    <row r="820" ht="22.5" customHeight="1" outlineLevel="3">
      <c r="A820" s="66" t="s">
        <v>1867</v>
      </c>
      <c r="B820" s="67" t="s">
        <v>1832</v>
      </c>
      <c r="C820" s="67" t="s">
        <v>1868</v>
      </c>
      <c r="D820" s="68"/>
      <c r="E820" s="68"/>
      <c r="F820" s="69">
        <v>4.560272E8</v>
      </c>
      <c r="G820" s="69"/>
      <c r="H820" s="69">
        <v>2.702383407407407E8</v>
      </c>
      <c r="I820" s="69">
        <v>1.3680816E8</v>
      </c>
      <c r="J820" s="70" t="str">
        <f t="shared" si="17"/>
        <v>#DIV/0!</v>
      </c>
    </row>
    <row r="821" ht="22.5" customHeight="1" outlineLevel="3">
      <c r="A821" s="66" t="s">
        <v>1869</v>
      </c>
      <c r="B821" s="67" t="s">
        <v>1832</v>
      </c>
      <c r="C821" s="67" t="s">
        <v>1870</v>
      </c>
      <c r="D821" s="71">
        <v>45544.0</v>
      </c>
      <c r="E821" s="68"/>
      <c r="F821" s="69">
        <v>2.8485E8</v>
      </c>
      <c r="G821" s="69"/>
      <c r="H821" s="69">
        <v>5.28875E7</v>
      </c>
      <c r="I821" s="69">
        <v>1.42425E8</v>
      </c>
      <c r="J821" s="70" t="str">
        <f t="shared" si="17"/>
        <v>#DIV/0!</v>
      </c>
    </row>
    <row r="822" ht="22.5" customHeight="1" outlineLevel="3">
      <c r="A822" s="66" t="s">
        <v>1871</v>
      </c>
      <c r="B822" s="67" t="s">
        <v>1832</v>
      </c>
      <c r="C822" s="67" t="s">
        <v>1872</v>
      </c>
      <c r="D822" s="71">
        <v>45546.0</v>
      </c>
      <c r="E822" s="71">
        <v>45553.0</v>
      </c>
      <c r="F822" s="69">
        <v>3.132E9</v>
      </c>
      <c r="G822" s="69">
        <v>5.8E8</v>
      </c>
      <c r="H822" s="69">
        <v>1.06386E9</v>
      </c>
      <c r="I822" s="69">
        <v>6.264E8</v>
      </c>
      <c r="J822" s="70">
        <f t="shared" si="17"/>
        <v>1.834241379</v>
      </c>
    </row>
    <row r="823" ht="22.5" customHeight="1" outlineLevel="3">
      <c r="A823" s="66" t="s">
        <v>1873</v>
      </c>
      <c r="B823" s="67" t="s">
        <v>1832</v>
      </c>
      <c r="C823" s="67" t="s">
        <v>1874</v>
      </c>
      <c r="D823" s="71">
        <v>45546.0</v>
      </c>
      <c r="E823" s="71">
        <v>45553.0</v>
      </c>
      <c r="F823" s="69">
        <v>4.2660000000000005E9</v>
      </c>
      <c r="G823" s="69">
        <v>7.9E8</v>
      </c>
      <c r="H823" s="69">
        <v>1.39828E9</v>
      </c>
      <c r="I823" s="69">
        <v>8.532E8</v>
      </c>
      <c r="J823" s="70">
        <f t="shared" si="17"/>
        <v>1.769974684</v>
      </c>
    </row>
    <row r="824" ht="22.5" customHeight="1" outlineLevel="3">
      <c r="A824" s="66" t="s">
        <v>1875</v>
      </c>
      <c r="B824" s="67" t="s">
        <v>500</v>
      </c>
      <c r="C824" s="67" t="s">
        <v>1876</v>
      </c>
      <c r="D824" s="71">
        <v>45523.0</v>
      </c>
      <c r="E824" s="71">
        <v>45553.0</v>
      </c>
      <c r="F824" s="69">
        <v>2.7E7</v>
      </c>
      <c r="G824" s="69">
        <v>2.5E7</v>
      </c>
      <c r="H824" s="69">
        <v>0.0</v>
      </c>
      <c r="I824" s="69">
        <v>2.7E7</v>
      </c>
      <c r="J824" s="70">
        <f t="shared" si="17"/>
        <v>0</v>
      </c>
    </row>
    <row r="825" ht="22.5" customHeight="1" outlineLevel="3">
      <c r="A825" s="66" t="s">
        <v>1877</v>
      </c>
      <c r="B825" s="67" t="s">
        <v>1832</v>
      </c>
      <c r="C825" s="67" t="s">
        <v>1878</v>
      </c>
      <c r="D825" s="71">
        <v>45597.0</v>
      </c>
      <c r="E825" s="68"/>
      <c r="F825" s="69">
        <v>4.806E8</v>
      </c>
      <c r="G825" s="69"/>
      <c r="H825" s="69">
        <v>1.068825E8</v>
      </c>
      <c r="I825" s="69">
        <v>1.335E8</v>
      </c>
      <c r="J825" s="70" t="str">
        <f t="shared" si="17"/>
        <v>#DIV/0!</v>
      </c>
    </row>
    <row r="826" ht="22.5" customHeight="1" outlineLevel="3">
      <c r="A826" s="66" t="s">
        <v>1879</v>
      </c>
      <c r="B826" s="67" t="s">
        <v>1832</v>
      </c>
      <c r="C826" s="67" t="s">
        <v>1880</v>
      </c>
      <c r="D826" s="71">
        <v>45575.0</v>
      </c>
      <c r="E826" s="71">
        <v>45657.0</v>
      </c>
      <c r="F826" s="69">
        <v>1.6127856E8</v>
      </c>
      <c r="G826" s="69">
        <v>1.343988E8</v>
      </c>
      <c r="H826" s="69">
        <v>1.3290548E8</v>
      </c>
      <c r="I826" s="69">
        <v>6.4511424E7</v>
      </c>
      <c r="J826" s="70">
        <f t="shared" si="17"/>
        <v>0.9888888889</v>
      </c>
    </row>
    <row r="827" ht="22.5" customHeight="1" outlineLevel="3">
      <c r="A827" s="66" t="s">
        <v>1881</v>
      </c>
      <c r="B827" s="67" t="s">
        <v>1832</v>
      </c>
      <c r="C827" s="67" t="s">
        <v>1882</v>
      </c>
      <c r="D827" s="71">
        <v>45636.0</v>
      </c>
      <c r="E827" s="68"/>
      <c r="F827" s="69">
        <v>1.52507782E8</v>
      </c>
      <c r="G827" s="69"/>
      <c r="H827" s="69"/>
      <c r="I827" s="69"/>
      <c r="J827" s="70" t="str">
        <f t="shared" si="17"/>
        <v>#DIV/0!</v>
      </c>
    </row>
    <row r="828" ht="22.5" customHeight="1" outlineLevel="3">
      <c r="A828" s="66" t="s">
        <v>1883</v>
      </c>
      <c r="B828" s="67" t="s">
        <v>1884</v>
      </c>
      <c r="C828" s="67" t="s">
        <v>1885</v>
      </c>
      <c r="D828" s="68"/>
      <c r="E828" s="68"/>
      <c r="F828" s="69">
        <v>3.2E7</v>
      </c>
      <c r="G828" s="69"/>
      <c r="H828" s="69"/>
      <c r="I828" s="69"/>
      <c r="J828" s="70" t="str">
        <f t="shared" si="17"/>
        <v>#DIV/0!</v>
      </c>
    </row>
    <row r="829" ht="22.5" customHeight="1" outlineLevel="3">
      <c r="A829" s="66" t="s">
        <v>1886</v>
      </c>
      <c r="B829" s="67" t="s">
        <v>500</v>
      </c>
      <c r="C829" s="67" t="s">
        <v>1887</v>
      </c>
      <c r="D829" s="71">
        <v>45651.0</v>
      </c>
      <c r="E829" s="71">
        <v>45657.0</v>
      </c>
      <c r="F829" s="69">
        <v>1.06E7</v>
      </c>
      <c r="G829" s="69">
        <v>9636364.0</v>
      </c>
      <c r="H829" s="69"/>
      <c r="I829" s="69">
        <v>1.06E7</v>
      </c>
      <c r="J829" s="70">
        <f t="shared" si="17"/>
        <v>0</v>
      </c>
    </row>
    <row r="830" ht="22.5" customHeight="1" outlineLevel="1">
      <c r="A830" s="63" t="s">
        <v>1888</v>
      </c>
      <c r="F830" s="64"/>
      <c r="G830" s="64"/>
      <c r="H830" s="64"/>
      <c r="I830" s="64"/>
      <c r="J830" s="65"/>
    </row>
    <row r="831" ht="22.5" customHeight="1" outlineLevel="1">
      <c r="A831" s="67"/>
      <c r="B831" s="67"/>
      <c r="C831" s="67"/>
      <c r="D831" s="68"/>
      <c r="E831" s="68"/>
      <c r="F831" s="69"/>
      <c r="G831" s="69"/>
      <c r="H831" s="69"/>
      <c r="I831" s="69"/>
      <c r="J831" s="70"/>
    </row>
  </sheetData>
  <mergeCells count="16">
    <mergeCell ref="A1:A3"/>
    <mergeCell ref="B1:B3"/>
    <mergeCell ref="C1:C3"/>
    <mergeCell ref="D1:D3"/>
    <mergeCell ref="E1:E3"/>
    <mergeCell ref="J1:J3"/>
    <mergeCell ref="A4:E4"/>
    <mergeCell ref="A802:E802"/>
    <mergeCell ref="A830:E830"/>
    <mergeCell ref="A67:E67"/>
    <mergeCell ref="A106:E106"/>
    <mergeCell ref="A354:E354"/>
    <mergeCell ref="A724:E724"/>
    <mergeCell ref="A766:E766"/>
    <mergeCell ref="A781:E781"/>
    <mergeCell ref="A782:E782"/>
  </mergeCells>
  <hyperlinks>
    <hyperlink r:id="rId1" location="gid=0&amp;range=A10" ref="A5"/>
    <hyperlink r:id="rId2" location="gid=0&amp;range=A11" ref="A6"/>
    <hyperlink r:id="rId3" location="gid=0&amp;range=A14" ref="A7"/>
    <hyperlink r:id="rId4" location="gid=0&amp;range=A15" ref="A8"/>
    <hyperlink r:id="rId5" location="gid=0&amp;range=A16" ref="A9"/>
    <hyperlink r:id="rId6" location="gid=0&amp;range=A17" ref="A10"/>
    <hyperlink r:id="rId7" location="gid=0&amp;range=A19" ref="A11"/>
    <hyperlink r:id="rId8" location="gid=0&amp;range=A20" ref="A12"/>
    <hyperlink r:id="rId9" location="gid=0&amp;range=A21" ref="A13"/>
    <hyperlink r:id="rId10" location="gid=0&amp;range=A22" ref="A14"/>
    <hyperlink r:id="rId11" location="gid=0&amp;range=A27" ref="A15"/>
    <hyperlink r:id="rId12" location="gid=0&amp;range=A28" ref="A16"/>
    <hyperlink r:id="rId13" location="gid=0&amp;range=A29" ref="A17"/>
    <hyperlink r:id="rId14" location="gid=0&amp;range=A30" ref="A18"/>
    <hyperlink r:id="rId15" location="gid=0&amp;range=A32" ref="A19"/>
    <hyperlink r:id="rId16" location="gid=0&amp;range=A33" ref="A20"/>
    <hyperlink r:id="rId17" location="gid=0&amp;range=A34" ref="A21"/>
    <hyperlink r:id="rId18" location="gid=0&amp;range=A37" ref="A22"/>
    <hyperlink r:id="rId19" location="gid=0&amp;range=A38" ref="A23"/>
    <hyperlink r:id="rId20" location="gid=0&amp;range=A39" ref="A24"/>
    <hyperlink r:id="rId21" location="gid=0&amp;range=A41" ref="A25"/>
    <hyperlink r:id="rId22" location="gid=0&amp;range=A42" ref="A26"/>
    <hyperlink r:id="rId23" location="gid=0&amp;range=A43" ref="A27"/>
    <hyperlink r:id="rId24" location="gid=0&amp;range=A44" ref="A28"/>
    <hyperlink r:id="rId25" location="gid=0&amp;range=A46" ref="A29"/>
    <hyperlink r:id="rId26" location="gid=0&amp;range=A47" ref="A30"/>
    <hyperlink r:id="rId27" location="gid=0&amp;range=A48" ref="A31"/>
    <hyperlink r:id="rId28" location="gid=0&amp;range=A49" ref="A32"/>
    <hyperlink r:id="rId29" location="gid=0&amp;range=A50" ref="A33"/>
    <hyperlink r:id="rId30" location="gid=0&amp;range=A53" ref="A34"/>
    <hyperlink r:id="rId31" location="gid=0&amp;range=A54" ref="A35"/>
    <hyperlink r:id="rId32" location="gid=0&amp;range=A56" ref="A36"/>
    <hyperlink r:id="rId33" location="gid=0&amp;range=A57" ref="A37"/>
    <hyperlink r:id="rId34" location="gid=0&amp;range=A58" ref="A38"/>
    <hyperlink r:id="rId35" location="gid=0&amp;range=A59" ref="A39"/>
    <hyperlink r:id="rId36" location="gid=0&amp;range=A60" ref="A40"/>
    <hyperlink r:id="rId37" location="gid=0&amp;range=A61" ref="A41"/>
    <hyperlink r:id="rId38" location="gid=0&amp;range=A62" ref="A42"/>
    <hyperlink r:id="rId39" location="gid=0&amp;range=A63" ref="A43"/>
    <hyperlink r:id="rId40" location="gid=0&amp;range=A64" ref="A44"/>
    <hyperlink r:id="rId41" location="gid=0&amp;range=A66" ref="A45"/>
    <hyperlink r:id="rId42" location="gid=0&amp;range=A67" ref="A46"/>
    <hyperlink r:id="rId43" location="gid=0&amp;range=A68" ref="A47"/>
    <hyperlink r:id="rId44" location="gid=0&amp;range=A69" ref="A48"/>
    <hyperlink r:id="rId45" location="gid=0&amp;range=A70" ref="A49"/>
    <hyperlink r:id="rId46" location="gid=0&amp;range=A72" ref="A50"/>
    <hyperlink r:id="rId47" location="gid=0&amp;range=A73" ref="A51"/>
    <hyperlink r:id="rId48" location="gid=0&amp;range=A74" ref="A52"/>
    <hyperlink r:id="rId49" location="gid=0&amp;range=A75" ref="A53"/>
    <hyperlink r:id="rId50" location="gid=0&amp;range=A76" ref="A54"/>
    <hyperlink r:id="rId51" location="gid=0&amp;range=A77" ref="A55"/>
    <hyperlink r:id="rId52" location="gid=0&amp;range=A78" ref="A56"/>
    <hyperlink r:id="rId53" location="gid=0&amp;range=A79" ref="A57"/>
    <hyperlink r:id="rId54" location="gid=0&amp;range=A80" ref="A58"/>
    <hyperlink r:id="rId55" location="gid=0&amp;range=A81" ref="A59"/>
    <hyperlink r:id="rId56" location="gid=0&amp;range=A82" ref="A60"/>
    <hyperlink r:id="rId57" location="gid=0&amp;range=A84" ref="A61"/>
    <hyperlink r:id="rId58" location="gid=0&amp;range=A85" ref="A62"/>
    <hyperlink r:id="rId59" location="gid=0&amp;range=A87" ref="A63"/>
    <hyperlink r:id="rId60" location="gid=0&amp;range=A88" ref="A64"/>
    <hyperlink r:id="rId61" location="gid=0&amp;range=A89" ref="A65"/>
    <hyperlink r:id="rId62" location="gid=0&amp;range=A90" ref="A66"/>
    <hyperlink r:id="rId63" location="gid=2074483897&amp;range=A11" ref="A68"/>
    <hyperlink r:id="rId64" location="gid=2074483897&amp;range=A12" ref="A69"/>
    <hyperlink r:id="rId65" location="gid=2074483897&amp;range=A15" ref="A70"/>
    <hyperlink r:id="rId66" location="gid=2074483897&amp;range=A16" ref="A71"/>
    <hyperlink r:id="rId67" location="gid=2074483897&amp;range=A18" ref="A72"/>
    <hyperlink r:id="rId68" location="gid=2074483897&amp;range=A19" ref="A73"/>
    <hyperlink r:id="rId69" location="gid=2074483897&amp;range=A20" ref="A74"/>
    <hyperlink r:id="rId70" location="gid=2074483897&amp;range=A21" ref="A75"/>
    <hyperlink r:id="rId71" location="gid=2074483897&amp;range=A23" ref="A76"/>
    <hyperlink r:id="rId72" location="gid=2074483897&amp;range=A24" ref="A77"/>
    <hyperlink r:id="rId73" location="gid=2074483897&amp;range=A25" ref="A78"/>
    <hyperlink r:id="rId74" location="gid=2074483897&amp;range=A26" ref="A79"/>
    <hyperlink r:id="rId75" location="gid=2074483897&amp;range=A28" ref="A80"/>
    <hyperlink r:id="rId76" location="gid=2074483897&amp;range=A29" ref="A81"/>
    <hyperlink r:id="rId77" location="gid=2074483897&amp;range=A30" ref="A82"/>
    <hyperlink r:id="rId78" location="gid=2074483897&amp;range=A31" ref="A83"/>
    <hyperlink r:id="rId79" location="gid=2074483897&amp;range=A32" ref="A84"/>
    <hyperlink r:id="rId80" location="gid=2074483897&amp;range=A34" ref="A85"/>
    <hyperlink r:id="rId81" location="gid=2074483897&amp;range=A35" ref="A86"/>
    <hyperlink r:id="rId82" location="gid=2074483897&amp;range=A36" ref="A87"/>
    <hyperlink r:id="rId83" location="gid=2074483897&amp;range=A37" ref="A88"/>
    <hyperlink r:id="rId84" location="gid=2074483897&amp;range=A38" ref="A89"/>
    <hyperlink r:id="rId85" location="gid=2074483897&amp;range=A39" ref="A90"/>
    <hyperlink r:id="rId86" location="gid=2074483897&amp;range=A40" ref="A91"/>
    <hyperlink r:id="rId87" location="gid=2074483897&amp;range=A42" ref="A92"/>
    <hyperlink r:id="rId88" location="gid=2074483897&amp;range=A43" ref="A93"/>
    <hyperlink r:id="rId89" location="gid=2074483897&amp;range=A44" ref="A94"/>
    <hyperlink r:id="rId90" location="gid=2074483897&amp;range=A45" ref="A95"/>
    <hyperlink r:id="rId91" location="gid=2074483897&amp;range=A46" ref="A96"/>
    <hyperlink r:id="rId92" location="gid=2074483897&amp;range=A48" ref="A97"/>
    <hyperlink r:id="rId93" location="gid=2074483897&amp;range=A50" ref="A98"/>
    <hyperlink r:id="rId94" location="gid=2074483897&amp;range=A51" ref="A99"/>
    <hyperlink r:id="rId95" location="gid=2074483897&amp;range=A52" ref="A100"/>
    <hyperlink r:id="rId96" location="gid=2074483897&amp;range=A53" ref="A101"/>
    <hyperlink r:id="rId97" location="gid=2074483897&amp;range=A54" ref="A102"/>
    <hyperlink r:id="rId98" location="gid=2074483897&amp;range=A56" ref="A103"/>
    <hyperlink r:id="rId99" location="gid=2074483897&amp;range=A59" ref="A104"/>
    <hyperlink r:id="rId100" location="gid=2074483897&amp;range=A60" ref="A105"/>
    <hyperlink r:id="rId101" location="gid=663001998&amp;range=A26" ref="A107"/>
    <hyperlink r:id="rId102" location="gid=663001998&amp;range=A28" ref="A108"/>
    <hyperlink r:id="rId103" location="gid=663001998&amp;range=A29" ref="A109"/>
    <hyperlink r:id="rId104" location="gid=663001998&amp;range=A31" ref="A110"/>
    <hyperlink r:id="rId105" location="gid=663001998&amp;range=A32" ref="A111"/>
    <hyperlink r:id="rId106" location="gid=663001998&amp;range=A34" ref="A112"/>
    <hyperlink r:id="rId107" location="gid=663001998&amp;range=A35" ref="A113"/>
    <hyperlink r:id="rId108" location="gid=663001998&amp;range=A36" ref="A114"/>
    <hyperlink r:id="rId109" location="gid=663001998&amp;range=A38" ref="A115"/>
    <hyperlink r:id="rId110" location="gid=663001998&amp;range=A39" ref="A116"/>
    <hyperlink r:id="rId111" location="gid=663001998&amp;range=A40" ref="A117"/>
    <hyperlink r:id="rId112" location="gid=663001998&amp;range=A41" ref="A118"/>
    <hyperlink r:id="rId113" location="gid=663001998&amp;range=A42" ref="A119"/>
    <hyperlink r:id="rId114" location="gid=663001998&amp;range=A44" ref="A120"/>
    <hyperlink r:id="rId115" location="gid=663001998&amp;range=A45" ref="A121"/>
    <hyperlink r:id="rId116" location="gid=663001998&amp;range=A47" ref="A122"/>
    <hyperlink r:id="rId117" location="gid=663001998&amp;range=A49" ref="A123"/>
    <hyperlink r:id="rId118" location="gid=663001998&amp;range=A50" ref="A124"/>
    <hyperlink r:id="rId119" location="gid=663001998&amp;range=A52" ref="A125"/>
    <hyperlink r:id="rId120" location="gid=663001998&amp;range=A53" ref="A126"/>
    <hyperlink r:id="rId121" location="gid=663001998&amp;range=A55" ref="A127"/>
    <hyperlink r:id="rId122" location="gid=663001998&amp;range=A56" ref="A128"/>
    <hyperlink r:id="rId123" location="gid=663001998&amp;range=A57" ref="A129"/>
    <hyperlink r:id="rId124" location="gid=663001998&amp;range=A59" ref="A130"/>
    <hyperlink r:id="rId125" location="gid=663001998&amp;range=A60" ref="A131"/>
    <hyperlink r:id="rId126" location="gid=663001998&amp;range=A62" ref="A132"/>
    <hyperlink r:id="rId127" location="gid=663001998&amp;range=A63" ref="A133"/>
    <hyperlink r:id="rId128" location="gid=663001998&amp;range=A64" ref="A134"/>
    <hyperlink r:id="rId129" location="gid=663001998&amp;range=A65" ref="A135"/>
    <hyperlink r:id="rId130" location="gid=663001998&amp;range=A66" ref="A136"/>
    <hyperlink r:id="rId131" location="gid=663001998&amp;range=A67" ref="A137"/>
    <hyperlink r:id="rId132" location="gid=663001998&amp;range=A69" ref="A138"/>
    <hyperlink r:id="rId133" location="gid=663001998&amp;range=A70" ref="A139"/>
    <hyperlink r:id="rId134" location="gid=663001998&amp;range=A71" ref="A140"/>
    <hyperlink r:id="rId135" location="gid=663001998&amp;range=A73" ref="A141"/>
    <hyperlink r:id="rId136" location="gid=663001998&amp;range=A74" ref="A142"/>
    <hyperlink r:id="rId137" location="gid=663001998&amp;range=A75" ref="A143"/>
    <hyperlink r:id="rId138" location="gid=663001998&amp;range=A76" ref="A144"/>
    <hyperlink r:id="rId139" location="gid=663001998&amp;range=A77" ref="A145"/>
    <hyperlink r:id="rId140" location="gid=663001998&amp;range=A79" ref="A146"/>
    <hyperlink r:id="rId141" location="gid=663001998&amp;range=A80" ref="A147"/>
    <hyperlink r:id="rId142" location="gid=663001998&amp;range=A81" ref="A148"/>
    <hyperlink r:id="rId143" location="gid=663001998&amp;range=A82" ref="A149"/>
    <hyperlink r:id="rId144" location="gid=663001998&amp;range=A83" ref="A150"/>
    <hyperlink r:id="rId145" location="gid=663001998&amp;range=A84" ref="A151"/>
    <hyperlink r:id="rId146" location="gid=663001998&amp;range=A87" ref="A152"/>
    <hyperlink r:id="rId147" location="gid=663001998&amp;range=A88" ref="A153"/>
    <hyperlink r:id="rId148" location="gid=663001998&amp;range=A90" ref="A154"/>
    <hyperlink r:id="rId149" location="gid=663001998&amp;range=A91" ref="A155"/>
    <hyperlink r:id="rId150" location="gid=663001998&amp;range=A92" ref="A156"/>
    <hyperlink r:id="rId151" location="gid=663001998&amp;range=A93" ref="A157"/>
    <hyperlink r:id="rId152" location="gid=663001998&amp;range=A94" ref="A158"/>
    <hyperlink r:id="rId153" location="gid=663001998&amp;range=A95" ref="A159"/>
    <hyperlink r:id="rId154" location="gid=663001998&amp;range=A96" ref="A160"/>
    <hyperlink r:id="rId155" location="gid=663001998&amp;range=A97" ref="A161"/>
    <hyperlink r:id="rId156" location="gid=663001998&amp;range=A98" ref="A162"/>
    <hyperlink r:id="rId157" location="gid=663001998&amp;range=A99" ref="A163"/>
    <hyperlink r:id="rId158" location="gid=663001998&amp;range=A102" ref="A164"/>
    <hyperlink r:id="rId159" location="gid=663001998&amp;range=A103" ref="A165"/>
    <hyperlink r:id="rId160" location="gid=663001998&amp;range=A105" ref="A166"/>
    <hyperlink r:id="rId161" location="gid=663001998&amp;range=A106" ref="A167"/>
    <hyperlink r:id="rId162" location="gid=663001998&amp;range=A107" ref="A168"/>
    <hyperlink r:id="rId163" location="gid=663001998&amp;range=A108" ref="A169"/>
    <hyperlink r:id="rId164" location="gid=663001998&amp;range=A109" ref="A170"/>
    <hyperlink r:id="rId165" location="gid=663001998&amp;range=A111" ref="A171"/>
    <hyperlink r:id="rId166" location="gid=663001998&amp;range=A112" ref="A172"/>
    <hyperlink r:id="rId167" location="gid=663001998&amp;range=A114" ref="A173"/>
    <hyperlink r:id="rId168" location="gid=663001998&amp;range=A115" ref="A174"/>
    <hyperlink r:id="rId169" location="gid=663001998&amp;range=A116" ref="A175"/>
    <hyperlink r:id="rId170" location="gid=663001998&amp;range=A117" ref="A176"/>
    <hyperlink r:id="rId171" location="gid=663001998&amp;range=A118" ref="A177"/>
    <hyperlink r:id="rId172" location="gid=663001998&amp;range=A120" ref="A178"/>
    <hyperlink r:id="rId173" location="gid=663001998&amp;range=A122" ref="A179"/>
    <hyperlink r:id="rId174" location="gid=663001998&amp;range=A123" ref="A180"/>
    <hyperlink r:id="rId175" location="gid=663001998&amp;range=A124" ref="A181"/>
    <hyperlink r:id="rId176" location="gid=663001998&amp;range=A126" ref="A182"/>
    <hyperlink r:id="rId177" location="gid=663001998&amp;range=A127" ref="A183"/>
    <hyperlink r:id="rId178" location="gid=663001998&amp;range=A129" ref="A184"/>
    <hyperlink r:id="rId179" location="gid=663001998&amp;range=A130" ref="A185"/>
    <hyperlink r:id="rId180" location="gid=663001998&amp;range=A131" ref="A186"/>
    <hyperlink r:id="rId181" location="gid=663001998&amp;range=A133" ref="A187"/>
    <hyperlink r:id="rId182" location="gid=663001998&amp;range=A134" ref="A188"/>
    <hyperlink r:id="rId183" location="gid=663001998&amp;range=A135" ref="A189"/>
    <hyperlink r:id="rId184" location="gid=663001998&amp;range=A137" ref="A190"/>
    <hyperlink r:id="rId185" location="gid=663001998&amp;range=A138" ref="A191"/>
    <hyperlink r:id="rId186" location="gid=663001998&amp;range=A139" ref="A192"/>
    <hyperlink r:id="rId187" location="gid=663001998&amp;range=A140" ref="A193"/>
    <hyperlink r:id="rId188" location="gid=663001998&amp;range=A142" ref="A194"/>
    <hyperlink r:id="rId189" location="gid=663001998&amp;range=A143" ref="A195"/>
    <hyperlink r:id="rId190" location="gid=663001998&amp;range=A144" ref="A196"/>
    <hyperlink r:id="rId191" location="gid=663001998&amp;range=A146" ref="A197"/>
    <hyperlink r:id="rId192" location="gid=663001998&amp;range=A148" ref="A198"/>
    <hyperlink r:id="rId193" location="gid=663001998&amp;range=A149" ref="A199"/>
    <hyperlink r:id="rId194" location="gid=663001998&amp;range=A150" ref="A200"/>
    <hyperlink r:id="rId195" location="gid=663001998&amp;range=A151" ref="A201"/>
    <hyperlink r:id="rId196" location="gid=663001998&amp;range=A152" ref="A202"/>
    <hyperlink r:id="rId197" location="gid=663001998&amp;range=A153" ref="A203"/>
    <hyperlink r:id="rId198" location="gid=663001998&amp;range=A154" ref="A204"/>
    <hyperlink r:id="rId199" location="gid=663001998&amp;range=A156" ref="A205"/>
    <hyperlink r:id="rId200" location="gid=663001998&amp;range=A158" ref="A206"/>
    <hyperlink r:id="rId201" location="gid=663001998&amp;range=A159" ref="A207"/>
    <hyperlink r:id="rId202" location="gid=663001998&amp;range=A160" ref="A208"/>
    <hyperlink r:id="rId203" location="gid=663001998&amp;range=A161" ref="A209"/>
    <hyperlink r:id="rId204" location="gid=663001998&amp;range=A163" ref="A210"/>
    <hyperlink r:id="rId205" location="gid=663001998&amp;range=A164" ref="A211"/>
    <hyperlink r:id="rId206" location="gid=663001998&amp;range=A165" ref="A212"/>
    <hyperlink r:id="rId207" location="gid=663001998&amp;range=A167" ref="A213"/>
    <hyperlink r:id="rId208" location="gid=663001998&amp;range=A170" ref="A214"/>
    <hyperlink r:id="rId209" location="gid=663001998&amp;range=A171" ref="A215"/>
    <hyperlink r:id="rId210" location="gid=663001998&amp;range=A172" ref="A216"/>
    <hyperlink r:id="rId211" location="gid=663001998&amp;range=A173" ref="A217"/>
    <hyperlink r:id="rId212" location="gid=663001998&amp;range=A174" ref="A218"/>
    <hyperlink r:id="rId213" location="gid=663001998&amp;range=A175" ref="A219"/>
    <hyperlink r:id="rId214" location="gid=663001998&amp;range=A177" ref="A220"/>
    <hyperlink r:id="rId215" location="gid=663001998&amp;range=A178" ref="A221"/>
    <hyperlink r:id="rId216" location="gid=663001998&amp;range=A179" ref="A222"/>
    <hyperlink r:id="rId217" location="gid=663001998&amp;range=A182" ref="A223"/>
    <hyperlink r:id="rId218" location="gid=663001998&amp;range=A183" ref="A224"/>
    <hyperlink r:id="rId219" location="gid=663001998&amp;range=A184" ref="A225"/>
    <hyperlink r:id="rId220" location="gid=663001998&amp;range=A185" ref="A226"/>
    <hyperlink r:id="rId221" location="gid=663001998&amp;range=A187" ref="A227"/>
    <hyperlink r:id="rId222" location="gid=663001998&amp;range=A188" ref="A228"/>
    <hyperlink r:id="rId223" location="gid=663001998&amp;range=A189" ref="A229"/>
    <hyperlink r:id="rId224" location="gid=663001998&amp;range=A191" ref="A230"/>
    <hyperlink r:id="rId225" location="gid=663001998&amp;range=A193" ref="A231"/>
    <hyperlink r:id="rId226" location="gid=663001998&amp;range=A194" ref="A232"/>
    <hyperlink r:id="rId227" location="gid=663001998&amp;range=A195" ref="A233"/>
    <hyperlink r:id="rId228" location="gid=663001998&amp;range=A196" ref="A234"/>
    <hyperlink r:id="rId229" location="gid=663001998&amp;range=A201" ref="A235"/>
    <hyperlink r:id="rId230" location="gid=663001998&amp;range=A203" ref="A236"/>
    <hyperlink r:id="rId231" location="gid=663001998&amp;range=A205" ref="A237"/>
    <hyperlink r:id="rId232" location="gid=663001998&amp;range=A207" ref="A238"/>
    <hyperlink r:id="rId233" location="gid=663001998&amp;range=A208" ref="A239"/>
    <hyperlink r:id="rId234" location="gid=663001998&amp;range=A209" ref="A240"/>
    <hyperlink r:id="rId235" location="gid=663001998&amp;range=A210" ref="A241"/>
    <hyperlink r:id="rId236" location="gid=663001998&amp;range=A212" ref="A242"/>
    <hyperlink r:id="rId237" location="gid=663001998&amp;range=A214" ref="A243"/>
    <hyperlink r:id="rId238" location="gid=663001998&amp;range=A216" ref="A244"/>
    <hyperlink r:id="rId239" location="gid=663001998&amp;range=A217" ref="A245"/>
    <hyperlink r:id="rId240" location="gid=663001998&amp;range=A218" ref="A246"/>
    <hyperlink r:id="rId241" location="gid=663001998&amp;range=A220" ref="A247"/>
    <hyperlink r:id="rId242" location="gid=663001998&amp;range=A221" ref="A248"/>
    <hyperlink r:id="rId243" location="gid=663001998&amp;range=A222" ref="A249"/>
    <hyperlink r:id="rId244" location="gid=663001998&amp;range=A223" ref="A250"/>
    <hyperlink r:id="rId245" location="gid=663001998&amp;range=A224" ref="A251"/>
    <hyperlink r:id="rId246" location="gid=663001998&amp;range=A226" ref="A252"/>
    <hyperlink r:id="rId247" location="gid=663001998&amp;range=A227" ref="A253"/>
    <hyperlink r:id="rId248" location="gid=663001998&amp;range=A228" ref="A254"/>
    <hyperlink r:id="rId249" location="gid=663001998&amp;range=A229" ref="A255"/>
    <hyperlink r:id="rId250" location="gid=663001998&amp;range=A230" ref="A256"/>
    <hyperlink r:id="rId251" location="gid=663001998&amp;range=A231" ref="A257"/>
    <hyperlink r:id="rId252" location="gid=663001998&amp;range=A232" ref="A258"/>
    <hyperlink r:id="rId253" location="gid=663001998&amp;range=A234" ref="A259"/>
    <hyperlink r:id="rId254" location="gid=663001998&amp;range=A236" ref="A260"/>
    <hyperlink r:id="rId255" location="gid=663001998&amp;range=A239" ref="A261"/>
    <hyperlink r:id="rId256" location="gid=663001998&amp;range=A241" ref="A262"/>
    <hyperlink r:id="rId257" location="gid=663001998&amp;range=A242" ref="A263"/>
    <hyperlink r:id="rId258" location="gid=663001998&amp;range=A243" ref="A264"/>
    <hyperlink r:id="rId259" location="gid=663001998&amp;range=A244" ref="A265"/>
    <hyperlink r:id="rId260" location="gid=663001998&amp;range=A245" ref="A266"/>
    <hyperlink r:id="rId261" location="gid=663001998&amp;range=A247" ref="A267"/>
    <hyperlink r:id="rId262" location="gid=663001998&amp;range=A248" ref="A268"/>
    <hyperlink r:id="rId263" location="gid=663001998&amp;range=A249" ref="A269"/>
    <hyperlink r:id="rId264" location="gid=663001998&amp;range=A250" ref="A270"/>
    <hyperlink r:id="rId265" location="gid=663001998&amp;range=A251" ref="A271"/>
    <hyperlink r:id="rId266" location="gid=663001998&amp;range=A253" ref="A272"/>
    <hyperlink r:id="rId267" location="gid=663001998&amp;range=A254" ref="A273"/>
    <hyperlink r:id="rId268" location="gid=663001998&amp;range=A255" ref="A274"/>
    <hyperlink r:id="rId269" location="gid=663001998&amp;range=A256" ref="A275"/>
    <hyperlink r:id="rId270" location="gid=663001998&amp;range=A257" ref="A276"/>
    <hyperlink r:id="rId271" location="gid=663001998&amp;range=A258" ref="A277"/>
    <hyperlink r:id="rId272" location="gid=663001998&amp;range=A259" ref="A278"/>
    <hyperlink r:id="rId273" location="gid=663001998&amp;range=A260" ref="A279"/>
    <hyperlink r:id="rId274" location="gid=663001998&amp;range=A261" ref="A280"/>
    <hyperlink r:id="rId275" location="gid=663001998&amp;range=A263" ref="A281"/>
    <hyperlink r:id="rId276" location="gid=663001998&amp;range=A264" ref="A282"/>
    <hyperlink r:id="rId277" location="gid=663001998&amp;range=A265" ref="A283"/>
    <hyperlink r:id="rId278" location="gid=663001998&amp;range=A266" ref="A284"/>
    <hyperlink r:id="rId279" location="gid=663001998&amp;range=A267" ref="A285"/>
    <hyperlink r:id="rId280" location="gid=663001998&amp;range=A269" ref="A286"/>
    <hyperlink r:id="rId281" location="gid=663001998&amp;range=A270" ref="A287"/>
    <hyperlink r:id="rId282" location="gid=663001998&amp;range=A271" ref="A288"/>
    <hyperlink r:id="rId283" location="gid=663001998&amp;range=A272" ref="A289"/>
    <hyperlink r:id="rId284" location="gid=663001998&amp;range=A274" ref="A290"/>
    <hyperlink r:id="rId285" location="gid=663001998&amp;range=A275" ref="A291"/>
    <hyperlink r:id="rId286" location="gid=663001998&amp;range=A276" ref="A292"/>
    <hyperlink r:id="rId287" location="gid=663001998&amp;range=A277" ref="A293"/>
    <hyperlink r:id="rId288" location="gid=663001998&amp;range=A278" ref="A294"/>
    <hyperlink r:id="rId289" location="gid=663001998&amp;range=A279" ref="A295"/>
    <hyperlink r:id="rId290" location="gid=663001998&amp;range=A280" ref="A296"/>
    <hyperlink r:id="rId291" location="gid=663001998&amp;range=A281" ref="A297"/>
    <hyperlink r:id="rId292" location="gid=663001998&amp;range=A282" ref="A298"/>
    <hyperlink r:id="rId293" location="gid=663001998&amp;range=A284" ref="A299"/>
    <hyperlink r:id="rId294" location="gid=663001998&amp;range=A287" ref="A300"/>
    <hyperlink r:id="rId295" location="gid=663001998&amp;range=A288" ref="A301"/>
    <hyperlink r:id="rId296" location="gid=663001998&amp;range=A289" ref="A302"/>
    <hyperlink r:id="rId297" location="gid=663001998&amp;range=A291" ref="A303"/>
    <hyperlink r:id="rId298" location="gid=663001998&amp;range=A293" ref="A304"/>
    <hyperlink r:id="rId299" location="gid=663001998&amp;range=A294" ref="A305"/>
    <hyperlink r:id="rId300" location="gid=663001998&amp;range=A295" ref="A306"/>
    <hyperlink r:id="rId301" location="gid=663001998&amp;range=A296" ref="A307"/>
    <hyperlink r:id="rId302" location="gid=663001998&amp;range=A298" ref="A308"/>
    <hyperlink r:id="rId303" location="gid=663001998&amp;range=A299" ref="A309"/>
    <hyperlink r:id="rId304" location="gid=663001998&amp;range=A301" ref="A310"/>
    <hyperlink r:id="rId305" location="gid=663001998&amp;range=A302" ref="A311"/>
    <hyperlink r:id="rId306" location="gid=663001998&amp;range=A304" ref="A312"/>
    <hyperlink r:id="rId307" location="gid=663001998&amp;range=A305" ref="A313"/>
    <hyperlink r:id="rId308" location="gid=663001998&amp;range=A306" ref="A314"/>
    <hyperlink r:id="rId309" location="gid=663001998&amp;range=A307" ref="A315"/>
    <hyperlink r:id="rId310" location="gid=663001998&amp;range=A308" ref="A316"/>
    <hyperlink r:id="rId311" location="gid=663001998&amp;range=A309" ref="A317"/>
    <hyperlink r:id="rId312" location="gid=663001998&amp;range=A310" ref="A318"/>
    <hyperlink r:id="rId313" location="gid=663001998&amp;range=A311" ref="A319"/>
    <hyperlink r:id="rId314" location="gid=663001998&amp;range=A312" ref="A320"/>
    <hyperlink r:id="rId315" location="gid=663001998&amp;range=A313" ref="A321"/>
    <hyperlink r:id="rId316" location="gid=663001998&amp;range=A314" ref="A322"/>
    <hyperlink r:id="rId317" location="gid=663001998&amp;range=A316" ref="A323"/>
    <hyperlink r:id="rId318" location="gid=663001998&amp;range=A317" ref="A324"/>
    <hyperlink r:id="rId319" location="gid=663001998&amp;range=A318" ref="A325"/>
    <hyperlink r:id="rId320" location="gid=663001998&amp;range=A319" ref="A326"/>
    <hyperlink r:id="rId321" location="gid=663001998&amp;range=A320" ref="A327"/>
    <hyperlink r:id="rId322" location="gid=663001998&amp;range=A322" ref="A328"/>
    <hyperlink r:id="rId323" location="gid=663001998&amp;range=A323" ref="A329"/>
    <hyperlink r:id="rId324" location="gid=663001998&amp;range=A324" ref="A330"/>
    <hyperlink r:id="rId325" location="gid=663001998&amp;range=A327" ref="A331"/>
    <hyperlink r:id="rId326" location="gid=663001998&amp;range=A329" ref="A332"/>
    <hyperlink r:id="rId327" location="gid=663001998&amp;range=A330" ref="A333"/>
    <hyperlink r:id="rId328" location="gid=663001998&amp;range=A331" ref="A334"/>
    <hyperlink r:id="rId329" location="gid=663001998&amp;range=A332" ref="A335"/>
    <hyperlink r:id="rId330" location="gid=663001998&amp;range=A334" ref="A336"/>
    <hyperlink r:id="rId331" location="gid=663001998&amp;range=A335" ref="A337"/>
    <hyperlink r:id="rId332" location="gid=663001998&amp;range=A336" ref="A338"/>
    <hyperlink r:id="rId333" location="gid=663001998&amp;range=A338" ref="A339"/>
    <hyperlink r:id="rId334" location="gid=663001998&amp;range=A339" ref="A340"/>
    <hyperlink r:id="rId335" location="gid=663001998&amp;range=A341" ref="A341"/>
    <hyperlink r:id="rId336" location="gid=663001998&amp;range=A342" ref="A342"/>
    <hyperlink r:id="rId337" location="gid=663001998&amp;range=A343" ref="A343"/>
    <hyperlink r:id="rId338" location="gid=663001998&amp;range=A344" ref="A344"/>
    <hyperlink r:id="rId339" location="gid=663001998&amp;range=A345" ref="A345"/>
    <hyperlink r:id="rId340" location="gid=663001998&amp;range=A346" ref="A346"/>
    <hyperlink r:id="rId341" location="gid=663001998&amp;range=A347" ref="A347"/>
    <hyperlink r:id="rId342" location="gid=663001998&amp;range=A348" ref="A348"/>
    <hyperlink r:id="rId343" location="gid=663001998&amp;range=A349" ref="A349"/>
    <hyperlink r:id="rId344" location="gid=663001998&amp;range=A350" ref="A350"/>
    <hyperlink r:id="rId345" location="gid=663001998&amp;range=A351" ref="A351"/>
    <hyperlink r:id="rId346" location="gid=663001998&amp;range=A352" ref="A352"/>
    <hyperlink r:id="rId347" location="gid=663001998&amp;range=A353" ref="A353"/>
    <hyperlink r:id="rId348" location="gid=1340171929&amp;range=A44" ref="A355"/>
    <hyperlink r:id="rId349" location="gid=1340171929&amp;range=A46" ref="A356"/>
    <hyperlink r:id="rId350" location="gid=1340171929&amp;range=A47" ref="A357"/>
    <hyperlink r:id="rId351" location="gid=1340171929&amp;range=A49" ref="A358"/>
    <hyperlink r:id="rId352" location="gid=1340171929&amp;range=A50" ref="A359"/>
    <hyperlink r:id="rId353" location="gid=1340171929&amp;range=A51" ref="A360"/>
    <hyperlink r:id="rId354" location="gid=1340171929&amp;range=A52" ref="A361"/>
    <hyperlink r:id="rId355" location="gid=1340171929&amp;range=A53" ref="A362"/>
    <hyperlink r:id="rId356" location="gid=1340171929&amp;range=A54" ref="A363"/>
    <hyperlink r:id="rId357" location="gid=1340171929&amp;range=A55" ref="A364"/>
    <hyperlink r:id="rId358" location="gid=1340171929&amp;range=A56" ref="A365"/>
    <hyperlink r:id="rId359" location="gid=1340171929&amp;range=A57" ref="A366"/>
    <hyperlink r:id="rId360" location="gid=1340171929&amp;range=A58" ref="A367"/>
    <hyperlink r:id="rId361" location="gid=1340171929&amp;range=A59" ref="A368"/>
    <hyperlink r:id="rId362" location="gid=1340171929&amp;range=A61" ref="A369"/>
    <hyperlink r:id="rId363" location="gid=1340171929&amp;range=A62" ref="A370"/>
    <hyperlink r:id="rId364" location="gid=1340171929&amp;range=A64" ref="A371"/>
    <hyperlink r:id="rId365" location="gid=1340171929&amp;range=A65" ref="A372"/>
    <hyperlink r:id="rId366" location="gid=1340171929&amp;range=A66" ref="A373"/>
    <hyperlink r:id="rId367" location="gid=1340171929&amp;range=A67" ref="A374"/>
    <hyperlink r:id="rId368" location="gid=1340171929&amp;range=A69" ref="A375"/>
    <hyperlink r:id="rId369" location="gid=1340171929&amp;range=A70" ref="A376"/>
    <hyperlink r:id="rId370" location="gid=1340171929&amp;range=A71" ref="A377"/>
    <hyperlink r:id="rId371" location="gid=1340171929&amp;range=A72" ref="A378"/>
    <hyperlink r:id="rId372" location="gid=1340171929&amp;range=A73" ref="A379"/>
    <hyperlink r:id="rId373" location="gid=1340171929&amp;range=A74" ref="A380"/>
    <hyperlink r:id="rId374" location="gid=1340171929&amp;range=A75" ref="A381"/>
    <hyperlink r:id="rId375" location="gid=1340171929&amp;range=A76" ref="A382"/>
    <hyperlink r:id="rId376" location="gid=1340171929&amp;range=A78" ref="A383"/>
    <hyperlink r:id="rId377" location="gid=1340171929&amp;range=A81" ref="A384"/>
    <hyperlink r:id="rId378" location="gid=1340171929&amp;range=A83" ref="A385"/>
    <hyperlink r:id="rId379" location="gid=1340171929&amp;range=A84" ref="A386"/>
    <hyperlink r:id="rId380" location="gid=1340171929&amp;range=A85" ref="A387"/>
    <hyperlink r:id="rId381" location="gid=1340171929&amp;range=A86" ref="A388"/>
    <hyperlink r:id="rId382" location="gid=1340171929&amp;range=A88" ref="A389"/>
    <hyperlink r:id="rId383" location="gid=1340171929&amp;range=A89" ref="A390"/>
    <hyperlink r:id="rId384" location="gid=1340171929&amp;range=A90" ref="A391"/>
    <hyperlink r:id="rId385" location="gid=1340171929&amp;range=A95" ref="A392"/>
    <hyperlink r:id="rId386" location="gid=1340171929&amp;range=A96" ref="A393"/>
    <hyperlink r:id="rId387" location="gid=1340171929&amp;range=A97" ref="A394"/>
    <hyperlink r:id="rId388" location="gid=1340171929&amp;range=A98" ref="A395"/>
    <hyperlink r:id="rId389" location="gid=1340171929&amp;range=A99" ref="A396"/>
    <hyperlink r:id="rId390" location="gid=1340171929&amp;range=A100" ref="A397"/>
    <hyperlink r:id="rId391" location="gid=1340171929&amp;range=A101" ref="A398"/>
    <hyperlink r:id="rId392" location="gid=1340171929&amp;range=A103" ref="A399"/>
    <hyperlink r:id="rId393" location="gid=1340171929&amp;range=A104" ref="A400"/>
    <hyperlink r:id="rId394" location="gid=1340171929&amp;range=A105" ref="A401"/>
    <hyperlink r:id="rId395" location="gid=1340171929&amp;range=A106" ref="A402"/>
    <hyperlink r:id="rId396" location="gid=1340171929&amp;range=A108" ref="A403"/>
    <hyperlink r:id="rId397" location="gid=1340171929&amp;range=A109" ref="A404"/>
    <hyperlink r:id="rId398" location="gid=1340171929&amp;range=A110" ref="A405"/>
    <hyperlink r:id="rId399" location="gid=1340171929&amp;range=A111" ref="A406"/>
    <hyperlink r:id="rId400" location="gid=1340171929&amp;range=A112" ref="A407"/>
    <hyperlink r:id="rId401" location="gid=1340171929&amp;range=A113" ref="A408"/>
    <hyperlink r:id="rId402" location="gid=1340171929&amp;range=A114" ref="A409"/>
    <hyperlink r:id="rId403" location="gid=1340171929&amp;range=A115" ref="A410"/>
    <hyperlink r:id="rId404" location="gid=1340171929&amp;range=A116" ref="A411"/>
    <hyperlink r:id="rId405" location="gid=1340171929&amp;range=A117" ref="A412"/>
    <hyperlink r:id="rId406" location="gid=1340171929&amp;range=A118" ref="A413"/>
    <hyperlink r:id="rId407" location="gid=1340171929&amp;range=A119" ref="A414"/>
    <hyperlink r:id="rId408" location="gid=1340171929&amp;range=A120" ref="A415"/>
    <hyperlink r:id="rId409" location="gid=1340171929&amp;range=A121" ref="A416"/>
    <hyperlink r:id="rId410" location="gid=1340171929&amp;range=A123" ref="A417"/>
    <hyperlink r:id="rId411" location="gid=1340171929&amp;range=A125" ref="A418"/>
    <hyperlink r:id="rId412" location="gid=1340171929&amp;range=A126" ref="A419"/>
    <hyperlink r:id="rId413" location="gid=1340171929&amp;range=A129" ref="A420"/>
    <hyperlink r:id="rId414" location="gid=1340171929&amp;range=A131" ref="A421"/>
    <hyperlink r:id="rId415" location="gid=1340171929&amp;range=A132" ref="A422"/>
    <hyperlink r:id="rId416" location="gid=1340171929&amp;range=A133" ref="A423"/>
    <hyperlink r:id="rId417" location="gid=1340171929&amp;range=A134" ref="A424"/>
    <hyperlink r:id="rId418" location="gid=1340171929&amp;range=A135" ref="A425"/>
    <hyperlink r:id="rId419" location="gid=1340171929&amp;range=A136" ref="A426"/>
    <hyperlink r:id="rId420" location="gid=1340171929&amp;range=A138" ref="A427"/>
    <hyperlink r:id="rId421" location="gid=1340171929&amp;range=A139" ref="A428"/>
    <hyperlink r:id="rId422" location="gid=1340171929&amp;range=A142" ref="A429"/>
    <hyperlink r:id="rId423" location="gid=1340171929&amp;range=A143" ref="A430"/>
    <hyperlink r:id="rId424" location="gid=1340171929&amp;range=A144" ref="A431"/>
    <hyperlink r:id="rId425" location="gid=1340171929&amp;range=A145" ref="A432"/>
    <hyperlink r:id="rId426" location="gid=1340171929&amp;range=A146" ref="A433"/>
    <hyperlink r:id="rId427" location="gid=1340171929&amp;range=A147" ref="A434"/>
    <hyperlink r:id="rId428" location="gid=1340171929&amp;range=A148" ref="A435"/>
    <hyperlink r:id="rId429" location="gid=1340171929&amp;range=A149" ref="A436"/>
    <hyperlink r:id="rId430" location="gid=1340171929&amp;range=A150" ref="A437"/>
    <hyperlink r:id="rId431" location="gid=1340171929&amp;range=A151" ref="A438"/>
    <hyperlink r:id="rId432" location="gid=1340171929&amp;range=A152" ref="A439"/>
    <hyperlink r:id="rId433" location="gid=1340171929&amp;range=A153" ref="A440"/>
    <hyperlink r:id="rId434" location="gid=1340171929&amp;range=A154" ref="A441"/>
    <hyperlink r:id="rId435" location="gid=1340171929&amp;range=A155" ref="A442"/>
    <hyperlink r:id="rId436" location="gid=1340171929&amp;range=A157" ref="A443"/>
    <hyperlink r:id="rId437" location="gid=1340171929&amp;range=A158" ref="A444"/>
    <hyperlink r:id="rId438" location="gid=1340171929&amp;range=A159" ref="A445"/>
    <hyperlink r:id="rId439" location="gid=1340171929&amp;range=A160" ref="A446"/>
    <hyperlink r:id="rId440" location="gid=1340171929&amp;range=A161" ref="A447"/>
    <hyperlink r:id="rId441" location="gid=1340171929&amp;range=A163" ref="A448"/>
    <hyperlink r:id="rId442" location="gid=1340171929&amp;range=A164" ref="A449"/>
    <hyperlink r:id="rId443" location="gid=1340171929&amp;range=A165" ref="A450"/>
    <hyperlink r:id="rId444" location="gid=1340171929&amp;range=A166" ref="A451"/>
    <hyperlink r:id="rId445" location="gid=1340171929&amp;range=A167" ref="A452"/>
    <hyperlink r:id="rId446" location="gid=1340171929&amp;range=A168" ref="A453"/>
    <hyperlink r:id="rId447" location="gid=1340171929&amp;range=A169" ref="A454"/>
    <hyperlink r:id="rId448" location="gid=1340171929&amp;range=A170" ref="A455"/>
    <hyperlink r:id="rId449" location="gid=1340171929&amp;range=A171" ref="A456"/>
    <hyperlink r:id="rId450" location="gid=1340171929&amp;range=A172" ref="A457"/>
    <hyperlink r:id="rId451" location="gid=1340171929&amp;range=A174" ref="A458"/>
    <hyperlink r:id="rId452" location="gid=1340171929&amp;range=A176" ref="A459"/>
    <hyperlink r:id="rId453" location="gid=1340171929&amp;range=A177" ref="A460"/>
    <hyperlink r:id="rId454" location="gid=1340171929&amp;range=A179" ref="A461"/>
    <hyperlink r:id="rId455" location="gid=1340171929&amp;range=A180" ref="A462"/>
    <hyperlink r:id="rId456" location="gid=1340171929&amp;range=A181" ref="A463"/>
    <hyperlink r:id="rId457" location="gid=1340171929&amp;range=A182" ref="A464"/>
    <hyperlink r:id="rId458" location="gid=1340171929&amp;range=A183" ref="A465"/>
    <hyperlink r:id="rId459" location="gid=1340171929&amp;range=A184" ref="A466"/>
    <hyperlink r:id="rId460" location="gid=1340171929&amp;range=A186" ref="A467"/>
    <hyperlink r:id="rId461" location="gid=1340171929&amp;range=A187" ref="A468"/>
    <hyperlink r:id="rId462" location="gid=1340171929&amp;range=A188" ref="A469"/>
    <hyperlink r:id="rId463" location="gid=1340171929&amp;range=A189" ref="A470"/>
    <hyperlink r:id="rId464" location="gid=1340171929&amp;range=A191" ref="A471"/>
    <hyperlink r:id="rId465" location="gid=1340171929&amp;range=A193" ref="A472"/>
    <hyperlink r:id="rId466" location="gid=1340171929&amp;range=A194" ref="A473"/>
    <hyperlink r:id="rId467" location="gid=1340171929&amp;range=A195" ref="A474"/>
    <hyperlink r:id="rId468" location="gid=1340171929&amp;range=A197" ref="A475"/>
    <hyperlink r:id="rId469" location="gid=1340171929&amp;range=A198" ref="A476"/>
    <hyperlink r:id="rId470" location="gid=1340171929&amp;range=A199" ref="A477"/>
    <hyperlink r:id="rId471" location="gid=1340171929&amp;range=A200" ref="A478"/>
    <hyperlink r:id="rId472" location="gid=1340171929&amp;range=A202" ref="A479"/>
    <hyperlink r:id="rId473" location="gid=1340171929&amp;range=A203" ref="A480"/>
    <hyperlink r:id="rId474" location="gid=1340171929&amp;range=A204" ref="A481"/>
    <hyperlink r:id="rId475" location="gid=1340171929&amp;range=A205" ref="A482"/>
    <hyperlink r:id="rId476" location="gid=1340171929&amp;range=A206" ref="A483"/>
    <hyperlink r:id="rId477" location="gid=1340171929&amp;range=A207" ref="A484"/>
    <hyperlink r:id="rId478" location="gid=1340171929&amp;range=A208" ref="A485"/>
    <hyperlink r:id="rId479" location="gid=1340171929&amp;range=A209" ref="A486"/>
    <hyperlink r:id="rId480" location="gid=1340171929&amp;range=A213" ref="A487"/>
    <hyperlink r:id="rId481" location="gid=1340171929&amp;range=A214" ref="A488"/>
    <hyperlink r:id="rId482" location="gid=1340171929&amp;range=A215" ref="A489"/>
    <hyperlink r:id="rId483" location="gid=1340171929&amp;range=A216" ref="A490"/>
    <hyperlink r:id="rId484" location="gid=1340171929&amp;range=A217" ref="A491"/>
    <hyperlink r:id="rId485" location="gid=1340171929&amp;range=A218" ref="A492"/>
    <hyperlink r:id="rId486" location="gid=1340171929&amp;range=A220" ref="A493"/>
    <hyperlink r:id="rId487" location="gid=1340171929&amp;range=A221" ref="A494"/>
    <hyperlink r:id="rId488" location="gid=1340171929&amp;range=A222" ref="A495"/>
    <hyperlink r:id="rId489" location="gid=1340171929&amp;range=A224" ref="A496"/>
    <hyperlink r:id="rId490" location="gid=1340171929&amp;range=A225" ref="A497"/>
    <hyperlink r:id="rId491" location="gid=1340171929&amp;range=A226" ref="A498"/>
    <hyperlink r:id="rId492" location="gid=1340171929&amp;range=A228" ref="A499"/>
    <hyperlink r:id="rId493" location="gid=1340171929&amp;range=A230" ref="A500"/>
    <hyperlink r:id="rId494" location="gid=1340171929&amp;range=A231" ref="A501"/>
    <hyperlink r:id="rId495" location="gid=1340171929&amp;range=A233" ref="A502"/>
    <hyperlink r:id="rId496" location="gid=1340171929&amp;range=A234" ref="A503"/>
    <hyperlink r:id="rId497" location="gid=1340171929&amp;range=A235" ref="A504"/>
    <hyperlink r:id="rId498" location="gid=1340171929&amp;range=A236" ref="A505"/>
    <hyperlink r:id="rId499" location="gid=1340171929&amp;range=A238" ref="A506"/>
    <hyperlink r:id="rId500" location="gid=1340171929&amp;range=A239" ref="A507"/>
    <hyperlink r:id="rId501" location="gid=1340171929&amp;range=A241" ref="A508"/>
    <hyperlink r:id="rId502" location="gid=1340171929&amp;range=A243" ref="A509"/>
    <hyperlink r:id="rId503" location="gid=1340171929&amp;range=A244" ref="A510"/>
    <hyperlink r:id="rId504" location="gid=1340171929&amp;range=A245" ref="A511"/>
    <hyperlink r:id="rId505" location="gid=1340171929&amp;range=A246" ref="A512"/>
    <hyperlink r:id="rId506" location="gid=1340171929&amp;range=A247" ref="A513"/>
    <hyperlink r:id="rId507" location="gid=1340171929&amp;range=A248" ref="A514"/>
    <hyperlink r:id="rId508" location="gid=1340171929&amp;range=A249" ref="A515"/>
    <hyperlink r:id="rId509" location="gid=1340171929&amp;range=A250" ref="A516"/>
    <hyperlink r:id="rId510" location="gid=1340171929&amp;range=A251" ref="A517"/>
    <hyperlink r:id="rId511" location="gid=1340171929&amp;range=A252" ref="A518"/>
    <hyperlink r:id="rId512" location="gid=1340171929&amp;range=A253" ref="A519"/>
    <hyperlink r:id="rId513" location="gid=1340171929&amp;range=A256" ref="A520"/>
    <hyperlink r:id="rId514" location="gid=1340171929&amp;range=A258" ref="A521"/>
    <hyperlink r:id="rId515" location="gid=1340171929&amp;range=A259" ref="A522"/>
    <hyperlink r:id="rId516" location="gid=1340171929&amp;range=A260" ref="A523"/>
    <hyperlink r:id="rId517" location="gid=1340171929&amp;range=A262" ref="A524"/>
    <hyperlink r:id="rId518" location="gid=1340171929&amp;range=A263" ref="A525"/>
    <hyperlink r:id="rId519" location="gid=1340171929&amp;range=A264" ref="A526"/>
    <hyperlink r:id="rId520" location="gid=1340171929&amp;range=A265" ref="A527"/>
    <hyperlink r:id="rId521" location="gid=1340171929&amp;range=A266" ref="A528"/>
    <hyperlink r:id="rId522" location="gid=1340171929&amp;range=A267" ref="A529"/>
    <hyperlink r:id="rId523" location="gid=1340171929&amp;range=A268" ref="A530"/>
    <hyperlink r:id="rId524" location="gid=1340171929&amp;range=A269" ref="A531"/>
    <hyperlink r:id="rId525" location="gid=1340171929&amp;range=A270" ref="A532"/>
    <hyperlink r:id="rId526" location="gid=1340171929&amp;range=A271" ref="A533"/>
    <hyperlink r:id="rId527" location="gid=1340171929&amp;range=A272" ref="A534"/>
    <hyperlink r:id="rId528" location="gid=1340171929&amp;range=A273" ref="A535"/>
    <hyperlink r:id="rId529" location="gid=1340171929&amp;range=A274" ref="A536"/>
    <hyperlink r:id="rId530" location="gid=1340171929&amp;range=A275" ref="A537"/>
    <hyperlink r:id="rId531" location="gid=1340171929&amp;range=A276" ref="A538"/>
    <hyperlink r:id="rId532" location="gid=1340171929&amp;range=A278" ref="A539"/>
    <hyperlink r:id="rId533" location="gid=1340171929&amp;range=A279" ref="A540"/>
    <hyperlink r:id="rId534" location="gid=1340171929&amp;range=A280" ref="A541"/>
    <hyperlink r:id="rId535" location="gid=1340171929&amp;range=A285" ref="A542"/>
    <hyperlink r:id="rId536" location="gid=1340171929&amp;range=A286" ref="A543"/>
    <hyperlink r:id="rId537" location="gid=1340171929&amp;range=A288" ref="A544"/>
    <hyperlink r:id="rId538" location="gid=1340171929&amp;range=A289" ref="A545"/>
    <hyperlink r:id="rId539" location="gid=1340171929&amp;range=A291" ref="A546"/>
    <hyperlink r:id="rId540" location="gid=1340171929&amp;range=A292" ref="A547"/>
    <hyperlink r:id="rId541" location="gid=1340171929&amp;range=A294" ref="A548"/>
    <hyperlink r:id="rId542" location="gid=1340171929&amp;range=A295" ref="A549"/>
    <hyperlink r:id="rId543" location="gid=1340171929&amp;range=A296" ref="A550"/>
    <hyperlink r:id="rId544" location="gid=1340171929&amp;range=A299" ref="A551"/>
    <hyperlink r:id="rId545" location="gid=1340171929&amp;range=A301" ref="A552"/>
    <hyperlink r:id="rId546" location="gid=1340171929&amp;range=A302" ref="A553"/>
    <hyperlink r:id="rId547" location="gid=1340171929&amp;range=A303" ref="A554"/>
    <hyperlink r:id="rId548" location="gid=1340171929&amp;range=A304" ref="A555"/>
    <hyperlink r:id="rId549" location="gid=1340171929&amp;range=A305" ref="A556"/>
    <hyperlink r:id="rId550" location="gid=1340171929&amp;range=A306" ref="A557"/>
    <hyperlink r:id="rId551" location="gid=1340171929&amp;range=A307" ref="A558"/>
    <hyperlink r:id="rId552" location="gid=1340171929&amp;range=A308" ref="A559"/>
    <hyperlink r:id="rId553" location="gid=1340171929&amp;range=A309" ref="A560"/>
    <hyperlink r:id="rId554" location="gid=1340171929&amp;range=A310" ref="A561"/>
    <hyperlink r:id="rId555" location="gid=1340171929&amp;range=A311" ref="A562"/>
    <hyperlink r:id="rId556" location="gid=1340171929&amp;range=A312" ref="A563"/>
    <hyperlink r:id="rId557" location="gid=1340171929&amp;range=A313" ref="A564"/>
    <hyperlink r:id="rId558" location="gid=1340171929&amp;range=A314" ref="A565"/>
    <hyperlink r:id="rId559" location="gid=1340171929&amp;range=A315" ref="A566"/>
    <hyperlink r:id="rId560" location="gid=1340171929&amp;range=A316" ref="A567"/>
    <hyperlink r:id="rId561" location="gid=1340171929&amp;range=A317" ref="A568"/>
    <hyperlink r:id="rId562" location="gid=1340171929&amp;range=A319" ref="A569"/>
    <hyperlink r:id="rId563" location="gid=1340171929&amp;range=A320" ref="A570"/>
    <hyperlink r:id="rId564" location="gid=1340171929&amp;range=A321" ref="A571"/>
    <hyperlink r:id="rId565" location="gid=1340171929&amp;range=A323" ref="A572"/>
    <hyperlink r:id="rId566" location="gid=1340171929&amp;range=A325" ref="A573"/>
    <hyperlink r:id="rId567" location="gid=1340171929&amp;range=A326" ref="A574"/>
    <hyperlink r:id="rId568" location="gid=1340171929&amp;range=A328" ref="A575"/>
    <hyperlink r:id="rId569" location="gid=1340171929&amp;range=A330" ref="A576"/>
    <hyperlink r:id="rId570" location="gid=1340171929&amp;range=A331" ref="A577"/>
    <hyperlink r:id="rId571" location="gid=1340171929&amp;range=A332" ref="A578"/>
    <hyperlink r:id="rId572" location="gid=1340171929&amp;range=A333" ref="A579"/>
    <hyperlink r:id="rId573" location="gid=1340171929&amp;range=A334" ref="A580"/>
    <hyperlink r:id="rId574" location="gid=1340171929&amp;range=A335" ref="A581"/>
    <hyperlink r:id="rId575" location="gid=1340171929&amp;range=A337" ref="A582"/>
    <hyperlink r:id="rId576" location="gid=1340171929&amp;range=A339" ref="A583"/>
    <hyperlink r:id="rId577" location="gid=1340171929&amp;range=A340" ref="A584"/>
    <hyperlink r:id="rId578" location="gid=1340171929&amp;range=A341" ref="A585"/>
    <hyperlink r:id="rId579" location="gid=1340171929&amp;range=A342" ref="A586"/>
    <hyperlink r:id="rId580" location="gid=1340171929&amp;range=A343" ref="A587"/>
    <hyperlink r:id="rId581" location="gid=1340171929&amp;range=A344" ref="A588"/>
    <hyperlink r:id="rId582" location="gid=1340171929&amp;range=A345" ref="A589"/>
    <hyperlink r:id="rId583" location="gid=1340171929&amp;range=A346" ref="A590"/>
    <hyperlink r:id="rId584" location="gid=1340171929&amp;range=A347" ref="A591"/>
    <hyperlink r:id="rId585" location="gid=1340171929&amp;range=A348" ref="A592"/>
    <hyperlink r:id="rId586" location="gid=1340171929&amp;range=A349" ref="A593"/>
    <hyperlink r:id="rId587" location="gid=1340171929&amp;range=A350" ref="A594"/>
    <hyperlink r:id="rId588" location="gid=1340171929&amp;range=A351" ref="A595"/>
    <hyperlink r:id="rId589" location="gid=1340171929&amp;range=A352" ref="A596"/>
    <hyperlink r:id="rId590" location="gid=1340171929&amp;range=A353" ref="A597"/>
    <hyperlink r:id="rId591" location="gid=1340171929&amp;range=A354" ref="A598"/>
    <hyperlink r:id="rId592" location="gid=1340171929&amp;range=A356" ref="A599"/>
    <hyperlink r:id="rId593" location="gid=1340171929&amp;range=A357" ref="A600"/>
    <hyperlink r:id="rId594" location="gid=1340171929&amp;range=A358" ref="A601"/>
    <hyperlink r:id="rId595" location="gid=1340171929&amp;range=A359" ref="A602"/>
    <hyperlink r:id="rId596" location="gid=1340171929&amp;range=A360" ref="A603"/>
    <hyperlink r:id="rId597" location="gid=1340171929&amp;range=A361" ref="A604"/>
    <hyperlink r:id="rId598" location="gid=1340171929&amp;range=A363" ref="A605"/>
    <hyperlink r:id="rId599" location="gid=1340171929&amp;range=A364" ref="A606"/>
    <hyperlink r:id="rId600" location="gid=1340171929&amp;range=A365" ref="A607"/>
    <hyperlink r:id="rId601" location="gid=1340171929&amp;range=A366" ref="A608"/>
    <hyperlink r:id="rId602" location="gid=1340171929&amp;range=A368" ref="A609"/>
    <hyperlink r:id="rId603" location="gid=1340171929&amp;range=A369" ref="A610"/>
    <hyperlink r:id="rId604" location="gid=1340171929&amp;range=A371" ref="A611"/>
    <hyperlink r:id="rId605" location="gid=1340171929&amp;range=A372" ref="A612"/>
    <hyperlink r:id="rId606" location="gid=1340171929&amp;range=A373" ref="A613"/>
    <hyperlink r:id="rId607" location="gid=1340171929&amp;range=A374" ref="A614"/>
    <hyperlink r:id="rId608" location="gid=1340171929&amp;range=A377" ref="A615"/>
    <hyperlink r:id="rId609" location="gid=1340171929&amp;range=A378" ref="A616"/>
    <hyperlink r:id="rId610" location="gid=1340171929&amp;range=A379" ref="A617"/>
    <hyperlink r:id="rId611" location="gid=1340171929&amp;range=A381" ref="A618"/>
    <hyperlink r:id="rId612" location="gid=1340171929&amp;range=A382" ref="A619"/>
    <hyperlink r:id="rId613" location="gid=1340171929&amp;range=A383" ref="A620"/>
    <hyperlink r:id="rId614" location="gid=1340171929&amp;range=A384" ref="A621"/>
    <hyperlink r:id="rId615" location="gid=1340171929&amp;range=A386" ref="A622"/>
    <hyperlink r:id="rId616" location="gid=1340171929&amp;range=A388" ref="A623"/>
    <hyperlink r:id="rId617" location="gid=1340171929&amp;range=A390" ref="A624"/>
    <hyperlink r:id="rId618" location="gid=1340171929&amp;range=A391" ref="A625"/>
    <hyperlink r:id="rId619" location="gid=1340171929&amp;range=A392" ref="A626"/>
    <hyperlink r:id="rId620" location="gid=1340171929&amp;range=A393" ref="A627"/>
    <hyperlink r:id="rId621" location="gid=1340171929&amp;range=A394" ref="A628"/>
    <hyperlink r:id="rId622" location="gid=1340171929&amp;range=A396" ref="A629"/>
    <hyperlink r:id="rId623" location="gid=1340171929&amp;range=A397" ref="A630"/>
    <hyperlink r:id="rId624" location="gid=1340171929&amp;range=A398" ref="A631"/>
    <hyperlink r:id="rId625" location="gid=1340171929&amp;range=A399" ref="A632"/>
    <hyperlink r:id="rId626" location="gid=1340171929&amp;range=A400" ref="A633"/>
    <hyperlink r:id="rId627" location="gid=1340171929&amp;range=A401" ref="A634"/>
    <hyperlink r:id="rId628" location="gid=1340171929&amp;range=A402" ref="A635"/>
    <hyperlink r:id="rId629" location="gid=1340171929&amp;range=A403" ref="A636"/>
    <hyperlink r:id="rId630" location="gid=1340171929&amp;range=A404" ref="A637"/>
    <hyperlink r:id="rId631" location="gid=1340171929&amp;range=A405" ref="A638"/>
    <hyperlink r:id="rId632" location="gid=1340171929&amp;range=A407" ref="A639"/>
    <hyperlink r:id="rId633" location="gid=1340171929&amp;range=A408" ref="A640"/>
    <hyperlink r:id="rId634" location="gid=1340171929&amp;range=A409" ref="A641"/>
    <hyperlink r:id="rId635" location="gid=1340171929&amp;range=A410" ref="A642"/>
    <hyperlink r:id="rId636" location="gid=1340171929&amp;range=A411" ref="A643"/>
    <hyperlink r:id="rId637" location="gid=1340171929&amp;range=A415" ref="A644"/>
    <hyperlink r:id="rId638" location="gid=1340171929&amp;range=A416" ref="A645"/>
    <hyperlink r:id="rId639" location="gid=1340171929&amp;range=A417" ref="A646"/>
    <hyperlink r:id="rId640" location="gid=1340171929&amp;range=A418" ref="A647"/>
    <hyperlink r:id="rId641" location="gid=1340171929&amp;range=A419" ref="A648"/>
    <hyperlink r:id="rId642" location="gid=1340171929&amp;range=A421" ref="A649"/>
    <hyperlink r:id="rId643" location="gid=1340171929&amp;range=A422" ref="A650"/>
    <hyperlink r:id="rId644" location="gid=1340171929&amp;range=A423" ref="A651"/>
    <hyperlink r:id="rId645" location="gid=1340171929&amp;range=A424" ref="A652"/>
    <hyperlink r:id="rId646" location="gid=1340171929&amp;range=A425" ref="A653"/>
    <hyperlink r:id="rId647" location="gid=1340171929&amp;range=A426" ref="A654"/>
    <hyperlink r:id="rId648" location="gid=1340171929&amp;range=A427" ref="A655"/>
    <hyperlink r:id="rId649" location="gid=1340171929&amp;range=A428" ref="A656"/>
    <hyperlink r:id="rId650" location="gid=1340171929&amp;range=A429" ref="A657"/>
    <hyperlink r:id="rId651" location="gid=1340171929&amp;range=A430" ref="A658"/>
    <hyperlink r:id="rId652" location="gid=1340171929&amp;range=A431" ref="A659"/>
    <hyperlink r:id="rId653" location="gid=1340171929&amp;range=A432" ref="A660"/>
    <hyperlink r:id="rId654" location="gid=1340171929&amp;range=A434" ref="A661"/>
    <hyperlink r:id="rId655" location="gid=1340171929&amp;range=A435" ref="A662"/>
    <hyperlink r:id="rId656" location="gid=1340171929&amp;range=A436" ref="A663"/>
    <hyperlink r:id="rId657" location="gid=1340171929&amp;range=A437" ref="A664"/>
    <hyperlink r:id="rId658" location="gid=1340171929&amp;range=A438" ref="A665"/>
    <hyperlink r:id="rId659" location="gid=1340171929&amp;range=A439" ref="A666"/>
    <hyperlink r:id="rId660" location="gid=1340171929&amp;range=A440" ref="A667"/>
    <hyperlink r:id="rId661" location="gid=1340171929&amp;range=A441" ref="A668"/>
    <hyperlink r:id="rId662" location="gid=1340171929&amp;range=A442" ref="A669"/>
    <hyperlink r:id="rId663" location="gid=1340171929&amp;range=A444" ref="A670"/>
    <hyperlink r:id="rId664" location="gid=1340171929&amp;range=A446" ref="A671"/>
    <hyperlink r:id="rId665" location="gid=1340171929&amp;range=A447" ref="A672"/>
    <hyperlink r:id="rId666" location="gid=1340171929&amp;range=A448" ref="A673"/>
    <hyperlink r:id="rId667" location="gid=1340171929&amp;range=A449" ref="A674"/>
    <hyperlink r:id="rId668" location="gid=1340171929&amp;range=A450" ref="A675"/>
    <hyperlink r:id="rId669" location="gid=1340171929&amp;range=A452" ref="A676"/>
    <hyperlink r:id="rId670" location="gid=1340171929&amp;range=A453" ref="A677"/>
    <hyperlink r:id="rId671" location="gid=1340171929&amp;range=A454" ref="A678"/>
    <hyperlink r:id="rId672" location="gid=1340171929&amp;range=A456" ref="A679"/>
    <hyperlink r:id="rId673" location="gid=1340171929&amp;range=A457" ref="A680"/>
    <hyperlink r:id="rId674" location="gid=1340171929&amp;range=A458" ref="A681"/>
    <hyperlink r:id="rId675" location="gid=1340171929&amp;range=A460" ref="A682"/>
    <hyperlink r:id="rId676" location="gid=1340171929&amp;range=A461" ref="A683"/>
    <hyperlink r:id="rId677" location="gid=1340171929&amp;range=A462" ref="A684"/>
    <hyperlink r:id="rId678" location="gid=1340171929&amp;range=A464" ref="A685"/>
    <hyperlink r:id="rId679" location="gid=1340171929&amp;range=A466" ref="A686"/>
    <hyperlink r:id="rId680" location="gid=1340171929&amp;range=A467" ref="A687"/>
    <hyperlink r:id="rId681" location="gid=1340171929&amp;range=A468" ref="A688"/>
    <hyperlink r:id="rId682" location="gid=1340171929&amp;range=A469" ref="A689"/>
    <hyperlink r:id="rId683" location="gid=1340171929&amp;range=A471" ref="A690"/>
    <hyperlink r:id="rId684" location="gid=1340171929&amp;range=A473" ref="A691"/>
    <hyperlink r:id="rId685" location="gid=1340171929&amp;range=A474" ref="A692"/>
    <hyperlink r:id="rId686" location="gid=1340171929&amp;range=A476" ref="A693"/>
    <hyperlink r:id="rId687" location="gid=1340171929&amp;range=A477" ref="A694"/>
    <hyperlink r:id="rId688" location="gid=1340171929&amp;range=A478" ref="A695"/>
    <hyperlink r:id="rId689" location="gid=1340171929&amp;range=A479" ref="A696"/>
    <hyperlink r:id="rId690" location="gid=1340171929&amp;range=A480" ref="A697"/>
    <hyperlink r:id="rId691" location="gid=1340171929&amp;range=A482" ref="A698"/>
    <hyperlink r:id="rId692" location="gid=1340171929&amp;range=A483" ref="A699"/>
    <hyperlink r:id="rId693" location="gid=1340171929&amp;range=A484" ref="A700"/>
    <hyperlink r:id="rId694" location="gid=1340171929&amp;range=A485" ref="A701"/>
    <hyperlink r:id="rId695" location="gid=1340171929&amp;range=A486" ref="A702"/>
    <hyperlink r:id="rId696" location="gid=1340171929&amp;range=A487" ref="A703"/>
    <hyperlink r:id="rId697" location="gid=1340171929&amp;range=A488" ref="A704"/>
    <hyperlink r:id="rId698" location="gid=1340171929&amp;range=A489" ref="A705"/>
    <hyperlink r:id="rId699" location="gid=1340171929&amp;range=A490" ref="A706"/>
    <hyperlink r:id="rId700" location="gid=1340171929&amp;range=A491" ref="A707"/>
    <hyperlink r:id="rId701" location="gid=1340171929&amp;range=A492" ref="A708"/>
    <hyperlink r:id="rId702" location="gid=1340171929&amp;range=A493" ref="A709"/>
    <hyperlink r:id="rId703" location="gid=1340171929&amp;range=A494" ref="A710"/>
    <hyperlink r:id="rId704" location="gid=1340171929&amp;range=A495" ref="A711"/>
    <hyperlink r:id="rId705" location="gid=1340171929&amp;range=A496" ref="A712"/>
    <hyperlink r:id="rId706" location="gid=1340171929&amp;range=A499" ref="A713"/>
    <hyperlink r:id="rId707" location="gid=1340171929&amp;range=A500" ref="A714"/>
    <hyperlink r:id="rId708" location="gid=1340171929&amp;range=A501" ref="A715"/>
    <hyperlink r:id="rId709" location="gid=1340171929&amp;range=A502" ref="A716"/>
    <hyperlink r:id="rId710" location="gid=1340171929&amp;range=A503" ref="A717"/>
    <hyperlink r:id="rId711" location="gid=1340171929&amp;range=A504" ref="A718"/>
    <hyperlink r:id="rId712" location="gid=1340171929&amp;range=A505" ref="A719"/>
    <hyperlink r:id="rId713" location="gid=1340171929&amp;range=A506" ref="A720"/>
    <hyperlink r:id="rId714" location="gid=1340171929&amp;range=A507" ref="A721"/>
    <hyperlink r:id="rId715" location="gid=1340171929&amp;range=A508" ref="A722"/>
    <hyperlink r:id="rId716" location="gid=1340171929&amp;range=A509" ref="A723"/>
    <hyperlink r:id="rId717" location="gid=0&amp;range=A18" ref="A725"/>
    <hyperlink r:id="rId718" location="gid=0&amp;range=A20" ref="A726"/>
    <hyperlink r:id="rId719" location="gid=0&amp;range=A24" ref="A727"/>
    <hyperlink r:id="rId720" location="gid=0&amp;range=A26" ref="A728"/>
    <hyperlink r:id="rId721" location="gid=0&amp;range=A27" ref="A729"/>
    <hyperlink r:id="rId722" location="gid=0&amp;range=A30" ref="A730"/>
    <hyperlink r:id="rId723" location="gid=0&amp;range=A33" ref="A731"/>
    <hyperlink r:id="rId724" location="gid=0&amp;range=A35" ref="A732"/>
    <hyperlink r:id="rId725" location="gid=0&amp;range=A36" ref="A733"/>
    <hyperlink r:id="rId726" location="gid=0&amp;range=A40" ref="A734"/>
    <hyperlink r:id="rId727" location="gid=0&amp;range=A45" ref="A735"/>
    <hyperlink r:id="rId728" location="gid=0&amp;range=A47" ref="A736"/>
    <hyperlink r:id="rId729" location="gid=0&amp;range=A49" ref="A737"/>
    <hyperlink r:id="rId730" location="gid=0&amp;range=A50" ref="A738"/>
    <hyperlink r:id="rId731" location="gid=0&amp;range=A51" ref="A739"/>
    <hyperlink r:id="rId732" location="gid=0&amp;range=A53" ref="A740"/>
    <hyperlink r:id="rId733" location="gid=0&amp;range=A54" ref="A741"/>
    <hyperlink r:id="rId734" location="gid=0&amp;range=A55" ref="A742"/>
    <hyperlink r:id="rId735" location="gid=0&amp;range=A57" ref="A743"/>
    <hyperlink r:id="rId736" location="gid=0&amp;range=A59" ref="A744"/>
    <hyperlink r:id="rId737" location="gid=0&amp;range=A61" ref="A745"/>
    <hyperlink r:id="rId738" location="gid=0&amp;range=A62" ref="A746"/>
    <hyperlink r:id="rId739" location="gid=0&amp;range=A63" ref="A747"/>
    <hyperlink r:id="rId740" location="gid=0&amp;range=A64" ref="A748"/>
    <hyperlink r:id="rId741" location="gid=0&amp;range=A65" ref="A749"/>
    <hyperlink r:id="rId742" location="gid=0&amp;range=A66" ref="A750"/>
    <hyperlink r:id="rId743" location="gid=0&amp;range=A70" ref="A751"/>
    <hyperlink r:id="rId744" location="gid=0&amp;range=A72" ref="A752"/>
    <hyperlink r:id="rId745" location="gid=0&amp;range=A74" ref="A753"/>
    <hyperlink r:id="rId746" location="gid=0&amp;range=A75" ref="A754"/>
    <hyperlink r:id="rId747" location="gid=0&amp;range=A77" ref="A755"/>
    <hyperlink r:id="rId748" location="gid=0&amp;range=A79" ref="A756"/>
    <hyperlink r:id="rId749" location="gid=0&amp;range=A81" ref="A757"/>
    <hyperlink r:id="rId750" location="gid=0&amp;range=A83" ref="A758"/>
    <hyperlink r:id="rId751" location="gid=0&amp;range=A85" ref="A759"/>
    <hyperlink r:id="rId752" location="gid=0&amp;range=A86" ref="A760"/>
    <hyperlink r:id="rId753" location="gid=0&amp;range=A87" ref="A761"/>
    <hyperlink r:id="rId754" location="gid=0&amp;range=A88" ref="A762"/>
    <hyperlink r:id="rId755" location="gid=0&amp;range=A89" ref="A763"/>
    <hyperlink r:id="rId756" location="gid=0&amp;range=A90" ref="A764"/>
    <hyperlink r:id="rId757" location="gid=0&amp;range=A92" ref="A765"/>
    <hyperlink r:id="rId758" location="gid=0&amp;range=A11" ref="A767"/>
    <hyperlink r:id="rId759" location="gid=0&amp;range=A13" ref="A768"/>
    <hyperlink r:id="rId760" location="gid=0&amp;range=A15" ref="A769"/>
    <hyperlink r:id="rId761" location="gid=0&amp;range=A17" ref="A770"/>
    <hyperlink r:id="rId762" location="gid=0&amp;range=A21" ref="A771"/>
    <hyperlink r:id="rId763" location="gid=0&amp;range=A22" ref="A772"/>
    <hyperlink r:id="rId764" location="gid=0&amp;range=A23" ref="A773"/>
    <hyperlink r:id="rId765" location="gid=0&amp;range=A25" ref="A774"/>
    <hyperlink r:id="rId766" location="gid=0&amp;range=A26" ref="A775"/>
    <hyperlink r:id="rId767" location="gid=0&amp;range=A28" ref="A776"/>
    <hyperlink r:id="rId768" location="gid=0&amp;range=A30" ref="A777"/>
    <hyperlink r:id="rId769" location="gid=0&amp;range=A31" ref="A778"/>
    <hyperlink r:id="rId770" location="gid=0&amp;range=A32" ref="A779"/>
    <hyperlink r:id="rId771" location="gid=0&amp;range=A33" ref="A780"/>
    <hyperlink r:id="rId772" location="gid=0&amp;range=A22" ref="A783"/>
    <hyperlink r:id="rId773" location="gid=0&amp;range=A24" ref="A784"/>
    <hyperlink r:id="rId774" location="gid=0&amp;range=A26" ref="A785"/>
    <hyperlink r:id="rId775" location="gid=0&amp;range=A28" ref="A786"/>
    <hyperlink r:id="rId776" location="gid=0&amp;range=A31" ref="A787"/>
    <hyperlink r:id="rId777" location="gid=0&amp;range=A32" ref="A788"/>
    <hyperlink r:id="rId778" location="gid=0&amp;range=A35" ref="A789"/>
    <hyperlink r:id="rId779" location="gid=0&amp;range=A37" ref="A790"/>
    <hyperlink r:id="rId780" location="gid=0&amp;range=A40" ref="A791"/>
    <hyperlink r:id="rId781" location="gid=0&amp;range=A42" ref="A792"/>
    <hyperlink r:id="rId782" location="gid=0&amp;range=A43" ref="A793"/>
    <hyperlink r:id="rId783" location="gid=0&amp;range=A46" ref="A794"/>
    <hyperlink r:id="rId784" location="gid=0&amp;range=A48" ref="A795"/>
    <hyperlink r:id="rId785" location="gid=0&amp;range=A49" ref="A796"/>
    <hyperlink r:id="rId786" location="gid=0&amp;range=A51" ref="A797"/>
    <hyperlink r:id="rId787" location="gid=0&amp;range=A52" ref="A798"/>
    <hyperlink r:id="rId788" location="gid=0&amp;range=A53" ref="A799"/>
    <hyperlink r:id="rId789" location="gid=0&amp;range=A56" ref="A800"/>
    <hyperlink r:id="rId790" location="gid=0&amp;range=A57" ref="A801"/>
    <hyperlink r:id="rId791" location="gid=0&amp;range=A23" ref="A803"/>
    <hyperlink r:id="rId792" location="gid=0&amp;range=A24" ref="A804"/>
    <hyperlink r:id="rId793" location="gid=0&amp;range=A26" ref="A805"/>
    <hyperlink r:id="rId794" location="gid=0&amp;range=A30" ref="A806"/>
    <hyperlink r:id="rId795" location="gid=0&amp;range=A33" ref="A807"/>
    <hyperlink r:id="rId796" location="gid=0&amp;range=A34" ref="A808"/>
    <hyperlink r:id="rId797" location="gid=0&amp;range=A35" ref="A809"/>
    <hyperlink r:id="rId798" location="gid=0&amp;range=A37" ref="A810"/>
    <hyperlink r:id="rId799" location="gid=0&amp;range=A38" ref="A811"/>
    <hyperlink r:id="rId800" location="gid=0&amp;range=A39" ref="A812"/>
    <hyperlink r:id="rId801" location="gid=0&amp;range=A40" ref="A813"/>
    <hyperlink r:id="rId802" location="gid=0&amp;range=A41" ref="A814"/>
    <hyperlink r:id="rId803" location="gid=0&amp;range=A42" ref="A815"/>
    <hyperlink r:id="rId804" location="gid=0&amp;range=A44" ref="A816"/>
    <hyperlink r:id="rId805" location="gid=0&amp;range=A47" ref="A817"/>
    <hyperlink r:id="rId806" location="gid=0&amp;range=A49" ref="A818"/>
    <hyperlink r:id="rId807" location="gid=0&amp;range=A52" ref="A819"/>
    <hyperlink r:id="rId808" location="gid=0&amp;range=A55" ref="A820"/>
    <hyperlink r:id="rId809" location="gid=0&amp;range=A56" ref="A821"/>
    <hyperlink r:id="rId810" location="gid=0&amp;range=A57" ref="A822"/>
    <hyperlink r:id="rId811" location="gid=0&amp;range=A58" ref="A823"/>
    <hyperlink r:id="rId812" location="gid=0&amp;range=A60" ref="A824"/>
    <hyperlink r:id="rId813" location="gid=0&amp;range=A62" ref="A825"/>
    <hyperlink r:id="rId814" location="gid=0&amp;range=A63" ref="A826"/>
    <hyperlink r:id="rId815" location="gid=0&amp;range=A67" ref="A827"/>
    <hyperlink r:id="rId816" location="gid=0&amp;range=A68" ref="A828"/>
    <hyperlink r:id="rId817" location="gid=0&amp;range=A69" ref="A829"/>
  </hyperlinks>
  <drawing r:id="rId818"/>
</worksheet>
</file>