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ản lượng ký kết" sheetId="1" r:id="rId4"/>
    <sheet state="visible" name="Tổng hợp Doanh thu" sheetId="2" r:id="rId5"/>
    <sheet state="visible" name="Lợi nhuận gộp quản trị" sheetId="3" r:id="rId6"/>
    <sheet state="visible" name="Lợi nhuận gộp theo DT" sheetId="4" r:id="rId7"/>
    <sheet state="visible" name="Tổng hợp Tiền về" sheetId="5" r:id="rId8"/>
    <sheet state="visible" name="Thống kê danh sách các hợp đồng" sheetId="6" r:id="rId9"/>
  </sheets>
  <definedNames/>
  <calcPr/>
</workbook>
</file>

<file path=xl/sharedStrings.xml><?xml version="1.0" encoding="utf-8"?>
<sst xmlns="http://schemas.openxmlformats.org/spreadsheetml/2006/main" count="2356" uniqueCount="1675">
  <si>
    <t>BẢNG TỔNG HỢP SẢN LƯỢNG KÝ KẾT TỪ 01/01/2023 đến 17/01/2024</t>
  </si>
  <si>
    <t>STT</t>
  </si>
  <si>
    <t>Nội dung</t>
  </si>
  <si>
    <t>Tháng 1</t>
  </si>
  <si>
    <t>Tháng 2</t>
  </si>
  <si>
    <t>Tháng 3</t>
  </si>
  <si>
    <t>Tháng 4</t>
  </si>
  <si>
    <t>Tháng 5</t>
  </si>
  <si>
    <t>Tháng 6</t>
  </si>
  <si>
    <t>Tháng 7</t>
  </si>
  <si>
    <t>Tháng 8</t>
  </si>
  <si>
    <t>Tháng 9</t>
  </si>
  <si>
    <t>Tháng 10</t>
  </si>
  <si>
    <t>Tháng 11</t>
  </si>
  <si>
    <t>Tháng 12</t>
  </si>
  <si>
    <t>Tổng tháng</t>
  </si>
  <si>
    <t>Kế hoạch năm</t>
  </si>
  <si>
    <t>Tỷ lệ % hoàn thành KH</t>
  </si>
  <si>
    <t>I</t>
  </si>
  <si>
    <t>Phần mềm xây dựng</t>
  </si>
  <si>
    <t>II</t>
  </si>
  <si>
    <t>Phần mềm XD Nhập khẩu</t>
  </si>
  <si>
    <t>III</t>
  </si>
  <si>
    <t>VI</t>
  </si>
  <si>
    <t>V</t>
  </si>
  <si>
    <t>VII</t>
  </si>
  <si>
    <t>VIII</t>
  </si>
  <si>
    <t>Tổng chung toàn CT</t>
  </si>
  <si>
    <t>CIC Hà Nội</t>
  </si>
  <si>
    <t>CIC Hồ Chí Minh</t>
  </si>
  <si>
    <t>Toàn công ty 2022</t>
  </si>
  <si>
    <t>So sánh 2023/2022</t>
  </si>
  <si>
    <t>SS cùng kỳ năm ngoái</t>
  </si>
  <si>
    <t>Kế hoạch #</t>
  </si>
  <si>
    <t>BẢNG TỔNG HỢP DOANH THU TỪ 01/01/2023 đến 17/01/2024</t>
  </si>
  <si>
    <t>BẢNG TỔNG HỢP LỢI NHUẬN GỘP QUẢN TRỊ TỪ 01/01/2023 đến 17/01/2024</t>
  </si>
  <si>
    <t xml:space="preserve">Kế hoạch năm </t>
  </si>
  <si>
    <t>BẢNG TỔNG HỢP LỢI NHUẬN GỘP THEO DT TỪ 01/01/2023 đến 17/01/2024</t>
  </si>
  <si>
    <t>BẢNG TỔNG HỢP TIỀN VỀ TỪ 01/01/2023 đến 17/01/2024</t>
  </si>
  <si>
    <t>Số hợp đồng</t>
  </si>
  <si>
    <t>Nội dung hợp đồng</t>
  </si>
  <si>
    <t>Khách hàng</t>
  </si>
  <si>
    <t>Ngày ký</t>
  </si>
  <si>
    <t>Ngày ghi DT</t>
  </si>
  <si>
    <t>Ký kết</t>
  </si>
  <si>
    <t>Doanh thu</t>
  </si>
  <si>
    <t>Lợi nhuận gộp</t>
  </si>
  <si>
    <t>Tiền về</t>
  </si>
  <si>
    <t>Tỷ suất LN/DT</t>
  </si>
  <si>
    <t>Trung tâm Phần mềm Xây dựng</t>
  </si>
  <si>
    <t>VV01</t>
  </si>
  <si>
    <t>SUMAC</t>
  </si>
  <si>
    <t>Anh Viễn (Doanh nghiệp tư nhân Trung Thiện Phát)</t>
  </si>
  <si>
    <t>vv02/2023</t>
  </si>
  <si>
    <t>Công ty CP  Đầu tư Xây dựng và Thương Mại TriviCo Hà Nội</t>
  </si>
  <si>
    <t>vv03/2023</t>
  </si>
  <si>
    <t>Escon 15</t>
  </si>
  <si>
    <t>Công Ty TNHH PCCC Đại Việt</t>
  </si>
  <si>
    <t>vv04/2023</t>
  </si>
  <si>
    <t>Công Ty TNHH MTV Tư Vấn Thiết Kế Xây Dựng CHD</t>
  </si>
  <si>
    <t>vv05/2023</t>
  </si>
  <si>
    <t>Stcad</t>
  </si>
  <si>
    <t>công ty TNHH MTV tư vấn xây dựng Nhân Anh</t>
  </si>
  <si>
    <t>VV06</t>
  </si>
  <si>
    <t>CÔNG TY TNHH TM DV KIM PHÁT METAL COLOR</t>
  </si>
  <si>
    <t>vv07/2023</t>
  </si>
  <si>
    <t>Viện kiến trúc quy hoạch xây dựng Lào Cai</t>
  </si>
  <si>
    <t>VV08</t>
  </si>
  <si>
    <t>CÔNG TY CỔ PHẦN XÂY DỰNG VÀ CÔNG NGHỆ MÔI TRƯỜNG QUỐC TẾ</t>
  </si>
  <si>
    <t>VV09</t>
  </si>
  <si>
    <t>Công ty CPTVXD Hùng Mạnh</t>
  </si>
  <si>
    <t>VV10</t>
  </si>
  <si>
    <t>Lương Lê Long</t>
  </si>
  <si>
    <t>vv12/2023</t>
  </si>
  <si>
    <t>Cổ phần đầu tư xây dựng và thương mại Trivico Hà Nội</t>
  </si>
  <si>
    <t>vv13/2023</t>
  </si>
  <si>
    <t>anh Tuán Anh - Giám Định Lào Cai</t>
  </si>
  <si>
    <t>vv14/2023</t>
  </si>
  <si>
    <t>Công ty cổ phần xuất nhập khẩu Hà Anh</t>
  </si>
  <si>
    <t>vv15/2023</t>
  </si>
  <si>
    <t>Công ty TNHH Thiết kế và Xây dựng Q&amp;T Việt Nam</t>
  </si>
  <si>
    <t>VV16</t>
  </si>
  <si>
    <t>CÔNG TY TNHH MTV DỊCH VỤ THƯƠNG MẠI VÀ XÂY LẮP HÙNG DŨNG</t>
  </si>
  <si>
    <t>HĐ01/PMXD2023</t>
  </si>
  <si>
    <t>Lập đơn giá</t>
  </si>
  <si>
    <t>Thực hiện tính toán và công bố chỉ số giá xây dựng tỉnh Thái Nguyên năm 2023</t>
  </si>
  <si>
    <t>vv17/2023</t>
  </si>
  <si>
    <t>Công ty CP Bình Dương</t>
  </si>
  <si>
    <t>vv18/2023</t>
  </si>
  <si>
    <t>Công Ty Cổ Phần Xây Dựng Và Dịch Vụ Nông Nghiệp Việt</t>
  </si>
  <si>
    <t>vv19/2023</t>
  </si>
  <si>
    <t>Công ty TNHH Cơ Điện &amp; PCCC Tùng Bách</t>
  </si>
  <si>
    <t>vv20/2023</t>
  </si>
  <si>
    <t>Công ty TNHH MTV Nam Đồng</t>
  </si>
  <si>
    <t>HĐ02/PMXD2023</t>
  </si>
  <si>
    <t>Công An tỉnh Đắk Nông</t>
  </si>
  <si>
    <t>vv21/2023</t>
  </si>
  <si>
    <t>Công ty TNHH thiết kế kiến trúc và xây dựng P.L.A Việt Nam</t>
  </si>
  <si>
    <t>HĐ03/PMXD-CIC</t>
  </si>
  <si>
    <t>HỢP ĐỒNG TƯ VẤN LẬP BẢNG ĐƠN GIÁ NHÀ CỬA, VẬT KIẾN TRÚC VÀ NỘI THẤT TRÊN ĐỊA BÀN TỈNH NINH BÌNH</t>
  </si>
  <si>
    <t>Số :04HĐ/ SXD-CIC</t>
  </si>
  <si>
    <t>Tư vấn lập chỉ số giá xây dựng năm 2023
 trên địa bàn tỉnh Bắc Kạn</t>
  </si>
  <si>
    <t>vv22/2023</t>
  </si>
  <si>
    <t>Công ty TNHH MTV Hoàng Sang Kon tum</t>
  </si>
  <si>
    <t>vv23/2023</t>
  </si>
  <si>
    <t>Công ty TNHH Phát triển Hoàng Phát</t>
  </si>
  <si>
    <t>Số :05HĐ/ SXD-CIC</t>
  </si>
  <si>
    <t>Tư vấn lập bộ đơn giá xây dựng công trình trên địa bàn tỉnh Hưng Yên</t>
  </si>
  <si>
    <t>Số :09/HĐTV</t>
  </si>
  <si>
    <t>Tư vấn Xác định giá ca máy và thiết bị thi công xây dựng trên địa bàn tỉnh Thái Nguyên năm 2023</t>
  </si>
  <si>
    <t>Số : 07/PMXD-CIC</t>
  </si>
  <si>
    <t>Tư vấn lập chỉ số giá xây dựng năm 2023 trên địa bàn tỉnh Ninh Bình (ký tháng 2)</t>
  </si>
  <si>
    <t>vv24/2023</t>
  </si>
  <si>
    <t>MCW</t>
  </si>
  <si>
    <t>Công Ty TNHH Tư Vấn-Xây Dựng Việt Kiến Tường</t>
  </si>
  <si>
    <t>Vinasas</t>
  </si>
  <si>
    <t>vv26/2023</t>
  </si>
  <si>
    <t>CÔNG TY TNHH XÂY DỰNG ĐẠI HÙNG LONG</t>
  </si>
  <si>
    <t>vv27/2023</t>
  </si>
  <si>
    <t>Công ty TNHH tư vấn và xây dựng Đại Nguyễn</t>
  </si>
  <si>
    <t>vv28/2023</t>
  </si>
  <si>
    <t>MDW</t>
  </si>
  <si>
    <t>Công ty TNHH MTV tư vấn Xây dựng Giao thông Lào Cai</t>
  </si>
  <si>
    <t>vv29/2023</t>
  </si>
  <si>
    <t>Nguyễn Công Khanh - Công ty Quảng Lợi</t>
  </si>
  <si>
    <t>vv30/2023</t>
  </si>
  <si>
    <t>Chi Nhánh Công Trình Viettel Lào Cai - Tổng Công Ty Cổ Phần Công Trình Viettel</t>
  </si>
  <si>
    <t>vv31/2023</t>
  </si>
  <si>
    <t>Trần Huy Quang</t>
  </si>
  <si>
    <t>vv32/2023</t>
  </si>
  <si>
    <t>công ty cổ phần giám định năng lượng Việt Nam- chi nhánh miền Bắc</t>
  </si>
  <si>
    <t>vv33/2023</t>
  </si>
  <si>
    <t>Công ty cổ phần Lũng Lô 3</t>
  </si>
  <si>
    <t>vv34/2023</t>
  </si>
  <si>
    <t>CÔNG TY CỔ PHẦN TƯ VẤN XÂY DỰNG TỔNG HỢP</t>
  </si>
  <si>
    <t>vv35/2023</t>
  </si>
  <si>
    <t>Công ty cổ phần kiến trúc và xây dựng ASECON Việt Nam</t>
  </si>
  <si>
    <t>vv36/2023</t>
  </si>
  <si>
    <t>Công ty TNHH Đầu Tư Xây Dựng Quang Sáng</t>
  </si>
  <si>
    <t>vv37/2023</t>
  </si>
  <si>
    <t>Trần Đình Chẩm</t>
  </si>
  <si>
    <t>vv38/2023</t>
  </si>
  <si>
    <t>Công ty cổ phần xây lắp công nghiệp hà nội</t>
  </si>
  <si>
    <t>vv39/2023</t>
  </si>
  <si>
    <t>Công ty TNHH MTV Thiên Quốc Kon Tum</t>
  </si>
  <si>
    <t>vv40/2023</t>
  </si>
  <si>
    <t>Cöng ty TMM MTV Tuvin thiét ké xåy dung Thién Tin</t>
  </si>
  <si>
    <t>vv41/2023</t>
  </si>
  <si>
    <t>Lâm Tuấn Thọ</t>
  </si>
  <si>
    <t>Số: 08/SXDNB-CIC</t>
  </si>
  <si>
    <t>Tư vấn lập đơn giá nhân công xây dựng, Bảng giá ca máy và thiết bị thi công trên địa bàn tỉnh Ninh Bình</t>
  </si>
  <si>
    <t>vv42/2023</t>
  </si>
  <si>
    <t>Nguyễn Tâm Thanh (Huế)</t>
  </si>
  <si>
    <t>Số: 09/SXDNB-CIC</t>
  </si>
  <si>
    <t>Tư vấn lập các Bộ đơn giá xây dựng công trình, Bộ đơn giá dịch vụ công ích - Duy trì hệ thống thoát nước đô thị trên địa bàn tỉnh Ninh Bình</t>
  </si>
  <si>
    <t>vv43</t>
  </si>
  <si>
    <t>Công ty TNHH xây dựng và thiết kế ACCW Việt Nam</t>
  </si>
  <si>
    <t>vv44/2023</t>
  </si>
  <si>
    <t>Công ty TNHH MTV xây dựng Xuân Trung Việt</t>
  </si>
  <si>
    <t>vv45/2023</t>
  </si>
  <si>
    <t>Tùng An Lão Hải phòng</t>
  </si>
  <si>
    <t>vv46</t>
  </si>
  <si>
    <t>Nguyễn Hoàng Vũ</t>
  </si>
  <si>
    <t>vv47/2023</t>
  </si>
  <si>
    <t>Giám định năng lượng miền bắc</t>
  </si>
  <si>
    <t>vv48/2023</t>
  </si>
  <si>
    <t>Công Ty TNHH Nam An Kon Tum</t>
  </si>
  <si>
    <t>VV49</t>
  </si>
  <si>
    <t>Công ty TNHH trung lương Việt Nam</t>
  </si>
  <si>
    <t>vv50/2023</t>
  </si>
  <si>
    <t>Công ty dịch vụ điện lực Miền Bắc</t>
  </si>
  <si>
    <t>vv51/2023, HĐ10/PMXD2023</t>
  </si>
  <si>
    <t>Ban Quan lý khu kinh tế tỉnh Lào Cai</t>
  </si>
  <si>
    <t>vv52/2023</t>
  </si>
  <si>
    <t>Công ty CP phát triển ACI VIệt Nam</t>
  </si>
  <si>
    <t>HD11/PMXD2023</t>
  </si>
  <si>
    <t>Ban QLDA Đầu Tư Xây Dựng Tỉnh Lào Cai</t>
  </si>
  <si>
    <t>vv53/2023</t>
  </si>
  <si>
    <t>Trịnh Thanh Tùng - Trung tâm TVGS Lào Cai</t>
  </si>
  <si>
    <t>vv54/2023</t>
  </si>
  <si>
    <t>Trần Tuyến</t>
  </si>
  <si>
    <t>VV55</t>
  </si>
  <si>
    <t>Nguyễn Hữu Quý</t>
  </si>
  <si>
    <t>vv56/2020</t>
  </si>
  <si>
    <t>Chi Nhánh Miền Trung/ Tổng Công ty XD trường Sơn</t>
  </si>
  <si>
    <t>VV57</t>
  </si>
  <si>
    <t>Nguyễn Công Nhàn</t>
  </si>
  <si>
    <t>vv58/2023</t>
  </si>
  <si>
    <t>Công Ty TNHH Thương mại - Xây  Dựng - Cơ Điện Thủy Tiến</t>
  </si>
  <si>
    <t>VV59</t>
  </si>
  <si>
    <t>tổng công ty xây dựng Trường Sơn</t>
  </si>
  <si>
    <t>vv60/2020</t>
  </si>
  <si>
    <t>vv61</t>
  </si>
  <si>
    <t>Công ty cổ phần du lịch cao nguyên Liliang</t>
  </si>
  <si>
    <t>VV62</t>
  </si>
  <si>
    <t>Cty TNHH Đầu tư Bếp Xanh Việt Nam</t>
  </si>
  <si>
    <t>vv63/2023</t>
  </si>
  <si>
    <t>Lợi - Quảng Bình</t>
  </si>
  <si>
    <t>VV64</t>
  </si>
  <si>
    <t>CÔNG TY CỔ PHẦN PHÁT TRIỂN CÔNG NGHỆ VÀ GIẢI PHÁP H2T</t>
  </si>
  <si>
    <t>vv65/2023</t>
  </si>
  <si>
    <t>KIW</t>
  </si>
  <si>
    <t>Công ty cổ phần tư vấn và xây dựng Khang An</t>
  </si>
  <si>
    <t>vv66/2023</t>
  </si>
  <si>
    <t>Công ty TNHH Bảo Hưng Tuyên Quang (nâng cấp Vinasas, StCAD, MDW lên vĩnh viễn)</t>
  </si>
  <si>
    <t>Chi nhánh - Phần mềm trong nước</t>
  </si>
  <si>
    <t>08/CICHCM2023</t>
  </si>
  <si>
    <t>ESCON V20 -Vĩnh Viễn</t>
  </si>
  <si>
    <t>SỞ XÂY DỰNG BẠC LIÊU</t>
  </si>
  <si>
    <t>VV01/T02/CICHCM2023</t>
  </si>
  <si>
    <t>SUMAC - 12 Thánhg</t>
  </si>
  <si>
    <t>CÔNG TY TNHH TƯ VẤN &amp; XÂY DỰNG TỔNG HỢP PHÚ THỊNH</t>
  </si>
  <si>
    <t>VV01/T03/CICHCM2023</t>
  </si>
  <si>
    <t>CÔNG TY TNHH TƯ VẤN ĐẦU TƯ XÂY DỰNG CÔNG TIẾN PHÁT</t>
  </si>
  <si>
    <t>VV02/T03/CICHCM2023</t>
  </si>
  <si>
    <t>CÔNG TY TNHH KBEC VINA</t>
  </si>
  <si>
    <t>VV03/T03/CICHCM2023</t>
  </si>
  <si>
    <t>ESCON V20 - 12 Tháng</t>
  </si>
  <si>
    <t>CÔNG TY TNHH TƯ VẤN THIẾT KẾ ĐẦU TƯ VÀ XÂY DỰNG PHƯƠNG ĐẠI NAM</t>
  </si>
  <si>
    <t>VV04/T03/CICHCM2023</t>
  </si>
  <si>
    <t>ESCON V20 - 300 Công Tác</t>
  </si>
  <si>
    <t>CÔNG TY TNHH MTV TM &amp; DV KỸ THUẬT DAHUKA</t>
  </si>
  <si>
    <t>VV05/T03/CICHCM2023</t>
  </si>
  <si>
    <t>ESCON V20 - OLI</t>
  </si>
  <si>
    <t>PHÙNG GIA KHÁNH</t>
  </si>
  <si>
    <t>VV01/T04/CICHCM2023</t>
  </si>
  <si>
    <t>NC ESCON V16 - 12 Tháng</t>
  </si>
  <si>
    <t>TRƯƠNG GIA THUẬN</t>
  </si>
  <si>
    <t>VV02/T04/CICHCM2023</t>
  </si>
  <si>
    <t>SUMAC - Vĩnh Viễn</t>
  </si>
  <si>
    <t>CÔNG TY TNHH HỢP NHẤT BÁCH VIỆT</t>
  </si>
  <si>
    <t>VV01/T05/CICHCM2023</t>
  </si>
  <si>
    <t>NC ESCON V20 - 12 Tháng</t>
  </si>
  <si>
    <t>CÔNG TY TNHH MỘT THÀNH VIÊN THƯƠNG MẠI XÂY DỰNG THUẬN HƯNG</t>
  </si>
  <si>
    <t>VV02/T05/CICHCM2023</t>
  </si>
  <si>
    <t>TRẦN HOÀNG THẠCH</t>
  </si>
  <si>
    <t>VV03/T05/CICHCM2023</t>
  </si>
  <si>
    <t>Nâng cấp SUMAC - 12 Tháng</t>
  </si>
  <si>
    <t>TRỊNH XUÂN BẮC</t>
  </si>
  <si>
    <t>VV04/T05/CICHCM2023</t>
  </si>
  <si>
    <t>NGUYỄN VĂN THÀNH</t>
  </si>
  <si>
    <t>VV05/T05/CICHCM2023</t>
  </si>
  <si>
    <t>TRẦN THANH TÙNG</t>
  </si>
  <si>
    <t>VV01/T06/CICHCM2023</t>
  </si>
  <si>
    <t>CÔNG TY CỔ PHẦN CÔNG NGHỆ &amp; TRUYỀN THÔNG VIỆT NAM</t>
  </si>
  <si>
    <t>VV01/T07/CICHCM2023</t>
  </si>
  <si>
    <t>CÔNG TY TNHH MỘT THÀNH VIÊN XUÂN PHONG</t>
  </si>
  <si>
    <t>VV02/T07/CICHCM2023</t>
  </si>
  <si>
    <t>NC SUMAC - 12 Thánhg</t>
  </si>
  <si>
    <t>CÔNG TY CỔ PHẦN GIÁM ĐỊNH NĂNG LƯỢNG VIỆT NAM - CHI NHÁNH TÂY NAM BỘ</t>
  </si>
  <si>
    <t>VV03/T07/CICHCM2023</t>
  </si>
  <si>
    <t>CHI NHÁNH CÔNG TY CỔ PHẦN THIẾT KẾ CÔNG NGHIỆP HÓA CHẤT</t>
  </si>
  <si>
    <t>VV04/T07/CICHCM2023</t>
  </si>
  <si>
    <t>ESCON V20 -  Vĩnh Viễn</t>
  </si>
  <si>
    <t>CÔNG TY CỔ PHẦN PHÁT TRIỂN HẠ TẦNG KỸ THUẬT</t>
  </si>
  <si>
    <t>VV05/T07/CICHCM2023</t>
  </si>
  <si>
    <t>CÔNG TY CỔ PHẦN GIÁM ĐỊNH NĂNG LƯỢNG VIỆT NAM</t>
  </si>
  <si>
    <t>VV01/T08/CICHCM2023</t>
  </si>
  <si>
    <t>ESCON V20 -  12 tháng</t>
  </si>
  <si>
    <t>CÔNG TY TNHH XÂY DỰNG HỒNG ĐỨC</t>
  </si>
  <si>
    <t>VV02/T08/CICHCM2023</t>
  </si>
  <si>
    <t>ESCON 300 Công tác -  24 tháng</t>
  </si>
  <si>
    <t>CÔNG TY TNHH MỘT THÀNH VIÊN ĐO ĐẠC TẤN LỘC THÀNH</t>
  </si>
  <si>
    <t>VV03/T08/CICHCM2023</t>
  </si>
  <si>
    <t>ĐẶNG QUỐC SÁNG</t>
  </si>
  <si>
    <t>148/CICHCM2023</t>
  </si>
  <si>
    <t>VINASAS - Vĩnh viễn</t>
  </si>
  <si>
    <t>CÔNG TY CP TƯ VẤN THIẾT KẾ - XÂY DỰNG HƯNG LONG</t>
  </si>
  <si>
    <t>VV01/T10/CICHCM2023</t>
  </si>
  <si>
    <t>CÔNG TY CỔ PHẦN CẤP NƯỚC TUYỀN LÂM</t>
  </si>
  <si>
    <t>VV01/T11/CICHCM2023</t>
  </si>
  <si>
    <t>CÔNG TY TNHH THƯƠNG MẠI VÀ XÂY DỰNG HƯƠNG LOAN</t>
  </si>
  <si>
    <t>VV02/T11/CICHCM2023</t>
  </si>
  <si>
    <t>NC ESCON V20 -  24 tháng</t>
  </si>
  <si>
    <t>NGUYỄN MINH HẢI</t>
  </si>
  <si>
    <t>172/CICHCM2023</t>
  </si>
  <si>
    <t>VINASAS</t>
  </si>
  <si>
    <t>CÔNG TY CỔ PHẦN TƯ VẤN VÀ XÂY DỰNG TRUNG NAM</t>
  </si>
  <si>
    <t>VV03/T11/CICHCM2023</t>
  </si>
  <si>
    <t>LÊ VĂN DŨNG</t>
  </si>
  <si>
    <t>VV01/T12/CICHCM2023</t>
  </si>
  <si>
    <t>ESCON V20 -  24 tháng</t>
  </si>
  <si>
    <t>CÔNG TY TNHH MỘT THÀNH VIÊN THƯƠNG MẠI XÂY DỰNG TƯ VẤN THIẾT KẾ KIẾN TRÚC ĐOÀN LÂM</t>
  </si>
  <si>
    <t>VV02/T12/CICHCM2023</t>
  </si>
  <si>
    <t>VV03/T12/CICHCM2023</t>
  </si>
  <si>
    <t>CÔNG TY TNHH KIẾN TRÚC VÀ XÂY DỰNG CÁT PHÚ</t>
  </si>
  <si>
    <t>DCS - Phân phối PM Xây dựng</t>
  </si>
  <si>
    <t>01/PPXD-CICHĐ2023</t>
  </si>
  <si>
    <t>BIM</t>
  </si>
  <si>
    <t>Công ty TNHH Daewoo Engineering &amp; Construction Việt Nam (Dự án K8CT1)</t>
  </si>
  <si>
    <t>02/PPXD-CICHĐ2023</t>
  </si>
  <si>
    <t>Công ty TNHH Daewoo Engineering &amp; Construction Việt Nam (Dự án K8HH1)</t>
  </si>
  <si>
    <t>03/PPXD-CICHĐ2023</t>
  </si>
  <si>
    <t>CSI</t>
  </si>
  <si>
    <t>CÔNG TY TNHH FUJITA VIỆT NAM</t>
  </si>
  <si>
    <t>06/PPXD-CICHĐ2023</t>
  </si>
  <si>
    <t>CÔNG TY TNHH KỸ THUẬT BỀN VỮNG VIỆT NAM</t>
  </si>
  <si>
    <t>GstarCAD</t>
  </si>
  <si>
    <t>Công ty Cổ phần Thương mại và Phát triển Kỹ thuật cao ViHoth (EU: Messer)</t>
  </si>
  <si>
    <t>Idea-Statica</t>
  </si>
  <si>
    <t>CÔNG TY CỔ PHẦN TƯ VẤN VÀ THIẾT KẾ ICEB SOLUTIONS VIỆT NAM</t>
  </si>
  <si>
    <t>Công ty Cổ phần Thương mại và Phát triển Kỹ thuật cao ViHoth (ZEBRA)</t>
  </si>
  <si>
    <t>04/PPXD-CICHĐ2023</t>
  </si>
  <si>
    <t>Cubicost</t>
  </si>
  <si>
    <t>CÔNG TY CỔ PHẦN LICOGI13 - NỀN MÓNG XÂY DỰNG</t>
  </si>
  <si>
    <t>05/PPXD-CICHĐ2023</t>
  </si>
  <si>
    <t>CSI, enjiCAD, Adobe</t>
  </si>
  <si>
    <t>Công ty TNHH 3Dexperience Việt Nam (EU: Sungroup)</t>
  </si>
  <si>
    <t>07/PPXD-CICHĐ2023</t>
  </si>
  <si>
    <t>enjiCAD</t>
  </si>
  <si>
    <t>CÔNG TY TNHH UESUGI VIỆT NAM</t>
  </si>
  <si>
    <t>08/PPXD-CICHĐ2023</t>
  </si>
  <si>
    <t>Allplan</t>
  </si>
  <si>
    <t>CÔNG TY TNHH GIẢI PHÁP VMT</t>
  </si>
  <si>
    <t>09/PPXD-CICHĐ2023</t>
  </si>
  <si>
    <t>CÔNG TY TNHH HASKONINGDHV VIỆT NAM</t>
  </si>
  <si>
    <t>Microsoft</t>
  </si>
  <si>
    <t>CÔNG TY TNHH TƯ VẤN XÂY DỰNG CƠ ĐIỆN TRƯỜNG NAM HẢI</t>
  </si>
  <si>
    <t>10/PPXD-CICHĐ2023</t>
  </si>
  <si>
    <t>CSI (renew)</t>
  </si>
  <si>
    <t>vv08/2023</t>
  </si>
  <si>
    <t>CÔNG TY TNHH VF&amp;T (EU: Den Nokor)</t>
  </si>
  <si>
    <t>11/PPXD-CICHĐ2023</t>
  </si>
  <si>
    <t>BIMcollab</t>
  </si>
  <si>
    <t>CÔNG TY CỔ PHẦN KIẾN TRÚC VIỆT</t>
  </si>
  <si>
    <t>vv10/2023</t>
  </si>
  <si>
    <t>Công ty Cổ phần Thương mại và Phát triển Kỹ thuật cao ViHoth (Enkei)</t>
  </si>
  <si>
    <t>vv11/2023</t>
  </si>
  <si>
    <t>Công ty Cổ phần Thương mại và Phát triển Kỹ thuật cao ViHoth (SAI GON PRECISION)</t>
  </si>
  <si>
    <t>15/PPXD-CICHĐ2023</t>
  </si>
  <si>
    <t>Idea Statica</t>
  </si>
  <si>
    <t>TỔNG CÔNG TY CỔ PHẦN DỊCH VỤ KỸ THUẬT DẦU KHÍ VIỆT NAM</t>
  </si>
  <si>
    <t>13/PPXD-CICHĐ2023</t>
  </si>
  <si>
    <t>CÔNG TY CỔ PHẦN XÂY DỰNG RECO</t>
  </si>
  <si>
    <t>Công ty TNHH 3Dexperience Việt Nam (EU: Messer)</t>
  </si>
  <si>
    <t>vv16/2023</t>
  </si>
  <si>
    <t>Công ty Cổ phần Thương mại và Phát triển Kỹ thuật cao ViHoth (Messer)</t>
  </si>
  <si>
    <t>17/PPXD-CICHĐ2023</t>
  </si>
  <si>
    <t>Bentley</t>
  </si>
  <si>
    <t>CÔNG TY CỔ PHẦN TƯ VẤN THIẾT KẾ CẢNG – KỸ THUẬT BIỂN (PORTCOAST)</t>
  </si>
  <si>
    <t>Chi nhánh Công ty TNHH Tư vấn kỹ thuật tin học và thương mại Việt C.A.D (EU: Hitachi Astemo)</t>
  </si>
  <si>
    <t>Công ty Cổ phần Thương mại và Phát triển Kỹ thuật cao ViHoth (EU: Hamaden)</t>
  </si>
  <si>
    <t>16/PPXD-CICHĐ2023</t>
  </si>
  <si>
    <t>CAD</t>
  </si>
  <si>
    <t>CÔNG TY TNHH KẾT CẤU XÂY DỰNG VIỆT PHÁP</t>
  </si>
  <si>
    <t>Công ty TNHH Nhà thép tiền chế Zamil Việt Nam</t>
  </si>
  <si>
    <t>20/PPXD-CICHĐ2023</t>
  </si>
  <si>
    <t>CÔNG TY TNHH KUMKANG KIND VIỆT NAM</t>
  </si>
  <si>
    <t>21/PPXD-CICHĐ2023</t>
  </si>
  <si>
    <t>Geo5</t>
  </si>
  <si>
    <t>CÔNG TY CỔ PHẦN TƯ VẤN XÂY DỰNG ĐIỆN 1</t>
  </si>
  <si>
    <t>18/PPXD-CICHĐ2023</t>
  </si>
  <si>
    <t>enjiCAd</t>
  </si>
  <si>
    <t>CÔNG TY TNHH TAMADA VIỆT NAM</t>
  </si>
  <si>
    <t>22/PPXD-CICHĐ2023</t>
  </si>
  <si>
    <t>Autodesk, Rhynoceros</t>
  </si>
  <si>
    <t>TỔNG CÔNG TY TƯ VẤN THIẾT KẾ GIAO THÔNG VẬN TẢI - CTCP</t>
  </si>
  <si>
    <t>23/PPXD-CICHĐ2023</t>
  </si>
  <si>
    <t>Autodesk</t>
  </si>
  <si>
    <t>24/PPXD-CICHĐ2023</t>
  </si>
  <si>
    <t>CÔNG TY TNHH ARTELIA VIỆT NAM</t>
  </si>
  <si>
    <t>Công ty TNHH Thyssenkrupp Industrial Solutions (Việt Nam)</t>
  </si>
  <si>
    <t>25/PPXD-CICHĐ2023</t>
  </si>
  <si>
    <t>CÔNG TY TNHH CTCI VIỆT NAM</t>
  </si>
  <si>
    <t>26/PPXD-CICHĐ2023</t>
  </si>
  <si>
    <t>CÔNG TY CỔ PHẦN TƯ VẤN XÂY DỰNG TÍN AN</t>
  </si>
  <si>
    <t>14/PPXD-CICHĐ2023</t>
  </si>
  <si>
    <t>CÔNG TY TNHH NOVA BUILDINGS VIỆT NAM</t>
  </si>
  <si>
    <t>CÔNG TY CP THIẾT BỊ VÀ PHÁT TRIỂN CÔNG NGHỆ TRỌNG ĐIỂM - FOCUSTECH (EU: FOSTER Bac Ninh)</t>
  </si>
  <si>
    <t>28/PPXD-CICHĐ2023</t>
  </si>
  <si>
    <t>IJCAD</t>
  </si>
  <si>
    <t>CÔNG TY TNHH IMG VIỆT NAM</t>
  </si>
  <si>
    <t>30/PPXD-CICHĐ2023</t>
  </si>
  <si>
    <t>Geo5 &amp; MicroStation</t>
  </si>
  <si>
    <t>29/PPXD-CICHĐ2023</t>
  </si>
  <si>
    <t>CÔNG TY TNHH SHINRYO VIỆT NAM</t>
  </si>
  <si>
    <t>27/PPXD-CICHĐ2023</t>
  </si>
  <si>
    <t>CÔNG TY TNHH FAMIPLUS</t>
  </si>
  <si>
    <t>31/PPXD-CICHĐ2023</t>
  </si>
  <si>
    <t>CÔNG TY CỔ PHẦN TƯ VẤN THIẾT KẾ VÀ DỊCH VỤ ĐẦU TƯ XÂY DỰNG SAO VIỆT (SAVICO)</t>
  </si>
  <si>
    <t>32/PPXD-CICHĐ2023</t>
  </si>
  <si>
    <t>CÔNG TY TNHH DỊCH VỤ QRC</t>
  </si>
  <si>
    <t>Công ty TNHH Giải pháp và Công nghệ ViHoth (EU: Toyota Boshoku HP)</t>
  </si>
  <si>
    <t>12/PPXD-CICHĐ2023</t>
  </si>
  <si>
    <t>CÔNG TY CỔ PHẦN TƯ VẤN XÂY DỰNG CÔNG TRÌNH THỦY (Wacose)</t>
  </si>
  <si>
    <t>Công ty TNHH SD Việt Nam</t>
  </si>
  <si>
    <t>CÔNG TY TNHH THƯƠNG MẠI VÀ DỊCH VỤ TSG (EU: Mr. Nguyen Huy Manh)</t>
  </si>
  <si>
    <t>Công ty TNHH Giải pháp và Công nghệ ViHoth (EU: SUNG JU &amp; WOH HUP)</t>
  </si>
  <si>
    <t>33/PPXD-CICHĐ2023</t>
  </si>
  <si>
    <t>Công ty TNHH Giải pháp và Công nghệ ViHoth (EU: SUNG JU)</t>
  </si>
  <si>
    <t>Công ty TNHH Giải pháp và Công nghệ ViHoth (EU: JK Vietnam)</t>
  </si>
  <si>
    <t>vv43/2023</t>
  </si>
  <si>
    <t>enjiCAD &amp; khác</t>
  </si>
  <si>
    <t>Công ty TNHH Thiết bị hóa chất Nakagawa Việt Nam</t>
  </si>
  <si>
    <t>Công ty TNHH Giải pháp và Công nghệ ViHoth (EU: Messer)</t>
  </si>
  <si>
    <t>vv46/2022</t>
  </si>
  <si>
    <t>Công ty TNHH JGC Việt Nam</t>
  </si>
  <si>
    <t>34/PPXD-CICHĐ2023</t>
  </si>
  <si>
    <t>CFS</t>
  </si>
  <si>
    <t>CÔNG TY TNHH SEMBCORP ENERGY VIETNAM</t>
  </si>
  <si>
    <t>35/PPXD-CICHĐ2023</t>
  </si>
  <si>
    <t>CÔNG TY CP TƯ VẤN ĐẦU TƯ XÂY DỰNG VÀ PHÁT TRIỂN CÔNG NGHỆ (TDIC)</t>
  </si>
  <si>
    <t>36/PPXD-CICHĐ2023</t>
  </si>
  <si>
    <t>Đào tạo CSI</t>
  </si>
  <si>
    <t>CÔNG TY CỔ PHẦN XÂY LẮP HẢI LONG</t>
  </si>
  <si>
    <t>37/PPXD-CICHĐ2023</t>
  </si>
  <si>
    <t>CÔNG TY CỔ PHẦN TỔNG THẦU MÔI TRƯỜNG KING POWER</t>
  </si>
  <si>
    <t>Chi nhánh Công ty TNHH Tư vấn kỹ thuật tin học và thương mại Việt C.A.D (EU: P&amp;T)</t>
  </si>
  <si>
    <t>CSI &amp; Idea</t>
  </si>
  <si>
    <t>38/PPXD-CICHĐ2023</t>
  </si>
  <si>
    <t>Geo-Slope</t>
  </si>
  <si>
    <t>CÔNG TY CỔ PHẦN TƯ VẤN SCI</t>
  </si>
  <si>
    <t>40/PPXD-CICHĐ2023</t>
  </si>
  <si>
    <t>CSI, Autodesk ....</t>
  </si>
  <si>
    <t>CÔNG TY CỔ PHẦN XÂY DỰNG HỢP LỰC</t>
  </si>
  <si>
    <t>Công ty TNHH Giải pháp và Công nghệ ViHoth (EU: Sung Woo)</t>
  </si>
  <si>
    <t>vv51/2023</t>
  </si>
  <si>
    <t>42/PPXD-CICHĐ2023</t>
  </si>
  <si>
    <t>Nhiều phần mềm</t>
  </si>
  <si>
    <t>Công ty Điện lực Bắc Giang - Chi nhánh Tổng Công ty Điện lực Miền Bắc</t>
  </si>
  <si>
    <t>Nâng cấp GstarCAD</t>
  </si>
  <si>
    <t>Công ty TNHH Giải pháp và Công nghệ ViHoth (EU: Nippo Mechatronics)</t>
  </si>
  <si>
    <t>Công ty TNHH Giải pháp và Công nghệ ViHoth (EU: SAI GON PRECISION )</t>
  </si>
  <si>
    <t>Công ty TNHH Giải pháp và Công nghệ ViHoth (EU: AUTOTECH MACHINERY )</t>
  </si>
  <si>
    <t>vv56/2023</t>
  </si>
  <si>
    <t>Công ty TNHH Giải pháp và Công nghệ ViHoth (EU: Tomeco An Khang &amp; WOH HUP)</t>
  </si>
  <si>
    <t>43/PPXD-CICHĐ2023</t>
  </si>
  <si>
    <t>CÔNG TY TNHH VINA ASPIRE (EU: PTSC)</t>
  </si>
  <si>
    <t>vv59/2023</t>
  </si>
  <si>
    <t>CÔNG TY TNHH BẢO TRÌ THÍ NGHIỆM ĐIỆN AN KHANG</t>
  </si>
  <si>
    <t>vv60/2023</t>
  </si>
  <si>
    <t>Công ty TNHH Giải pháp và Công nghệ ViHoth (EU: Sumitomo)</t>
  </si>
  <si>
    <t>44/PPXD-CICHĐ2023</t>
  </si>
  <si>
    <t>Tư vấn BIM</t>
  </si>
  <si>
    <t>Công ty TNHH Phát triển STS Việt Nam (dự án GBC)</t>
  </si>
  <si>
    <t>vv61/2023</t>
  </si>
  <si>
    <t>Công ty TNHH Giải pháp và Công nghệ ViHoth (EU: Utracon)</t>
  </si>
  <si>
    <t>vv62/2023</t>
  </si>
  <si>
    <t>Meinhardt Consultants (Cambodia)</t>
  </si>
  <si>
    <t>CÔNG TY TNHH THIẾT KẾ DSC-MARINE</t>
  </si>
  <si>
    <t>vv64/2023</t>
  </si>
  <si>
    <t>45/PPXD-CICHĐ2023</t>
  </si>
  <si>
    <t>CÔNG TY TNHH NIPPON CONVEYOR VIỆT NAM</t>
  </si>
  <si>
    <t>46/PPXD-CICHĐ2023</t>
  </si>
  <si>
    <t>TỔNG CÔNG TY TƯ VẤN THIẾT KẾ GIAO THÔNG VẬN TẢI - CTCP (Tedi)</t>
  </si>
  <si>
    <t>Bentley &amp; CFS</t>
  </si>
  <si>
    <t>vv67/2023</t>
  </si>
  <si>
    <t>Công ty TNHH Giải pháp và Công nghệ ViHoth (EU: Quang Minh)</t>
  </si>
  <si>
    <t>47/PPXD-CICHĐ2023</t>
  </si>
  <si>
    <t>CÔNG TY CỔ PHẦN VIFATEC QUỐC TẾ</t>
  </si>
  <si>
    <t>vv68/2023</t>
  </si>
  <si>
    <t>KataPro</t>
  </si>
  <si>
    <t>vv69/2023</t>
  </si>
  <si>
    <t>CÔNG TY TNHH TOFFAR</t>
  </si>
  <si>
    <t>41/PPXD-CICHĐ2023</t>
  </si>
  <si>
    <t>Trường Đại học Bách khoa - Đại học Đà Nẵng</t>
  </si>
  <si>
    <t>51/PPXD-CICHĐ2023</t>
  </si>
  <si>
    <t>Đào tạo BIM</t>
  </si>
  <si>
    <t>Ban quản lý dự án đầu tư xây dựng các công trình dân dụng và công nghiệp tỉnh Quảng Ninh</t>
  </si>
  <si>
    <t>48/PPXD-CICHĐ2023</t>
  </si>
  <si>
    <t>CÔNG TY TNHH INROS LACKNER VIỆT NAM (Dự án BVI)</t>
  </si>
  <si>
    <t>50/PPXD-CICHĐ2023</t>
  </si>
  <si>
    <t>CÔNG TY CỔ PHẦN TƯ VẤN XÂY DỰNG THÀNH NAM</t>
  </si>
  <si>
    <t>vv70/2023</t>
  </si>
  <si>
    <t>vv71/2023</t>
  </si>
  <si>
    <t>Prokon</t>
  </si>
  <si>
    <t>CÔNG TY TNHH VF&amp;T (EU: BRG)</t>
  </si>
  <si>
    <t>vv72/2022</t>
  </si>
  <si>
    <t>CÔNG TY TNHH SD VIỆT NAM</t>
  </si>
  <si>
    <t>vv73/2022</t>
  </si>
  <si>
    <t>49/PPXD-CICHĐ2023</t>
  </si>
  <si>
    <t>CÔNG TY CỔ PHẦN TƯ VẤN THIẾT KẾ CẦU LỚN - HẦM (BRITEC)</t>
  </si>
  <si>
    <t>52/PPXD-CICHĐ2023</t>
  </si>
  <si>
    <t>CÔNG TY TNHH THƯƠNG MẠI VÀ DỊCH VỤ KTD (EU: Rorze Robotech)</t>
  </si>
  <si>
    <t>57/PPXD-CICHĐ2023</t>
  </si>
  <si>
    <t>Graitec &amp; Idea-Statica</t>
  </si>
  <si>
    <t>55/PPXD-CICHĐ2023</t>
  </si>
  <si>
    <t>CÔNG TY TNHH BOUVRIE INTERNATIONAL VIỆT NAM</t>
  </si>
  <si>
    <t>56/PPXD-CICHĐ2023</t>
  </si>
  <si>
    <t>vv74/2023</t>
  </si>
  <si>
    <t>Công ty TNHH Giải pháp và Công nghệ ViHoth (EU: Sunmore)</t>
  </si>
  <si>
    <t>vv75/2023</t>
  </si>
  <si>
    <t>CÔNG TY TNHH THYSSENKRUPP INDUSTRIAL SOLUTIONS (VIỆT NAM)</t>
  </si>
  <si>
    <t>vv76/2023</t>
  </si>
  <si>
    <t>Đào tạo enjiCAD</t>
  </si>
  <si>
    <t>53/PPXD-CICHĐ2023</t>
  </si>
  <si>
    <t>CÔNG TY TNHH FRONTIER CONSULTING VIỆT NAM</t>
  </si>
  <si>
    <t>54/PPXD-CICHĐ2023</t>
  </si>
  <si>
    <t>CHI NHÁNH CÔNG TY TNHH FRONTIER CONSULTING VIỆT NAM TẠI HỒ CHÍ MINH</t>
  </si>
  <si>
    <t>59/CICHCM2023</t>
  </si>
  <si>
    <t>CÔNG TY CP XÂY DỰNG &amp; THƯƠNG MẠI TTT (TTT Corporation)</t>
  </si>
  <si>
    <t>58/PPXD-CICHĐ2023</t>
  </si>
  <si>
    <t>CÔNG TY CP TƯ VẤN XÂY DỰNG CÔNG TRÌNH HÀNG HẢI (CMB)</t>
  </si>
  <si>
    <t>vv77/2023</t>
  </si>
  <si>
    <t>Công ty Cổ phần A79</t>
  </si>
  <si>
    <t>vv79/2023</t>
  </si>
  <si>
    <t>64/PPXD-CICHĐ2023</t>
  </si>
  <si>
    <t>CÔNG TY CỔ PHẦN CƠ KHÍ XÂY DỰNG THƯƠNG MẠI NGHĨA PHÁT STEEL</t>
  </si>
  <si>
    <t>67/PPXD-CICHĐ2023</t>
  </si>
  <si>
    <t>CÔNG TY TNHH NEY &amp; PARTNERS VIỆT NAM</t>
  </si>
  <si>
    <t>65A/PPXD-CICHĐ2023</t>
  </si>
  <si>
    <t>CÔNG TY CỔ PHẦN XÂY DỰNG VÀ ĐẦU TƯ VISICONS</t>
  </si>
  <si>
    <t>vv80/2023</t>
  </si>
  <si>
    <t>Công ty TNHH Giải pháp và Công nghệ ViHoth (EU: DAISAN &amp; Messer)</t>
  </si>
  <si>
    <t>65B/PPXD-CICHĐ2023</t>
  </si>
  <si>
    <t>CÔNG TY TNHH VSL VIỆT NAM</t>
  </si>
  <si>
    <t>68/PPXD-CICHĐ2023</t>
  </si>
  <si>
    <t>CÔNG TY CỔ PHẦN THƯƠNG MẠI QUỐC TẾ TÂN ĐẠI TÂY DƯƠNG (EU: Dầu khí Cà Mau)</t>
  </si>
  <si>
    <t>69/PPXD-CICHĐ2023</t>
  </si>
  <si>
    <t>CÔNG TY TNHH BOYDENS VIETNAM PART OF SWECO (BOYDENS)</t>
  </si>
  <si>
    <t>71/PPXD-CICHĐ2023</t>
  </si>
  <si>
    <t>CÔNG TY TNHH TW-ASIA CONSULTANTS</t>
  </si>
  <si>
    <t>70/PPXD-CICHĐ2023</t>
  </si>
  <si>
    <t>PTC</t>
  </si>
  <si>
    <t>Công ty Cổ phần công nghiệp Ô tô -Vinacomin</t>
  </si>
  <si>
    <t>62/PPXD-CICHĐ2023</t>
  </si>
  <si>
    <t>CÔNG TY CP TƯ VẤN VÀ KỸ THUẬT HẠ TẦNG GIAO THÔNG (Ceotic)</t>
  </si>
  <si>
    <t>vv81/2023</t>
  </si>
  <si>
    <t>CMED Construction Co., Ltd</t>
  </si>
  <si>
    <t>63/PPXD-CICHĐ2023</t>
  </si>
  <si>
    <t>CÔNG TY CỔ PHẦN TẬP ĐOÀN T&amp;T</t>
  </si>
  <si>
    <t>vv82/2023</t>
  </si>
  <si>
    <t>Công ty TNHH Giải pháp và Công nghệ ViHoth (EU: Yazaki)</t>
  </si>
  <si>
    <t>vv85/2023</t>
  </si>
  <si>
    <t>Công ty TNHH Giải pháp và Công nghệ ViHoth (EU: AUTOTECH)</t>
  </si>
  <si>
    <t>vv87/2023</t>
  </si>
  <si>
    <t>Công ty TNHH Giải pháp và Công nghệ ViHoth (EU: Hanoi Entertainment )</t>
  </si>
  <si>
    <t>vv88/2023</t>
  </si>
  <si>
    <t>Công ty TNHH Giải pháp và Công nghệ ViHoth (EU: Sung Woo )</t>
  </si>
  <si>
    <t>vv89/2023</t>
  </si>
  <si>
    <t>CSI &amp; Idea Statica</t>
  </si>
  <si>
    <t>vv90/2023</t>
  </si>
  <si>
    <t>Chi nhánh Công ty TNHH Tư vấn kỹ thuật tin học và thương mại Việt C.A.D (OBAYASHI)</t>
  </si>
  <si>
    <t>73/PPXD-CICHĐ2023</t>
  </si>
  <si>
    <t>Ban QLDA đầu tư xây dựng các công trình Nông nghiệp và Phát triển nông thôn (Dự án Nặm La)</t>
  </si>
  <si>
    <t>74/PPXD-CICHĐ2023</t>
  </si>
  <si>
    <t>Công ty TNHH Daewoo Engineering &amp; Construction Việt Nam (Dự án K2CT1)</t>
  </si>
  <si>
    <t>vv92/2023</t>
  </si>
  <si>
    <t>87/PPXD-CICHĐ2023</t>
  </si>
  <si>
    <t>Nhiều PM</t>
  </si>
  <si>
    <t>Công ty thủy điện Bản Vẽ - CN Tổng công ty Phát điện 1</t>
  </si>
  <si>
    <t>vv94/2023</t>
  </si>
  <si>
    <t>Công ty TNHH Giải pháp và Công nghệ ViHoth (EU: DYNAPAC)</t>
  </si>
  <si>
    <t>86/PPXD-CICHĐ2023</t>
  </si>
  <si>
    <t>CÔNG TY CP TƯ VẤN THIẾT KẾ XUÂN MAI</t>
  </si>
  <si>
    <t>vv95/2023</t>
  </si>
  <si>
    <t>Công ty TNHH Giải pháp và Công nghệ ViHoth (EU: Enkei)</t>
  </si>
  <si>
    <t>88/PPXD-CICHĐ2023</t>
  </si>
  <si>
    <t>75/PPXD-CICHĐ2023</t>
  </si>
  <si>
    <t>TỔNG CÔNG TY TƯ VẤN THIẾT KẾ GIAO THÔNG VẬN TẢI - CTCP (TEDI)</t>
  </si>
  <si>
    <t>76/PPXD-CICHĐ2023</t>
  </si>
  <si>
    <t>CÔNG TY CỔ PHẦN TƯ VẤN THIẾT KẾ CẦU LỚN – HẦM (BRITEC)</t>
  </si>
  <si>
    <t>77/PPXD-CICHĐ2023</t>
  </si>
  <si>
    <t>CÔNG TY CỔ PHẦN TƯ VẤN THIẾT KẾ ĐƯỜNG BỘ (HECO)</t>
  </si>
  <si>
    <t>78/PPXD-CICHĐ2023</t>
  </si>
  <si>
    <t>CÔNG TY CỔ PHẦN TVXD CÔNG TRÌNH GIAO THÔNG 2 (TECCO2)</t>
  </si>
  <si>
    <t>79/PPXD-CICHĐ2023</t>
  </si>
  <si>
    <t>CÔNG TY TƯ VẤN CÔNG TRÌNH CHÂU Á THÁI BÌNH DƯƠNG (APECO)</t>
  </si>
  <si>
    <t>80/PPXD-CICHĐ2023</t>
  </si>
  <si>
    <t>CÔNG TY CỔ PHẦN TƯ VẤN THIẾT KẾ CẦU ĐƯỜNG (RECO)</t>
  </si>
  <si>
    <t>81/PPXD-CICHĐ2023</t>
  </si>
  <si>
    <t>CÔNG TY CỔ PHẦN TVXD CÔNG TRÌNH GIAO THÔNG 5 (TECCO5)</t>
  </si>
  <si>
    <t>82/PPXD-CICHĐ2023</t>
  </si>
  <si>
    <t>CÔNG TY CỔ PHẦN TVXD CẢNG – ĐƯỜNG THỦY (TEDI-PORT)</t>
  </si>
  <si>
    <t>83/PPXD-CICHĐ2023</t>
  </si>
  <si>
    <t>CÔNG TY CỔ PHẦN TVTK GIAO THÔNG VẬN TẢI 4 (TEDCO4)</t>
  </si>
  <si>
    <t>84/PPXD-CICHĐ2023</t>
  </si>
  <si>
    <t>CÔNG TY CỔ PHẦN TƯ VẤN THIẾT KẾ XÂY DỰNG GIAO THÔNG THỦY (WECCO)</t>
  </si>
  <si>
    <t>85/PPXD-CICHĐ2023</t>
  </si>
  <si>
    <t>CÔNG TY CỔ PHẦN TVTK KIỂM ĐỊNH VÀ ĐỊA KỸ THUẬT (TEDI-GIC)</t>
  </si>
  <si>
    <t>148-2023/PTSCMC-KH/MDV-V</t>
  </si>
  <si>
    <t>Công ty TNHH MTV Dịch vụ cơ khí Hàng hải PTSC</t>
  </si>
  <si>
    <t>vv97/2023</t>
  </si>
  <si>
    <t>Công ty TNHH Giải pháp và Công nghệ ViHoth (EU: CO TECH VINA)</t>
  </si>
  <si>
    <t>91/PPXD-CICHĐ2023</t>
  </si>
  <si>
    <t>90/PPXD-CICHĐ2023</t>
  </si>
  <si>
    <t>vv98/2023</t>
  </si>
  <si>
    <t>GstarCAD LT</t>
  </si>
  <si>
    <t>Công ty TNHH Giải pháp và Công nghệ ViHoth (EU: Noble)</t>
  </si>
  <si>
    <t>vv99/2023</t>
  </si>
  <si>
    <t>Công ty TNHH VACIF (EU: VFB)</t>
  </si>
  <si>
    <t>93/PPXD-CICHĐ2023</t>
  </si>
  <si>
    <t>CÔNG TY TNHH TƯ VẤN THIẾT KẾ XÂY DỰNG NHẬT MINH</t>
  </si>
  <si>
    <t>vv101/2023</t>
  </si>
  <si>
    <t>CÔNG TY TNHH 3DEXPERIENCE VIỆT NAM (EU: Messer)</t>
  </si>
  <si>
    <t>vv102/2023</t>
  </si>
  <si>
    <t>Công ty TNHH Giải pháp Công nghệ Hoàn Hảo (EU: Jukwang)</t>
  </si>
  <si>
    <t>92/PPXD-CICHĐ2023</t>
  </si>
  <si>
    <t>CÔNG TY TNHH AURECON  VIỆT NAM</t>
  </si>
  <si>
    <t>vv103/2023</t>
  </si>
  <si>
    <t>vv106/2023</t>
  </si>
  <si>
    <t>vv107/2023</t>
  </si>
  <si>
    <t>Công ty TNHH Giải pháp và Công nghệ ViHoth (EU: Yazaki Haiphong - Quang Ninh Branch)</t>
  </si>
  <si>
    <t>vv108/2023</t>
  </si>
  <si>
    <t>vv109/2023</t>
  </si>
  <si>
    <t>vv110/2023</t>
  </si>
  <si>
    <t>AutoCAD</t>
  </si>
  <si>
    <t>vv112/2023</t>
  </si>
  <si>
    <t>94/PPXD-CICHĐ2023</t>
  </si>
  <si>
    <t>CÔNG TY TNHH MAEDA VIỆT NAM</t>
  </si>
  <si>
    <t>95/PPXD-CICHĐ2023</t>
  </si>
  <si>
    <t>CÔNG TY CỔ PHẦN FECON</t>
  </si>
  <si>
    <t>vv114/2023</t>
  </si>
  <si>
    <t>Công ty TNHH Giải pháp và Công nghệ ViHoth (EU: Hamaden)</t>
  </si>
  <si>
    <t>vv115/2023</t>
  </si>
  <si>
    <t>99/PPXD-CICHĐ2023</t>
  </si>
  <si>
    <t>100/PPXD-CICHĐ2023</t>
  </si>
  <si>
    <t>Tổng Công ty Đầu tư Nước và Môi trường Việt Nam - CTCP (Viwaseen)</t>
  </si>
  <si>
    <t>vv116/2023</t>
  </si>
  <si>
    <t>Công ty TNHH Giải pháp và Công nghệ ViHoth (EU: Panasonic Industrial Devices)</t>
  </si>
  <si>
    <t>vv117/2023</t>
  </si>
  <si>
    <t>101/PPXD-CICHĐ2023</t>
  </si>
  <si>
    <t>TỔNG CÔNG TY CP XUẤT NHẬP KHẨU VÀ XÂY DỰNG VIỆT NAM (Vinaconex)</t>
  </si>
  <si>
    <t>102/PPXD-CICHĐ2023</t>
  </si>
  <si>
    <t>vv118/2023</t>
  </si>
  <si>
    <t>Công ty TNHH Giải pháp và Công nghệ ViHoth (EU: LIOHO)</t>
  </si>
  <si>
    <t>vv119/2023</t>
  </si>
  <si>
    <t>vv120/2023</t>
  </si>
  <si>
    <t>FUXIN STEEL BUILDINGS CO., LTD.</t>
  </si>
  <si>
    <t>vv121/2023</t>
  </si>
  <si>
    <t>PT&amp;C ENGINEERING CO., LTD</t>
  </si>
  <si>
    <t>vv122/2023</t>
  </si>
  <si>
    <t>CÔNG TY CỔ PHẦN DỊCH VỤ CÔNG NGHỆ TSC VIỆT NAM (EU: UMC)</t>
  </si>
  <si>
    <t>vv123/2023</t>
  </si>
  <si>
    <t>CÔNG TY TNHH THƯƠNG MẠI VÀ DỊCH VỤ TSG (EU: Fecon)</t>
  </si>
  <si>
    <t>107/PPXD-CICHĐ2023</t>
  </si>
  <si>
    <t>iDEa-Statica</t>
  </si>
  <si>
    <t>CÔNG TY TNHH MT HOJGAARD VIỆT NAM</t>
  </si>
  <si>
    <t>vv126/2023</t>
  </si>
  <si>
    <t>103/PPXD-CICHĐ2023</t>
  </si>
  <si>
    <t>CÔNG TY CỔ PHẦN THIẾT KẾ VÀ XÂY DỰNG GIZA VIỆT NAM</t>
  </si>
  <si>
    <t>108/PPXD-CICHĐ2023</t>
  </si>
  <si>
    <t>BSI</t>
  </si>
  <si>
    <t>Công ty TNHH Nippon Steel Việt Nam</t>
  </si>
  <si>
    <t>vv127/2023</t>
  </si>
  <si>
    <t>106/PPXD-CICHĐ2023</t>
  </si>
  <si>
    <t>Đào tạo Autodesk</t>
  </si>
  <si>
    <t>Công ty Cổ Phần Tư Vấn Trường Sơn</t>
  </si>
  <si>
    <t>vv129/2023</t>
  </si>
  <si>
    <t>Công ty TNHH Giải pháp và Công nghệ ViHoth (EU: CAM CORPORATION)</t>
  </si>
  <si>
    <t>59/PPXD-CICHĐ2023</t>
  </si>
  <si>
    <t>109/PPXD-CICHĐ2023</t>
  </si>
  <si>
    <t>Công ty Thủy điện Sơn La - CN Tập đoàn Điện lực Việt Nam</t>
  </si>
  <si>
    <t>105/PPXD-CICHĐ2023</t>
  </si>
  <si>
    <t>CÔNG TY CỔ PHẦN TƯ VẤN XÂY DỰNG CÔNG TRÌNH 625</t>
  </si>
  <si>
    <t>vv130/2023</t>
  </si>
  <si>
    <t>Công ty TNHH Giải pháp và Công nghệ ViHoth (EU: SIE VINA)</t>
  </si>
  <si>
    <t>vv131/2023</t>
  </si>
  <si>
    <t>Công ty Cổ phần Tư vấn và Đầu tư hạ tầng Việt Nam (VICI)</t>
  </si>
  <si>
    <t>111/PPXD-CICHĐ2023</t>
  </si>
  <si>
    <t>CÔNG TY TNHH HỆ THỐNG TRUYỀN TẢI VÀ PHÂN PHỐI TOSHIBA (VIỆT NAM)</t>
  </si>
  <si>
    <t>112/PPXD-CICHĐ2023</t>
  </si>
  <si>
    <t>CÔNG TY CỔ PHẦN KỸ THUẬT XÂY DỰNG VÀ THƯƠNG MẠI C.E.T</t>
  </si>
  <si>
    <t>113/PPXD-CICHĐ2023</t>
  </si>
  <si>
    <t>CÔNG TY TNHH SHIMIZU VIỆT NAM</t>
  </si>
  <si>
    <t>114/PPXD-CICHĐ2023</t>
  </si>
  <si>
    <t>enjiCAD &amp; Geo5</t>
  </si>
  <si>
    <t>vv132/2023</t>
  </si>
  <si>
    <t>vv134/2023</t>
  </si>
  <si>
    <t>Đào tạo ETABS</t>
  </si>
  <si>
    <t>Nguyễn Văn Lưu</t>
  </si>
  <si>
    <t>vv135/2023</t>
  </si>
  <si>
    <t>Phạm Tiến Cường</t>
  </si>
  <si>
    <t>vv133/2023</t>
  </si>
  <si>
    <t>Công ty TNHH Giải pháp và Công nghệ ViHoth (EU: FORTUNE FURNITURE)</t>
  </si>
  <si>
    <t>116/PPXD-CICHĐ2023</t>
  </si>
  <si>
    <t>Công ty TNHH Quốc tế Vinata</t>
  </si>
  <si>
    <t>119/PPXD-CICHĐ2023</t>
  </si>
  <si>
    <t>PLS</t>
  </si>
  <si>
    <t>CÔNG TY CP CƠ KHÍ ĐIỆN LỮ GIA</t>
  </si>
  <si>
    <t>Hợp đồng 55 - STC</t>
  </si>
  <si>
    <t>Công ty TNHH Dịch vụ giải pháp thiết kế và dữ liệu (EU: Vietsov)</t>
  </si>
  <si>
    <t>118/PPXD-CICHĐ2023</t>
  </si>
  <si>
    <t>Geo-Slope, Plaxis</t>
  </si>
  <si>
    <t>vv136/2023</t>
  </si>
  <si>
    <t>115/PPXD-CICHĐ2023</t>
  </si>
  <si>
    <t>CÔNG TY TNHH VIETBAU</t>
  </si>
  <si>
    <t>vv137/2023</t>
  </si>
  <si>
    <t>Chi nhánh Công ty TNHH Tư vấn kỹ thuật tin học và thương mại Việt C.A.D (EU: OBAYASHI)</t>
  </si>
  <si>
    <t>vv138/2023</t>
  </si>
  <si>
    <t>Foxit</t>
  </si>
  <si>
    <t>vv139/2023</t>
  </si>
  <si>
    <t>PVsyst</t>
  </si>
  <si>
    <t>vv140/2023</t>
  </si>
  <si>
    <t>123/PPXD-CICHĐ2023</t>
  </si>
  <si>
    <t>RIDO</t>
  </si>
  <si>
    <t>vv141/2023</t>
  </si>
  <si>
    <t>122/PPXD-CICHĐ2023</t>
  </si>
  <si>
    <t>CÔNG TY CỔ PHẦN XÂY DỰNG AN PHONG</t>
  </si>
  <si>
    <t>125/PPXD-CICHĐ2023</t>
  </si>
  <si>
    <t>CÔNG TY CỔ PHẦN TNTECH</t>
  </si>
  <si>
    <t>vv142/2023</t>
  </si>
  <si>
    <t>161/CICHCM2023</t>
  </si>
  <si>
    <t>CÔNG TY TNHH XÂY DỰNG CÔNG TRÌNH HÙNG VƯƠNG</t>
  </si>
  <si>
    <t>vv143/2023</t>
  </si>
  <si>
    <t>131/PPXD-CICHĐ2023</t>
  </si>
  <si>
    <t>CÔNG TY CỔ PHẦN XÂY DỰNG PHỤC HƯNG HOLDINGS</t>
  </si>
  <si>
    <t>128/PPXD-CICHĐ2023</t>
  </si>
  <si>
    <t>Công ty Cổ Phần Đầu Tư Thái Bình</t>
  </si>
  <si>
    <t>124/PPXD-CICHĐ2023</t>
  </si>
  <si>
    <t>CÔNG TY TNHH XÂY DỰNG KỸ THUẬT THƯƠNG MẠI VIET CEMA</t>
  </si>
  <si>
    <t>vv144/2023</t>
  </si>
  <si>
    <t>117/PPXD-CICHĐ2023</t>
  </si>
  <si>
    <t>CÔNG TY TNHH VSIP NGHỆ AN</t>
  </si>
  <si>
    <t>132/PPXD-CICHĐ2023</t>
  </si>
  <si>
    <t>CÔNG TY TNHH TƯ VẤN THIẾT KẾ VÀ XÂY DỰNG CMD VIỆT NAM</t>
  </si>
  <si>
    <t>120/PPXD-CICHĐ2023</t>
  </si>
  <si>
    <t>Bentley, CSI</t>
  </si>
  <si>
    <t>vv145/2023</t>
  </si>
  <si>
    <t>Công ty TNHH Gamuda Land Việt Nam</t>
  </si>
  <si>
    <t>126/PPXD-CICHĐ2023</t>
  </si>
  <si>
    <t>CÔNG TY CỔ PHẦN TƯ VẤN THIẾT KẾ DK</t>
  </si>
  <si>
    <t>133/PPXD-CICHĐ2023</t>
  </si>
  <si>
    <t>vv148/2023</t>
  </si>
  <si>
    <t>vv149/2023</t>
  </si>
  <si>
    <t>Công ty TNHH Tư vấn kỹ thuật tin học và thương mại Việt C.A.D (EU: Doosan)</t>
  </si>
  <si>
    <t>vv150/2023</t>
  </si>
  <si>
    <t>vv151/2023</t>
  </si>
  <si>
    <t>135/PPXD-CICHĐ2023</t>
  </si>
  <si>
    <t>CÔNG TY CỔ PHẦN VINHOMES</t>
  </si>
  <si>
    <t>130/PPXD-CICHĐ2023</t>
  </si>
  <si>
    <t>CÔNG TY TNHH TƯ VẤN THIẾT KẾ TWT (VIỆT NAM)</t>
  </si>
  <si>
    <t>137/PPXD-CICHĐ2023</t>
  </si>
  <si>
    <t>Công ty Điện lực Nghệ An – Chi nhánh Tổng công ty Điện lực miền Bắc</t>
  </si>
  <si>
    <t>138/PPXD-CICHĐ2023</t>
  </si>
  <si>
    <t>CÔNG TY TNHH TƯ VẤN QUẢN LÝ DỰ ÁN MẶT TRỜI - SUNPMC</t>
  </si>
  <si>
    <t>139/PPXD-CICHĐ2023</t>
  </si>
  <si>
    <t>136/PPXD-CICHĐ2023</t>
  </si>
  <si>
    <t>TỔNG CÔNG TY ĐẦU TƯ PHÁT TRIỂN HẠ TẦNG ĐÔ THỊ UDIC - CÔNG TY TNHH MỘT THÀNH VIÊN</t>
  </si>
  <si>
    <t>134/PPXD-CICHĐ2023</t>
  </si>
  <si>
    <t>CÔNG TY CỔ PHẦN XÂY DỰNG CÔNG NGHIỆP MEGACON</t>
  </si>
  <si>
    <t>141/PPXD-CICHĐ2023</t>
  </si>
  <si>
    <t>98/PPXD-CICHĐ2023</t>
  </si>
  <si>
    <t>dịch vụ hội thảo</t>
  </si>
  <si>
    <t>Sở xây dựng Hà Tĩnh</t>
  </si>
  <si>
    <t>169/CICHCM2023</t>
  </si>
  <si>
    <t>CÔNG TY CP XÂY DỰNG KHANG HY</t>
  </si>
  <si>
    <t>Chi nhánh - Phần mềm nước ngoài</t>
  </si>
  <si>
    <t>PO01/CICHCM2023</t>
  </si>
  <si>
    <t>Canva Pro 12 Months (01 Bộ)</t>
  </si>
  <si>
    <t>CÔNG TY TNHH WOOWA BROTHERS VIỆT NAM</t>
  </si>
  <si>
    <t>PO02/CICHCM2023</t>
  </si>
  <si>
    <t>Bảo trì phần mềm PLAXIS 2D Ultimate SELECT Subscription (10 February 2023 - 09 February 2024) (01 Bộ)</t>
  </si>
  <si>
    <t>CÔNG TY TNHH ĐẦU TƯ XÂY DỰNG UNICONS</t>
  </si>
  <si>
    <t>03/CICHCM2023</t>
  </si>
  <si>
    <t>GstarCAD Pro (Included subscription initial 1 year) - Standalone license (02 Bộ)</t>
  </si>
  <si>
    <t>CÔNG TY TNHH SIMPSON STRONG-TIE VIỆT NAM</t>
  </si>
  <si>
    <t>01/CICHCM2023</t>
  </si>
  <si>
    <t>ETABS Plus - Standalone license (Activation Key) (01 Bộ), Bảo trì phần mềm ETABS Plus Standalone Maintenance Agreement - 01 year (01 Bộ)</t>
  </si>
  <si>
    <t>TRUNG TÂM GIÁM ĐỊNH CHẤT LƯỢNG XÂY DỰNG</t>
  </si>
  <si>
    <t>02/CICHCM2023</t>
  </si>
  <si>
    <t>Microsoft 365 Business Basic-07 months (20 Bộ)</t>
  </si>
  <si>
    <t>CÔNG TY TNHH MTV GIỐNG GIA CẦM VIETSWAN</t>
  </si>
  <si>
    <t>PO03/CICHCM2023</t>
  </si>
  <si>
    <t>Win Home 11 64Bit Eng Intl 1pk DSP OEI DVD (02 Bộ), Office Home and Business 2021 English APAC EM Medialess (T5D-03510) (02 Bộ)</t>
  </si>
  <si>
    <t>CÔNG TY CP DỊCH VỤ KỸ THUẬT BẢO AN</t>
  </si>
  <si>
    <t>PO04/CICHCM2023</t>
  </si>
  <si>
    <t>Win Home 11 64Bit Eng Intl 1pk DSP OEI DVD (01 Bộ), Office Home and Business 2021 English APAC EM Medialess (T5D-03510) (01 Bộ)</t>
  </si>
  <si>
    <t>04/CICHCM2023</t>
  </si>
  <si>
    <t>Microsoft 365 Business Standard - 12 months (01 Bộ), Windows GGWA - Windows 11 Pro - Legalization Get Genuine (01 Bộ)</t>
  </si>
  <si>
    <t>CÔNG TY TNHH DIGITAL POWER VIETNAM</t>
  </si>
  <si>
    <t>06/CICHCM2023</t>
  </si>
  <si>
    <t>Bảo trì phần mềm PLAXIS 2D Advanced SELECT Subscription (10 March 2023 - 09 March 2024) (01 Bộ)</t>
  </si>
  <si>
    <t>CÔNG TY CỔ PHẦN ĐẦU TƯ XÂY DỰNG NEWTECONS</t>
  </si>
  <si>
    <t>07/CICHCM2023</t>
  </si>
  <si>
    <t>Minitab NAMED User Pricing + Predictive Analytics - sử dụng 1 năm (01 Bộ)</t>
  </si>
  <si>
    <t>PO05/CICHCM2023 (Chuyển HĐ 05/2023 Sang PO 05/2023)</t>
  </si>
  <si>
    <t>enjiCAD Standard - Standalone license (01 Bộ)</t>
  </si>
  <si>
    <t>CÔNG TY TNHH PARKER PROCESSING VIỆT NAM</t>
  </si>
  <si>
    <t>PO06/CICHCM2023</t>
  </si>
  <si>
    <t>PO07/CICHCM2023</t>
  </si>
  <si>
    <t>Enscape Commercial New Floating Annual Subscription (01 Bộ)</t>
  </si>
  <si>
    <t>CÔNG TY TRÁCH NHIỆM HỮU HẠN ONECAD VIET NAM</t>
  </si>
  <si>
    <t>09/CICHCM2023</t>
  </si>
  <si>
    <t>Product Design &amp; Manufacturing Collection Commercial Multi-user Annual Subscription Renewal (to: 25/03/2024) (12 Bộ), Product Design &amp; Manufacturing Collection Commercial Multi-user Annual Subscription Renewal (to: 25/03/2024)  (02 Bộ)</t>
  </si>
  <si>
    <t>PO08/CICHCM2023</t>
  </si>
  <si>
    <t>AutoCAD - including specialized toolsets Commercial Single-user Annual Subscription Renewal (27/2/2023 to 28/2/2023) (05 Bộ)</t>
  </si>
  <si>
    <t>CÔNG TY TNHH KYUNGSHIN VIETNAM</t>
  </si>
  <si>
    <t>10/CICHCM2023</t>
  </si>
  <si>
    <t>enjiCAD Standard - Standalone License (License sử dụng vĩnh viễn) (02 Bộ), Creative Cloud for teams All Apps ALL Multiple (01 Bộ)</t>
  </si>
  <si>
    <t>CÔNG TY CỔ PHẦN NĂNG LƯỢNG TTC</t>
  </si>
  <si>
    <t>11/CICHCM2023</t>
  </si>
  <si>
    <t>Đào tạo phần mềm Windpro</t>
  </si>
  <si>
    <t>CÔNG TY ĐIỆN LỰC TRÁCH NHIỆM HỮU HẠN BOT PHÚ MỸ 3</t>
  </si>
  <si>
    <t>12/CICHCM2023</t>
  </si>
  <si>
    <t>STAAD.Pro Perpetual License (02 Bộ), Bảo trì phần mềm STAAD.Pro SELECT Subscription (End date 30 May 2023) (02 Bộ)</t>
  </si>
  <si>
    <t>CÔNG TY TNHH KIRBY ĐÔNG NAM Á</t>
  </si>
  <si>
    <t>13/CICHCM2023</t>
  </si>
  <si>
    <t>Microsoft 365 Apps for enterprise - 12 months (260 Bộ), SharePoint (Plan 2) - 12 months (03 Bộ), Power BI Pro -12 months (02 Bộ)</t>
  </si>
  <si>
    <t>CÔNG TY CỔ PHẦN TẬP ĐOÀN XÂY DỰNG HÒA BÌNH</t>
  </si>
  <si>
    <t>14/CICHCM2023</t>
  </si>
  <si>
    <t>enjiCAD Professional - Standalone license (Sử dụng vĩnh viễn) (04 Bộ)</t>
  </si>
  <si>
    <t>CÔNG TY CỔ PHẦN TOÀN HẢI VÂN</t>
  </si>
  <si>
    <t>15/CICHCM2023</t>
  </si>
  <si>
    <t>AutoCAD LT Commercial Single-user Annual Subscription Renewal (02 Bộ)</t>
  </si>
  <si>
    <t>CÔNG TY CỔ PHẦN GIẢI PHÁP KẾT CẤU - XÂY DỰNG QUANG MINH</t>
  </si>
  <si>
    <t>16/CICHCM2023</t>
  </si>
  <si>
    <t>Architecture Engineering &amp; Construction Collection Commercial Single-user Annual Subscription Renewal (Sử dụng 1 năm) (01 Bộ)</t>
  </si>
  <si>
    <t>CÔNG TY TNHH QCONS</t>
  </si>
  <si>
    <t>17/CICHCM2023</t>
  </si>
  <si>
    <t>Phần mềm Build (25 Bộ)</t>
  </si>
  <si>
    <t>PO09/CICHCM2023</t>
  </si>
  <si>
    <t>Phần mềm Canva Pro 12 Months (01 Bộ)</t>
  </si>
  <si>
    <t>PO10/CICHCM2023</t>
  </si>
  <si>
    <t>AutoCAD LT Commercial Single-user Annual Subscription Renewal (05 Bộ)</t>
  </si>
  <si>
    <t>CÔNG TY TNHH SEOUL SEMICONDUCTOR VINA</t>
  </si>
  <si>
    <t>PO11/CICHCM2023</t>
  </si>
  <si>
    <t>Phần mềm enjiCAD Standard - Standalone license (01 Bộ)</t>
  </si>
  <si>
    <t>PO13/CICHCM2023</t>
  </si>
  <si>
    <t>Acrobat Pro DC for teams ALL Multiple (26 Bộ), AutoCAD LT Commercial Singleuser (19 Bộ), Cisco Umbrella Secure Internet Gateway Essentials (250 Bộ), Enhanced Support for Umbrella (01 Bộ), Meraki MR Enterprise License, 1YR (09 Bộ), Canva Pro 12 Months (01 Bộ)</t>
  </si>
  <si>
    <t>CÔNG TY TNHH Ô TÔ ISUZU VIỆT NAM</t>
  </si>
  <si>
    <t>19/CICHCM2023</t>
  </si>
  <si>
    <t>BIM Collaborate Pro - Single-user CLOUD Commercial New Annual Subscription (03 Bộ)</t>
  </si>
  <si>
    <t>CÔNG TY TNHH XÂY DỰNG VÀ THIẾT KẾ PHONG CÁCH MỚI</t>
  </si>
  <si>
    <t>20/CICHCM2023</t>
  </si>
  <si>
    <t>Microsoft 365 Business Basic - 07 months (15 Bộ)</t>
  </si>
  <si>
    <t>21/CICHCM2023</t>
  </si>
  <si>
    <t>enjiCAD Professional Standalone license (02 Bộ)</t>
  </si>
  <si>
    <t>CÔNG TY TNHH THIẾT KẾ DƯƠNG BẢN</t>
  </si>
  <si>
    <t>PO14/CICHCM2023</t>
  </si>
  <si>
    <t>Office Home and Business 2021 English APAC EM Medialess ( T5D-03510 ) (01 bộ)</t>
  </si>
  <si>
    <t>22/CICHCM2023</t>
  </si>
  <si>
    <t>Microsoft 365 Business Standard - 12 Months (35 Bộ), Microsoft 365 Business Basic - 12 Months (02 Bộ)</t>
  </si>
  <si>
    <t>CÔNG TY TNHH STOLZ-MIRAS (VIỆT NAM)</t>
  </si>
  <si>
    <t>23/CICHCM2023</t>
  </si>
  <si>
    <t>SAP2000 Advanced Cloud Maintenance Agreement 01 year (03 Bộ), SAP2000 Plus Cloud Maintenance Agreement 01 year (02 Bộ), Etabs Nonlinear Cloud Maintenance Agreement 01 year (02 Bộ)</t>
  </si>
  <si>
    <t>24/CICHCM2023</t>
  </si>
  <si>
    <t>ADAPT - Builder PT Maintenance Standalone license 01 year (from 03/02/2023 to 03/02/2024) (01 Bộ)</t>
  </si>
  <si>
    <t>CÔNG TY TNHH RANKINE &amp; HILL (VIỆT NAM)</t>
  </si>
  <si>
    <t>PO15/CICHCM2023</t>
  </si>
  <si>
    <t>enjiCAD Professional Standalone License ( 01 Bộ)</t>
  </si>
  <si>
    <t>CÔNG TY CP PHÁT TRIỂN ĐÔ THỊ SÀI GÒN TÂY BẮC (TÂN PHÚ TRUNG)</t>
  </si>
  <si>
    <t>PO16/CICHCM2023</t>
  </si>
  <si>
    <t>GstarCAD Pro (Included subsctiption initial 1 year) - standalone license (01 Bộ)</t>
  </si>
  <si>
    <t>CÔNG TY TNHH VIỆT C.A.D</t>
  </si>
  <si>
    <t>25/CICHCM2023</t>
  </si>
  <si>
    <t>Bảo trì phần mềm SAFE Post-Tensioning (01 Bộ), Bảo trì phần mềm SAP2000 Ultimate (02 Bộ), Bảo trì phần mềm SAP2000 Plus (01 Bộ)</t>
  </si>
  <si>
    <t>CÔNG TY CỔ PHẦN TƯ VẤN XÂY DỰNG ĐIỆN 3</t>
  </si>
  <si>
    <t>26/CICHCM2023</t>
  </si>
  <si>
    <t>Bảo trì phần mềm SAP2000 (02 Bộ), Phần mềm CFS Network License with Automation Annual Subscription (sử dụng 01 năm) (03 Bộ)</t>
  </si>
  <si>
    <t>CÔNG TY CỔ PHẦN PHỤ KIỆN VÀ NHÀ THÉP NHẤT</t>
  </si>
  <si>
    <t>27/CICHCM2023</t>
  </si>
  <si>
    <t>Architecture Engineering &amp; Construction Collection Commercial Singleuser Annual Subscription Renewal End date: 28/03/2024 (04 Bộ)</t>
  </si>
  <si>
    <t>CÔNG TY CP KIẾN TRÚC TƯ VẤN QUẢN LÝ ĐÔNG DƯƠNG</t>
  </si>
  <si>
    <t>28/CICHCM2023</t>
  </si>
  <si>
    <t>Bảo trì phần mềm ETABS Ultimate )01 Bộ), Bảo trì phần mềm Sap2000 Ultimate  (01 Bộ), Gia hạn phần mềm CFS Network License ( 01 Bộ)</t>
  </si>
  <si>
    <t>CÔNG TY CỔ PHẦN KẾT CẤU THÉP QH PLUS</t>
  </si>
  <si>
    <t>29/CICHCM2023</t>
  </si>
  <si>
    <t>enjiCAD Professional - Standalone license (Sử dụng vĩnh viễn) (14 Bộ)</t>
  </si>
  <si>
    <t>30/CICHCM2023</t>
  </si>
  <si>
    <t>Bảo trì phần mềm SAP2000 Ultimate (03 Bộ), Bảo trì phần mềm SAFE Post (01 Bộ)</t>
  </si>
  <si>
    <t>CÔNG TY CỔ PHẦN TƯ VẤN XÂY DỰNG ĐIỆN 2</t>
  </si>
  <si>
    <t>31/CICHCM2023</t>
  </si>
  <si>
    <t>Phần mềm IDEA StatiCa Steel (01 Bộ), Bảo trì phần mềm IDEA StatiCa Steel (01 Bộ), Phần mềm CFS Network License (1 năm)  (01 Bộ)</t>
  </si>
  <si>
    <t>CÔNG TY TNHH NHÀ THÉP PEB</t>
  </si>
  <si>
    <t>32/CICHCM2023</t>
  </si>
  <si>
    <t>Phần mềm Exchange Online Kiosk -12 months (16/03/2023 - 16/03/2024) (31 Bộ)</t>
  </si>
  <si>
    <t>CÔNG TY TNHH TÂN VIỆT TIẾN</t>
  </si>
  <si>
    <t>PO17/CICHCM2023</t>
  </si>
  <si>
    <t>Phần mềm Teamviewer Corporate Subscription (license for 01 year) (01 Bộ)</t>
  </si>
  <si>
    <t>CÔNG TY TNHH HÓA DẦU LONG SƠN</t>
  </si>
  <si>
    <t>33/CICHCM2023</t>
  </si>
  <si>
    <t>Microsoft 365 Apps for business - 7 months (08 Bộ)</t>
  </si>
  <si>
    <t>CÔNG TY TNHH KỸ THUẬT SHINSEI VIỆT NAM</t>
  </si>
  <si>
    <t>34/CICHCM2023</t>
  </si>
  <si>
    <t>AutoCAD-including specialized (02 Bộ), Photoshop ALL MLP License Subscription MUA (01 Bộ), Illustrator ALL MLP License Subscription MUA (02 Bộ), SketchUp (01 Bộ), enjiCAD Pro - Standalone license (Sử dụng vĩnh viễn) (02 Bộ)</t>
  </si>
  <si>
    <t>CÔNG TY TNHH POWER GREEN GROUP VIỆT NAM</t>
  </si>
  <si>
    <t>35/CICHCM2023</t>
  </si>
  <si>
    <t>enjiCAD Professional Standalone license (Phiên bản đầy đủ tính năng, sử dụng vĩnh viễn) (04 Bộ)</t>
  </si>
  <si>
    <t>CÔNG TY TNHH KSP VIỆT NAM</t>
  </si>
  <si>
    <t>36/CICHCM2023</t>
  </si>
  <si>
    <t>enjiCAD Professional Network license (Phiên bản đầy đủ tính năng, sử dụng vĩnh viễn) (02 Bộ)</t>
  </si>
  <si>
    <t>CÔNG TY CỔ PHẦN TƯ VẤN VÀ ĐẦU TƯ TÀI CHÍNH</t>
  </si>
  <si>
    <t>37/CICHCM2023</t>
  </si>
  <si>
    <t>enjiCAD Standard - Standalone license (12 Bộ) enjiCAD Pro - Standalone license (03 Bộ)</t>
  </si>
  <si>
    <t>CÔNG TY TNHH XÂY DỰNG SOLUTIONS</t>
  </si>
  <si>
    <t>38/CICHCM2023</t>
  </si>
  <si>
    <t>AutoCAD LT Commercial Single-user Annual Subscription Renewal (01 Bộ)</t>
  </si>
  <si>
    <t>CÔNG TY TNHH TƯ VẤN THIẾT KẾ KIỂM ĐỊNH XÂY DỰNG N.A.D</t>
  </si>
  <si>
    <t>39/CICHCM2023</t>
  </si>
  <si>
    <t>Bảo trì phần mềm ETABS Nonlinear Network Maintenance Agreement - 01 year (02 Bộ), Bảo trì phần mềm ETABS Plus Network Maintenance Agreement - 01 year (04 Bộ), Bảo trì phần mềm SAFE Standard Network  Maintenance Agreement - 01 year (02 Bộ)</t>
  </si>
  <si>
    <t>CÔNG TY TNHH ARUP VIỆT NAM</t>
  </si>
  <si>
    <t>PO18/CICHCM2023</t>
  </si>
  <si>
    <t>GstarCAD Pro (Included
subsctiption initial 1 year) - standalone license</t>
  </si>
  <si>
    <t>CÔNG TY TNHH TƯ VẤN KỸ THUẬT TIN HỌC VÀ THƯƠNG MẠI VIỆT C.A.D</t>
  </si>
  <si>
    <t>PO19/CICHCM2023</t>
  </si>
  <si>
    <t>Enscape Commercial Floating Annual Subscription Renewal (01 Bộ)</t>
  </si>
  <si>
    <t>PO20/CICHCM2023</t>
  </si>
  <si>
    <t>Office Home and Business 2021 All Lng APAC EM PK Lic Online DwnLd NR (01 Bộ), Win Pro 11 64Bit Eng Intl 1pk DSP OEI DVD ( FQC-10528) (01 Bộ)</t>
  </si>
  <si>
    <t>PO21/CICHCM2023</t>
  </si>
  <si>
    <t>Microsoft 365 Business Basic - 12 tháng (06 Bộ)</t>
  </si>
  <si>
    <t>CÔNG TY TNHH HÀNG HẢI VŨ KHANG</t>
  </si>
  <si>
    <t>PO22/CICHCM2023</t>
  </si>
  <si>
    <t>Bảo trì phần mềm PLAXIS 2D Ultimate SELECT Subscription– (Bao gồm Plaxis 2D, Plaxflow, Dynamics, Thernmal) (từ 02/2023 đến 02/2024) (01 bỘ)</t>
  </si>
  <si>
    <t>CÔNG TY CP XÂY DỰNG COTECCONS</t>
  </si>
  <si>
    <t>PO23/CICHCM2023</t>
  </si>
  <si>
    <t>Bảo trì phần mềm Sap2000 Basic Standalone Maintenance Agreement - 01 year (21-Apr- 2023 to 20-Apr-2024) (01 Bộ)</t>
  </si>
  <si>
    <t>CÔNG TY CỔ PHẦN MOTILA (Xuất Hóa Đơn cho CÔNG TY TNHH TEDFAST)</t>
  </si>
  <si>
    <t>PO24/CICHCM2023</t>
  </si>
  <si>
    <t>Microsoft 365 Business Basic - 12 tháng (02 Bộ), NORTON SECURITY - 12 tháng (10 Bộ)</t>
  </si>
  <si>
    <t>PO25/CICHCM2023</t>
  </si>
  <si>
    <t>Architecture Engineering Construction Collection IC Commercial Single-user Annual Subscription Renewal (01 Bộ)</t>
  </si>
  <si>
    <t>CÔNG TY TNHH TƯ VẤN THIẾT KẾ XÂY DỰNG RFR PHÁP VIỆT</t>
  </si>
  <si>
    <t>40/CICHCM2023</t>
  </si>
  <si>
    <t>Bảo trì phần mềm ETABS Plus Maintenance Agreement - 01 year (01 Bộ)</t>
  </si>
  <si>
    <t>CÔNG TY CỔ PHẦN KIỂM ĐỊNH XÂY DỰNG SÀI GÒN (SCQC)</t>
  </si>
  <si>
    <t>41/CICHCM2023</t>
  </si>
  <si>
    <t>enjiCAD Pro - Standalone license (sử dụng vĩnh viễn) (07 Bộ), Office LTSC Standard 2021 (vĩnh viễn) (06 Bộ), Windows GGWA - Windows 11 Pro - Legalization GetGenuine (vĩnh viễn) (04 Bộ)</t>
  </si>
  <si>
    <t>CÔNG TY CỔ PHẦN TƯ VẤN XÂY DỰNG VĨNH LONG</t>
  </si>
  <si>
    <t>42/CICHCM2023</t>
  </si>
  <si>
    <t>Bảo trì phần mềm STAAD.Pro SELECT Subscription (End date 30 May 2024) (20 Bộ), Bảo trì phần mềm RAM Connection SELECT Subscription (End date 30 May 2024) (01 Bộ)</t>
  </si>
  <si>
    <t>43/CICHCM2023</t>
  </si>
  <si>
    <t>Architecture Engineering &amp; Construction Collection Commercial Singleuser Annual Subscription Renewal Switched End date: 25/03/2024 (01 Bộ)</t>
  </si>
  <si>
    <t>CÔNG TY CP TƯ VẤN THIẾT KẾ XÂY DỰNG CHÂN PHƯƠNG</t>
  </si>
  <si>
    <t>PO26/CICHCM2023</t>
  </si>
  <si>
    <t>AutoCAD - including specialized
toolsets AD Commercial New Single-user ELD
Annual Subscription</t>
  </si>
  <si>
    <t>CÔNG TY TNHH TM-DV TIN HỌC HOÀNG HÀ</t>
  </si>
  <si>
    <t>44/CICHCM2023</t>
  </si>
  <si>
    <t>Elevate Single user licences (01 Bộ)</t>
  </si>
  <si>
    <t>CÔNG TY CỔ PHẦN THƯƠNG MẠI-DỊCH VỤ CƠ ĐIỆN LẠNH P&amp;M</t>
  </si>
  <si>
    <t>PO27/CICHCM2023</t>
  </si>
  <si>
    <t>Microsoft 365 Apps for business - 12 months</t>
  </si>
  <si>
    <t>CÔNG TY TNHH TƯ VẤN XÂY DỰNG NEW CC - TÂN CC</t>
  </si>
  <si>
    <t>45/CICHCM2023</t>
  </si>
  <si>
    <t>BIM Collaborate Pro - Single User Commercial Annual Subscription Renewal (02 Bộ)</t>
  </si>
  <si>
    <t>KHA SÁCH PHÚC</t>
  </si>
  <si>
    <t>46/CICHCM2023</t>
  </si>
  <si>
    <t>Bảo trì phần mềm PLAXIS 2D Advanced SELECT Subscription (01 June 2023 - 31 May 2024) (01 Bộ)</t>
  </si>
  <si>
    <t>CÔNG TY CỔ PHẦN ĐẦU TƯ XÂY DỰNG RICONS</t>
  </si>
  <si>
    <t>47/CICHCM2023</t>
  </si>
  <si>
    <t>Bảo trì phần mềm SAFE PT Standalone Maintenance Agreement 01 year (5-Apr- 2023 to 5-Apr- 2024) (01 Bộ), Bảo trì phần mềm Etabs Nonlinear Standalone Maintenance Agreement 01 year (5-Apr- 2023 to 5-Apr- 2024) (01 Bộ)</t>
  </si>
  <si>
    <t>CÔNG TY CỔ PHẦN INDOCHINE ENGINEERING VIỆT NAM</t>
  </si>
  <si>
    <t>48/CICHCM2023</t>
  </si>
  <si>
    <t>Revit Commercial Single-user Annual Subscription Renewal (20/04/2023 - 19/04/2024) (05 Bộ)</t>
  </si>
  <si>
    <t>49/CICHCM2023</t>
  </si>
  <si>
    <t>Bảo trì phần mềm ETABS Plus - Standalone Maintenance Agreement - 01 year (14-Apr-2023 to 13-Apr-2024) (03 Bộ)</t>
  </si>
  <si>
    <t>CÔNG TY TNHH KAJIMA VIỆT NAM</t>
  </si>
  <si>
    <t>50/CICHCM2023</t>
  </si>
  <si>
    <t>Windows GGWA - Windows 11 Pro - Legalization Get Genuine (70 Bộ)</t>
  </si>
  <si>
    <t>CÔNG TY CỔ PHẦN SONADEZI GIANG ĐIỀN</t>
  </si>
  <si>
    <t>51/CICHCM2023</t>
  </si>
  <si>
    <t>Bảo trì phần mềm Etabs Ultimate Network Maintenance Agreement - 01 year (từ 01/2023 đến 01/2024) (02 Bộ), Bảo trì phần mềm SAFE Post-Tensioning Network Maintenance Agreement - 01 year (từ 01/2023 đến 01/2024) (01 Bộ)</t>
  </si>
  <si>
    <t>CÔNG TY CỔ PHẦN XÂY DỰNG SỐ 1</t>
  </si>
  <si>
    <t>52/CICHCM2023</t>
  </si>
  <si>
    <t>BIM Collaborate Pro - 10 Subscription CLOUD Commercial New Annual Subscription - Phần mềm sử dụng 01 năm kể từ ngày License được cấp (02 Bộ)</t>
  </si>
  <si>
    <t>CÔNG TY CỔ PHẦN TƯ VẤN XÂY DỰNG ĐIỆN 4</t>
  </si>
  <si>
    <t>53/CICHCM2023</t>
  </si>
  <si>
    <t>GstarCAD 2023 Standard Network version (05 Bộ)</t>
  </si>
  <si>
    <t>54/CICHCM2023</t>
  </si>
  <si>
    <t>CFS Network License Annual Subcription (01 Bộ)</t>
  </si>
  <si>
    <t>56/CICHCM2023</t>
  </si>
  <si>
    <t>Revit 2023 Commercial New Single user ELD 3-Year Subscription (01 Bộ)</t>
  </si>
  <si>
    <t>CÔNG TY TNHH KIẾN TRÚC N.Q.H</t>
  </si>
  <si>
    <t>57/CICHCM2023</t>
  </si>
  <si>
    <t>Bảo trì PM Etabs Plus - Network Maintenance Agreement - 01 year (28-Apr 2023 to 27-Apr-2024) (01 Bộ), Bảo trì PM Etabs Ultimate Network Maintenance Agreement - 01 year (28-Apr- 2023 to 27-Apr- 2024) (01 Bộ)</t>
  </si>
  <si>
    <t>58/CICHCM2023</t>
  </si>
  <si>
    <t>enjiCAD Standard Network license - License sử dụng vĩnh viễn (07 Bộ)</t>
  </si>
  <si>
    <t>CÔNG TY CỔ PHẦN XÂY DỰNG VÀ TRANG TRÍ NỘI THẤT SÀI GÒN XANH</t>
  </si>
  <si>
    <t>enjiCAD Standard Network license - License sử dụng vĩnh viễn (19 Bộ), enjiCAD Standard - Standalone license - License sử dụng vĩnh viễn (02 Bộ)</t>
  </si>
  <si>
    <t>CÔNG TY CP XÂY DỰNG &amp; THƯƠNG MẠI TTT (Phân chia 50% với DCS) ???</t>
  </si>
  <si>
    <t>60/CICHCM2023</t>
  </si>
  <si>
    <t>Phần mềm TASC - Thuê bao 03 năm - Phần mềm bóc tách khối lượng bê tông, ván khuôn và hoàn thiện (01 Bộ)</t>
  </si>
  <si>
    <t>PO28/CICHCM2023</t>
  </si>
  <si>
    <t>AutoCAD LT Commercial Single user Annual Subscription Renewal (02 Bộ)</t>
  </si>
  <si>
    <t>PO29/CICHCM2023</t>
  </si>
  <si>
    <t>CÔNG TY TRÁCH NHIỆM HỮU HẠN T.T.T.I</t>
  </si>
  <si>
    <t>PO30/CICHCM2023</t>
  </si>
  <si>
    <t>CÔNG TY CỔ PHẦN THỨC ĂN CHĂN NUÔI VIỆT THẮNG</t>
  </si>
  <si>
    <t>PO31/CICHCM2023</t>
  </si>
  <si>
    <t>Microsoft 365 Business Basic promo 50% - 5 months Hết hạn: 21/9/2023 (10 Bộ)</t>
  </si>
  <si>
    <t>CÔNG TY CP CHĂN NUÔI GIA CẦM VIETSWAN</t>
  </si>
  <si>
    <t>PO32/CICHCM2023</t>
  </si>
  <si>
    <t>AutoCAD - including specialized toolsets AD Commercial New Single-user ELD Annual Subscription (01 Bộ)</t>
  </si>
  <si>
    <t>PO33/CICHCM2023</t>
  </si>
  <si>
    <t>Foxit PDF Editor 12 Windows One Time License (English) Phần mềm sử dụng vĩnh viễn (02 Bộ)</t>
  </si>
  <si>
    <t>CÔNG TY CỔ PHẦN TOÀN HẢI VÂN</t>
  </si>
  <si>
    <t>PO34/CICHCM2023</t>
  </si>
  <si>
    <t>Phần mềm V-RAY Solo - Annual ( 01 Bộ)</t>
  </si>
  <si>
    <t>61/CICHCM2023</t>
  </si>
  <si>
    <t>BIM Collaborate Pro - Single User Commercial Annual Subscription Renewal Hết hạn: 28/04/2024 (05 Bộ)</t>
  </si>
  <si>
    <t>62/CICHCM2023</t>
  </si>
  <si>
    <t>enjiCAD Pro - Standalone license (10 Bộ)</t>
  </si>
  <si>
    <t>CÔNG TY TNHH XÂY DỰNG TUẤN LÊ</t>
  </si>
  <si>
    <t>63/CICHCM2023</t>
  </si>
  <si>
    <t>Microsoft 365 Business Basic - 12 months (11/05/2023 – 11/05/2024) (10 Bộ)</t>
  </si>
  <si>
    <t>CÔNG TY TNHH TM THẾ KỶ VÀNG</t>
  </si>
  <si>
    <t>PO35/CICHCM2023</t>
  </si>
  <si>
    <t>Microsoft 365 Business Basic Promo 50% - 8 months (05 Bộ)</t>
  </si>
  <si>
    <t>CÔNG TY CỔ PHẦN XÂY DỰNG VÀ THIẾT KẾ SỐ 1 (Decofi)</t>
  </si>
  <si>
    <t>PO36/CICHCM2023</t>
  </si>
  <si>
    <t>FOXIT PDF EDITOR 12 - Perpetual license (02 Bộ)</t>
  </si>
  <si>
    <t>CÔNG TY TNHH SỨC KHỎE TRỌN ĐỜI TẠI TP HCM</t>
  </si>
  <si>
    <t>PO37/CICHCM2023</t>
  </si>
  <si>
    <t>Microsoft 365 Business Standard Promo 20% - 12 months (03 Bộ)</t>
  </si>
  <si>
    <t>CÔNG TY TNHH SAVILLS (VIỆT NAM)</t>
  </si>
  <si>
    <t>PO38/CICHCM2023</t>
  </si>
  <si>
    <t>OneDrive for business (Plan 1) - 12 months (01 Bộ)</t>
  </si>
  <si>
    <t>64/CICHCM2023</t>
  </si>
  <si>
    <t>IDEA StatiCa Prestressing Expert - Subscriptions license (sử dụng 1 năm) (01 Bộ)</t>
  </si>
  <si>
    <t>CÔNG TY TNHH TƯ VẤN ĐẦU TƯ VÀ XÂY DỰNG QUỐC TẾ</t>
  </si>
  <si>
    <t>65/CICHCM2023</t>
  </si>
  <si>
    <t>PM All Products Pack - Commercial annual subscription (05 Bộ), PM PyCham - Commercial annual subscription (04 Bộ)</t>
  </si>
  <si>
    <t>CÔNG TY TNHH WBV TECHNOLOGY</t>
  </si>
  <si>
    <t>66/CICHCM2023</t>
  </si>
  <si>
    <t>Bảo trì phần mềm Etabs Nonlinear - Cloud Maintenance Agreement - 01 year (27-Apr- 2023 to 27-Apr-2024) (01 Bộ)</t>
  </si>
  <si>
    <t>CÔNG TY TNHH TƯ VẤN KỸ THUẬT EDGE VIỆT NAM</t>
  </si>
  <si>
    <t>67/CICHCM2023</t>
  </si>
  <si>
    <t>Creative Cloud for teams All Apps ALL Multiple Platforms Multi Asian Languages Subscription New 36 months (01 Bộ)</t>
  </si>
  <si>
    <t>CÔNG TY CỔ PHẦN CLEARWATER METAL VN</t>
  </si>
  <si>
    <t>68/CICHCM2023</t>
  </si>
  <si>
    <t>Bảo trì phần mềm ETABS Nonlinear Standalone Maintenance Agreement - (Enddate: 04 May 2024) (03 Bộ), Bảo trì phần mềm SAFE Post-tensioning Standalone Maintenance Agreement (End date: 04 May 2024) (03 Bộ)</t>
  </si>
  <si>
    <t>CÔNG TY CỔ PHẦN TẬP ĐOÀN MASTERISE</t>
  </si>
  <si>
    <t>69/CICHCM2023</t>
  </si>
  <si>
    <t>PM SOLIDWORKS Standard Package (Primary License Charge) (01 Bộ), Bảo trì phần mềm SOLIDWORKS Standard Package (Annual License Charge) (01 Bộ), Đào tạo miễn phí cơ bản 3 ngày (6h/ngày) tại địa chỉ công ty khách hàng</t>
  </si>
  <si>
    <t>CÔNG TY CỔ PHẦN FIRST INDUSTRIES VIỆT NAM</t>
  </si>
  <si>
    <t>70/CICHCM2023</t>
  </si>
  <si>
    <t>Bảo trì phần mềm SAP2000 Plus Network Maintenance Agreement - 01 year (from 21-May-2023 to 20-May-2024) (04 Bộ)</t>
  </si>
  <si>
    <t>CÔNG TY TNHH INDUSTRIELLE BETEILIGUNG</t>
  </si>
  <si>
    <t>PO39/CICHCM2023</t>
  </si>
  <si>
    <t>Bảo trì phần mềm ETABS Nonlinear - Standalone Maintenance Agreement - 01 year ( 06-June-2023 to 5- June-2024) (01 Bộ)</t>
  </si>
  <si>
    <t>CÔNG TY TNHH HBP PROJECT MANAGEMENT</t>
  </si>
  <si>
    <t>71/CICHCM2023</t>
  </si>
  <si>
    <t>PM STAAD.Pro Perpetual License (02 Bộ), Bảo trì phần mềm STAAD.Pro SELECT Subscription Subscription Period 01 Jun 2023 Through 30 May 2024 (02 Bộ)</t>
  </si>
  <si>
    <t>72/CICHCM2023</t>
  </si>
  <si>
    <t>Phần mềm Midjourney Pro Plan (12 Months) (01 Bộ)</t>
  </si>
  <si>
    <t>CÔNG TY CP THIẾT KẾ VÀ PHÁT TRIỂN CÔNG NGHỆ XÂY DỰNG SPAN</t>
  </si>
  <si>
    <t>PO40/CICHCM2023</t>
  </si>
  <si>
    <t>Midjourney Standard Plan Annual Subscription (01 Bộ)</t>
  </si>
  <si>
    <t>73/CICHCM2023</t>
  </si>
  <si>
    <t>Revit 2024 Commercial New Singleuser ELD Annual Subscription (01 Bộ)</t>
  </si>
  <si>
    <t>74/CICHCM2023</t>
  </si>
  <si>
    <t>Architecture Engineering &amp; Construction ...Single-user Annual Subscription Renewal (To 20/05/2024) (05 Bộ), BIM Collaborate - 25 Subscription ... Renewal (To 20/05/2024) (01 Bộ)</t>
  </si>
  <si>
    <t>PLHD 74/CICHCM2023</t>
  </si>
  <si>
    <t>Architecture Engineering &amp; Construction (To 25/07/2024) (10 Bộ), Architecture Engineering &amp; Construction Collection From Multi-User 2:1 Trade-In (To 25/07/2024) (04 Bộ)</t>
  </si>
  <si>
    <t>PO41/CICHCM2023</t>
  </si>
  <si>
    <t>Office Home and Business 2021 English APAC EM Medialess ( T5D-03510 ) (01 Bộ), Win Pro 11 64Bit Eng Intl 1pk DSP OEI DVD ( FQC-10528) (01 Bộ)</t>
  </si>
  <si>
    <t>75/CICHCM2023</t>
  </si>
  <si>
    <t>Business Starter (08 Bộ)</t>
  </si>
  <si>
    <t>CÔNG TY TNHH CÔNG NGHIỆP TOHO VIỆT NAM</t>
  </si>
  <si>
    <t>77/CICHCM2023</t>
  </si>
  <si>
    <t>Bảo trì phần mềm Etabs Ultimate Network Maintenance Agreement - 01 year (03 Bộ), Bảo trì phần mềm SAFE Post-Tensioning Network Maintenance Agreement (01 Bộ) ; gói FM Prokon</t>
  </si>
  <si>
    <t>CÔNG TY CỔ PHẦN XÂY DỰNG COTECCONS + HĐ 76/2023</t>
  </si>
  <si>
    <t>78/CICHCM2023</t>
  </si>
  <si>
    <t>Bảo trì phần mềm PLAXIS 2D Advanced SELECT Subscription (22/07/2023 - 21/07/2024) (01 Bộ)</t>
  </si>
  <si>
    <t>CÔNG TY BACHY SOLETANCHE VIỆT NAM</t>
  </si>
  <si>
    <t>79/CICHCM2023</t>
  </si>
  <si>
    <t>AutoCAD-including Commercial Single-user Renewal (15 Bộ), Architecture Engineering &amp; Construction Collection  Renewal  (04 Bộ), Revit Commercial Single-user  Renewal (20 Bộ)</t>
  </si>
  <si>
    <t>80/CICHCM2023</t>
  </si>
  <si>
    <t>AutoCAD LT 2024 Commercial New Single-user ELD Annual (48 Bộ), Inventor Professional 2024 Commercial New Single-user ELD Annual Subscription (04 Bộ), Foxit PDF EDITOR PRO 12 – Life time license (22 Bộ)</t>
  </si>
  <si>
    <t>CÔNG TY TNHH SL INTERNATIONAL - (CÔNG TY TNHH SOFTLINE VIỆT NAM) (CÔNG TY TNHH NOVENTIQ VIỆT NAM)</t>
  </si>
  <si>
    <t>81/CICHCM2023</t>
  </si>
  <si>
    <t>BIM Collaborate Pro - Single User Commercial Annual Subscription Renewal Hết hạn: 23/5/2024 (05 Bộ)</t>
  </si>
  <si>
    <t>82/CICHCM2023</t>
  </si>
  <si>
    <t>GstarCAD 2023 Standard Network license (01 Bộ)</t>
  </si>
  <si>
    <t>PO42/CICHCM2023</t>
  </si>
  <si>
    <t>CÔNG TY TNHH KIẾN TRÚC VIỆT</t>
  </si>
  <si>
    <t>PO43/CICHCM2023</t>
  </si>
  <si>
    <t>V-Ray Solo Annual (02 Bộ)</t>
  </si>
  <si>
    <t>PO44/CICHCM2023</t>
  </si>
  <si>
    <t>Enscape Fixed Annual License ( 01 Bộ)</t>
  </si>
  <si>
    <t>PO45/CICHCM2023</t>
  </si>
  <si>
    <t>Microsoft 365 Business Standard (01 Bộ)</t>
  </si>
  <si>
    <t>CÔNG TY TNHH KIẾN TRÚC CAD VIỆT</t>
  </si>
  <si>
    <t>PO46/CICHCM2023</t>
  </si>
  <si>
    <t>Symnatec Endpoint Protection, Subscription License with Support (01 Bộ), Norton Secutity 1PC 1 year (10 Bộ)</t>
  </si>
  <si>
    <t>PO47/CICHCM2023</t>
  </si>
  <si>
    <t>AutoCAD LT Commercial Single-user Annual Subscription Renewal Hết hạn: 07/06/2024 (04 Bộ), Microsoft 365 Business Standard Hết hạn: 25/5/2024 (05 Bộ)</t>
  </si>
  <si>
    <t>CÔNG TY TNHH METAL STUDIO VIỆT NAM</t>
  </si>
  <si>
    <t>PO48/CICHCM2023</t>
  </si>
  <si>
    <t>Microsoft 365 Business Basic Promo 50% - 12 months (08 Bộ)</t>
  </si>
  <si>
    <t>CÔNG TY CỔ PHẦN DỊCH VỤ NGHỈ DƯỠNG VQG</t>
  </si>
  <si>
    <t>PO49/CICHCM2023</t>
  </si>
  <si>
    <t>FOXIT PDF EDITOR 12 (For Team) - Perpetual license - Sử dụng vĩnh viễn (02 bỘ)</t>
  </si>
  <si>
    <t>CHI NHÁNH CÔNG TY TNHH SỨC KHỎE TRỌN ĐỜI TẠI TP HÀ NỘI</t>
  </si>
  <si>
    <t>83/CICHCM2023</t>
  </si>
  <si>
    <t>enjiCAD Professional Standalone License (04 Bộ)</t>
  </si>
  <si>
    <t>CÔNG TY TNHH ĐIỆN TỬ ASTI</t>
  </si>
  <si>
    <t>PO50/CICHCM2023</t>
  </si>
  <si>
    <t>Creative Cloud for teams All Apps ALL Multiple Platforms Multi Asian Languages Subscription New 09 months (to 24-MAR-2024) (01 Bộ)</t>
  </si>
  <si>
    <t>PO51/CICHCM2023</t>
  </si>
  <si>
    <t>AutoCAD LT Commercial Single-user Annual Subscription Renewal Hết hạn: 07/06/2024 (02 Bộ), Microsoft 365 Business Standard Promo 20% - 12 months (02 Bộ)</t>
  </si>
  <si>
    <t>PO52/CICHCM2023</t>
  </si>
  <si>
    <t>BIM Collaborate Pro - Single User CLOUD Commercial New Annual Subscription (01 Bộ), Microsoft 365 Business Standard Promo 20% - 12 months (01 Bộ)</t>
  </si>
  <si>
    <t>84/CICHCM2023</t>
  </si>
  <si>
    <t>AutoCAD LT 2024 Commercial New Single-user ELD Annual Subscription (02 Bộ)</t>
  </si>
  <si>
    <t>CÔNG TY TNHH QUẢNG HƯNG</t>
  </si>
  <si>
    <t>85/CICHCM2023</t>
  </si>
  <si>
    <t>Bảo trì phần mềm PLAXIS 3D Advanced SELECT Subscription (01 August 2023 – 31 July 2024) (01 Bộ), Bảo trì phần mềm RAM Concept SELECT Subscription (01 August 2023 - 31 July 2024) (01 Bộ)</t>
  </si>
  <si>
    <t>PO53/CICHCM2023</t>
  </si>
  <si>
    <t>Kaspersky Anti virus 1 năm cho 1 thiết bị (KL11714 CAFS) (01 Bộ)</t>
  </si>
  <si>
    <t>CÔNG TY TNHH DỊCH VỤ HOA VIÊN VĨNH HẰNG</t>
  </si>
  <si>
    <t>86/CICHCM2023</t>
  </si>
  <si>
    <t>Phần mềm Autodesk Architecture Engineering Construction Collection IC Commercial Single-user Annual Subscription Renewal (End date:13/06/2024) (01 Bộ)</t>
  </si>
  <si>
    <t>CHI NHÁNH CÔNG TY TNHH QUỐC TẾ T.Y.LIN VIỆT NAM TẠI TP.HCM</t>
  </si>
  <si>
    <t>87/CICHCM2023</t>
  </si>
  <si>
    <t>Bảo trì phần mềm PLAXIS 2D Advanced SELECT Subscription (15 June 2023 - 14 June 2024) (01 Bộ)</t>
  </si>
  <si>
    <t>PO54/CICHCM2023</t>
  </si>
  <si>
    <t>SketchUp Pro bundle Commercial New Single User Annual Subscription Giá áp dụng đến 30.6.2023 (01 Bộ)</t>
  </si>
  <si>
    <t>PO55/CICHCM2023</t>
  </si>
  <si>
    <t>Microsoft 365 Business Basic Promo 50% - 12 months (03 Bộ)</t>
  </si>
  <si>
    <t>88/CICHCM2023</t>
  </si>
  <si>
    <t>enjiCAD Professional Standalone License (02 Bộ)</t>
  </si>
  <si>
    <t>CÔNG TY TNHH KSP VIỆT NAM - CHI NHÁNH HẢI DƯƠNG</t>
  </si>
  <si>
    <t>PO56/CICHCM2023</t>
  </si>
  <si>
    <t>Microsoft 365 Business Standard Promo 20% - 12 months (01 Bộ)</t>
  </si>
  <si>
    <t>PO57/CICHCM2023</t>
  </si>
  <si>
    <t>Bảo trì phần mềm SAP2000 Advanced Network Maintenance Agreement (JUNE 2023 - JUNE 2024) (PO No. PEB-23.0091) (03 Bộ)</t>
  </si>
  <si>
    <t>PO58/CICHCM2023</t>
  </si>
  <si>
    <t>Microsoft 365 Business Standard Promo 20% - 12 months Hết hạn: 19/05/2024 (02 Bộ), BIM Collaborate Pro - Single User (02 Bộ), Revit 2024 Commercial New Single (03 Bộ)</t>
  </si>
  <si>
    <t>PO59/CICHCM2023</t>
  </si>
  <si>
    <t>FOXIT PDF EDITOR 12 (For Team) - Perpetual license - Sử dụng vĩnh viễn (02 Bộ)</t>
  </si>
  <si>
    <t>CHI NHÁNH CÔNG TY TNHH SỨC KHỎE TRỌN ĐỜI TẠI TP.HỒ CHÍ MINH</t>
  </si>
  <si>
    <t>PO60/CICHCM2023</t>
  </si>
  <si>
    <t>Microsoft 365 Business Basic Promo 50% - 3 months Hết hạn: 17/9/2023 (15 Bộ)</t>
  </si>
  <si>
    <t>PO61/CICHCM2023</t>
  </si>
  <si>
    <t>enjiCAD Standard Standalone license (Phiên bản giới hạn tính năng - sử dụng vĩnh viễn) (01 Bộ)</t>
  </si>
  <si>
    <t>CÔNG TY TNHH KINDEN VIỆT NAM</t>
  </si>
  <si>
    <t>PO62/CICHCM2023</t>
  </si>
  <si>
    <t>AutoCAD LT Commercial Single-user Annual Subscription Renewal (01 Bộ), Microsoft 365 Business Standard (01 Bộ)</t>
  </si>
  <si>
    <t>89/CICHCM2023</t>
  </si>
  <si>
    <t>Project Standard 2021 - License sử dụng vĩnh viễn (01 Bộ)</t>
  </si>
  <si>
    <t>90/CICHCM2023</t>
  </si>
  <si>
    <t>AutoCAD LT Commercial  (02 Bộ), Architecture Engineering &amp; Construction (22 Bộ), Acrobat Pro Subcrpt DC ALL MLP (13 Bộ), Creative Cloud ALL MLP (14 Bộ)...</t>
  </si>
  <si>
    <t>91/CICHCM2023</t>
  </si>
  <si>
    <t>enjiCAD Pro - Standalone license (Sử dụng vĩnh viễn) (05 Bộ)</t>
  </si>
  <si>
    <t>/CÔNG TY CỔ PHẦN TẬP ĐOÀN XÂY DỰNG HÒA BÌNH</t>
  </si>
  <si>
    <t>93/CICHCM2023</t>
  </si>
  <si>
    <t>Bảo trì phần mềm Etabs Plus Standalone Maintenance Agreement - 01 year (từ 07/06/2023 đến 06/06/2024) (01 Bộ)</t>
  </si>
  <si>
    <t>CÔNG TY TNHH ĐẦU TƯ VÀ TƯ VẤN KIẾN TẠO</t>
  </si>
  <si>
    <t>95/CICHCM2023</t>
  </si>
  <si>
    <t>Nâng cấp và bảo trì Phần mềm PLAXIS 2D Advanced SELECT Subscription (từ 22/07/2023 đến 21/07/2024) (01 Bộ)</t>
  </si>
  <si>
    <t>CÔNG TY TNHH MTV DỊCH VỤ CƠ KHÍ HÀNG HẢI PTSC</t>
  </si>
  <si>
    <t>96/CICHCM2023</t>
  </si>
  <si>
    <t>EnjiCAD Standard – Standalone license – sử dụng vĩnh viễn (02 Bộ)</t>
  </si>
  <si>
    <t>CÔNG TY TNHH CORSAIR MARINE INTERNATIONAL</t>
  </si>
  <si>
    <t>97/CICHCM2023</t>
  </si>
  <si>
    <t>ETABS Ultimate - Standalone license (01 Bộ), Bảo trì phần mềm ETABS Ultimate Standalone Maintenance Agreement - 01 year (01 Bộ)</t>
  </si>
  <si>
    <t>CÔNG TY TNHH PACISOFT VIỆT NAM</t>
  </si>
  <si>
    <t>98/CICHCM2023</t>
  </si>
  <si>
    <t>GstarCAD Professional Standalone License (05 Bộ)</t>
  </si>
  <si>
    <t>CÔNG TY TNHH SUNTECH VINA</t>
  </si>
  <si>
    <t>PO63/CICHCM2023</t>
  </si>
  <si>
    <t>enjiCAD Professional Standalone License (Phần mềm sử dụng vĩnh viễn) (01 Bộ)</t>
  </si>
  <si>
    <t>CÔNG TY TNHH DAE MYUNG CHEMICAL (VIỆT NAM)</t>
  </si>
  <si>
    <t>PO64/CICHCM2023</t>
  </si>
  <si>
    <t>enjiCAD Standard Standalone license (01 Bộ)</t>
  </si>
  <si>
    <t>PO65/CICHCM2023</t>
  </si>
  <si>
    <t>enjiCAD Standard Standalone license ( 02 Bộ)</t>
  </si>
  <si>
    <t>99/CICHCM2023</t>
  </si>
  <si>
    <t>Cubicost TASC, Annual Subscription (01 Bộ)</t>
  </si>
  <si>
    <t>100/CICHCM2023</t>
  </si>
  <si>
    <t>enjiCAD Pro - Standalone license (15 Bộ)</t>
  </si>
  <si>
    <t>PO66/CICHCM2023</t>
  </si>
  <si>
    <t>V-Ray Premium Annual License (01 Bộ)</t>
  </si>
  <si>
    <t>101/CICHCM2023</t>
  </si>
  <si>
    <t>Bảo trì phần mềm ETABS (01 Bộ), Bảo trì phần mềm SAFE (01 Bộ)</t>
  </si>
  <si>
    <t>102/CICHCM2023</t>
  </si>
  <si>
    <t>Autodesk Architecture (11 Bộ), Bảo trì phần mềm ETABS Ultimate Maintenance- 01 year (03 Bộ), PLAXIS 2D VIP - 01 năm (03 Bộ), Exchange Server Standard 2019 User CAL (50 Bộ)</t>
  </si>
  <si>
    <t>CÔNG TY CỔ PHẦN XÂY DỰNG CENTRAL</t>
  </si>
  <si>
    <t>PO67/CICHCM2023</t>
  </si>
  <si>
    <t>Enscape Floating Annual License (03 Bộ)</t>
  </si>
  <si>
    <t>PO68/CICHCM2023</t>
  </si>
  <si>
    <t>Bảo trì phần mềm ETABS Plus Standalone Maintenance Agreement – 01 year (từ 11/07/2023 đến 10/07/2024) (01 Bộ)</t>
  </si>
  <si>
    <t>CÔNG TY TNHH THIẾT KẾ XÂY DỰNG LIÊN VIỆT</t>
  </si>
  <si>
    <t>PO69/CICHCM2023</t>
  </si>
  <si>
    <t>enjiCAD Professional Standalone License (01 Bộ)</t>
  </si>
  <si>
    <t>104/CICHCM2023</t>
  </si>
  <si>
    <t>SLOPE/W - Perpetual License - Vĩnh viễn (01 Bộ), Bảo trì phần mềm SLOPE/W - Maintenance (01 Bộ)</t>
  </si>
  <si>
    <t>CÔNG TY CỔ PHẦN TƯ VẤN XÂY DỰNG GIAO THÔNG KTC</t>
  </si>
  <si>
    <t>105/CICHCM2023</t>
  </si>
  <si>
    <t>Microsoft 365 Business Basic – 12 tháng (30 Bộ)</t>
  </si>
  <si>
    <t>CÔNG TY CỔ PHẦN CHĂN NUÔI GIA CẦM VIETSWAN</t>
  </si>
  <si>
    <t>PO70/CICHCM2023</t>
  </si>
  <si>
    <t>Bluebeam Revu Standard Renewal Maintenance (1-49 devices), Annual Subscription (03 Bộ)</t>
  </si>
  <si>
    <t>PO71/CICHCM2023</t>
  </si>
  <si>
    <t>enjiCAD Professional Standalone (01 Bộ)</t>
  </si>
  <si>
    <t>106/CICHCM2023</t>
  </si>
  <si>
    <t>enjiCAD Standard – Standalone license - Sử dụng vĩnh viễn (07 Bộ), Tableau Creator On (12 Bộ), Tableau Viewer On (12 Bộ)</t>
  </si>
  <si>
    <t>107/CICHCM2023</t>
  </si>
  <si>
    <t>Phần mềm Docs - 25 Subscription Commercial Annual Subscription Renewal (contract: 110001770770) (01 Bộ)</t>
  </si>
  <si>
    <t>109/CICHCM2023</t>
  </si>
  <si>
    <t>GstarCAD 2023 Standard Network version ( 01 Bộ)</t>
  </si>
  <si>
    <t>110/CICHCM2023</t>
  </si>
  <si>
    <t>Bảo trì phần mềm và Gia hạn quyền sử dụng phần mềm IDEA StatiCa Steel (15/08/2023 - 15/08/2024) (04 Bộ)</t>
  </si>
  <si>
    <t>CÔNG TY CP CƠ KHÍ XÂY DỰNG THƯƠNG MẠI ĐẠI DŨNG - CHIA 50% LNG Nộp về Công Ty  ???</t>
  </si>
  <si>
    <t>111/CICHCM2023</t>
  </si>
  <si>
    <t>Bảo trì phần mềm và Gia hạn quyền sử dụng phần mềm IDEA StatiCa Steel (08/06/2023 -15/08/2024) (02 Bộ)</t>
  </si>
  <si>
    <t>CÔNG TY CP CƠ KHÍ XÂY DỰNG THƯƠNG MẠI ĐẠI DŨNG - CHIA 50% LNG Nộp về Công Ty ???</t>
  </si>
  <si>
    <t>112/CICHCM2023</t>
  </si>
  <si>
    <t>SLOPE/W - Perpetual Named license (01Bộ), Bảo trì phần mềm SLOPE/W – Maintenance 01 year - Named license (01 Bộ)</t>
  </si>
  <si>
    <t>113/CICHCM2023</t>
  </si>
  <si>
    <t>enjiCAD Standard - Standalone license (Sử dụng vĩnh viễn) (06 Bộ)</t>
  </si>
  <si>
    <t>CÔNG TY CỔ PHẦN ĐẦU TƯ PHÁT TRIỂN MINH GLOBAL</t>
  </si>
  <si>
    <t>115/CICHCM2023</t>
  </si>
  <si>
    <t>Architecture Engineering &amp; Construction Collection IC Commercial New Single-user ELD Annual Subscription (sử dụng 1 năm) (01 Bộ)</t>
  </si>
  <si>
    <t>116/CICHCM2023</t>
  </si>
  <si>
    <t>Phần mềm Microsoft 365 Business Basic - 12 tháng (20 Bộ)</t>
  </si>
  <si>
    <t>CÔNG TY TNHH MTV GIỐNG GIA SÚC VIETSWAN</t>
  </si>
  <si>
    <t>117/CICHCM2023</t>
  </si>
  <si>
    <t>PM AutoCAD - including specialized toolsets AD (10 Bộ), PM Product Design &amp; Manufacturing Collection (02 Bộ)</t>
  </si>
  <si>
    <t>118/CICHCM2023</t>
  </si>
  <si>
    <t>Phần mềm enjiCAD Professional Standalone license (03 Bộ)</t>
  </si>
  <si>
    <t>119/CICHCM2023</t>
  </si>
  <si>
    <t>Phần mềm enjiCAD Professional Standalone license (02 Bộ)</t>
  </si>
  <si>
    <t>PO72/CICHCM2023</t>
  </si>
  <si>
    <t>Creative Cloud for teams All Apps ALL Multiple Platforms ... Renewal 12 months (Anniversary date: 19 Jul 2023) (01 Bộ)</t>
  </si>
  <si>
    <t>CÔNG TY CỔ PHẦN BẤT ĐỘNG SẢN TIẾN PHƯỚC</t>
  </si>
  <si>
    <t>PO73/CICHCM2023</t>
  </si>
  <si>
    <t>Foxit PDF Editor Pro for Teams 12 (sử dụng vĩnh viễn) (06 Bộ)</t>
  </si>
  <si>
    <t>PO74/CICHCM2023</t>
  </si>
  <si>
    <t>Windows Pro 11 64Bit Eng Intl 1pk  (02 Bộ), Office Home and Business 2021 English  (02 Bộ)</t>
  </si>
  <si>
    <t>PO75/CICHCM2023</t>
  </si>
  <si>
    <t>120/CICHCM2023</t>
  </si>
  <si>
    <t>Phần mềm GstarCAD Pro - Standalone license (Phần mềm sử dụng vĩnh viễn) (06 Bộ)</t>
  </si>
  <si>
    <t>CÔNG TY TNHH AXA ENGINEERS</t>
  </si>
  <si>
    <t>PO76/CICHCM2023</t>
  </si>
  <si>
    <t>Gia hạn FHC Hydraulic Calculation Software - Phần mềm sử dụng 1 năm - Sử dụng cho 5 computer (01 Bộ)</t>
  </si>
  <si>
    <t>PO77/CICHCM2023</t>
  </si>
  <si>
    <t>Enscape Floating Annual License (01 Bộ)</t>
  </si>
  <si>
    <t>121/CICHCM2023</t>
  </si>
  <si>
    <t>Revit 2024 Commercial New Single-user ELD Annual Subscription (01 Bộ), Architecture Engineering &amp; Construction Collection IC (01 Bộ)</t>
  </si>
  <si>
    <t>PO78/CICHCM2023</t>
  </si>
  <si>
    <t>enjiCAD Standard Standalone (02 Bộ)</t>
  </si>
  <si>
    <t>CÔNG TY TNHH ACTION COMPOSITES HIGHTECH INDUSTRIES</t>
  </si>
  <si>
    <t>PO79/CICHCM2023</t>
  </si>
  <si>
    <t>Windows Pro 11 64Bit Eng Intl 1pk DSP OEI DVD (FQC-10528) (01 Bộ), Office Home and Business 2021 English APAC EM T5D-03510 (01 Bộ)</t>
  </si>
  <si>
    <t>122/CICHCM2023 (1042/HĐTĐST-CIC)</t>
  </si>
  <si>
    <t>Autocad 2D (07 Bộ), Kaspersky (12 Bộ), TeamViewer (02 Bộ)</t>
  </si>
  <si>
    <t>CHI NHÁNH TỔNG CÔNG TY PHÁT ĐIỆN I - CÔNG TY THỦY ĐIỆN SÔNG TRANH</t>
  </si>
  <si>
    <t>PO80/CICHCM2023</t>
  </si>
  <si>
    <t>Software Photoshop for teams ALL Multiple (01 Bộ), Software Lightroom w Classic for teams ALL (01 Bộ)</t>
  </si>
  <si>
    <t>123/CICHCM2023</t>
  </si>
  <si>
    <t>Creative Cloud for teams All Apps ALL Multiple Platforms Multi Asian Languages Subscription Renewal - 12 Months (65297756BA01A12) (01 Bộ)</t>
  </si>
  <si>
    <t>124/CICHCM2023</t>
  </si>
  <si>
    <t>Phần mềm enjiCAD Pro - Standalone license (05 Bộ)</t>
  </si>
  <si>
    <t>125/CICHCM2023</t>
  </si>
  <si>
    <t>Microsoft 365 Family AllLng Sub PK Lic 1YR Online APAC EM C2R NR (1 năm) (01 Bộ)</t>
  </si>
  <si>
    <t>CÔNG TY TNHH TƯ VẤN - THIẾT KẾ - XÂY DỰNG ĐƯƠNG ĐẠI</t>
  </si>
  <si>
    <t>PO81/CICHCM2023</t>
  </si>
  <si>
    <t>Phần mềm Chaos V-Ray Solo - Annual (01 bộ)</t>
  </si>
  <si>
    <t>126/CICHCM2023</t>
  </si>
  <si>
    <t>Nâng cấp phần mềm SAP2000 Ultimate - Network License từ v21 lên v24 (01 Bộ), Bảo trì phần mềm SAP2000 Ultimate Network Maintenance Agreement -01 year (free upgrade to v25) (01 Bộ)</t>
  </si>
  <si>
    <t>CÔNG TY TNHH XÂY DỰNG MÔ-ĐUN TLC</t>
  </si>
  <si>
    <t>PO82/CICHCM2023</t>
  </si>
  <si>
    <t>Bảo trì phần mềm - SAP2000 Plus Standalone Maintenance Agreement - 01 year (01 Bộ), Bảo trì phần mềm - SLOPE/W Standalone Maintenance - 01 year (01 Bộ)</t>
  </si>
  <si>
    <t>CÔNG TY CỔ PHẦN ĐẦU TƯ VÀ TƯ VẤN THIẾT KẾ SỐ MỘT</t>
  </si>
  <si>
    <t>127/CICHCM2023</t>
  </si>
  <si>
    <t>Microsoft 365 Business Basic – 12 months (01 Bộ), Exchange Online Kiosk (37 Bộ), Exchange Online (Plan 1) (04 Bộ)</t>
  </si>
  <si>
    <t>CÔNG TY CỔ PHẦN SẢN XUẤT KINH DOANH XUẤT NHẬP KHẨU MINH TIẾN</t>
  </si>
  <si>
    <t>128/CICHCM2023</t>
  </si>
  <si>
    <t>Microsoft 365 Business Standard -12 months (01 Bộ), Zoom Pro - 12 months (01 Bộ)</t>
  </si>
  <si>
    <t>PO83/CICHCM2023</t>
  </si>
  <si>
    <t>Phần mềm Lumion Pro 3-Year Subscription (01 Bộ)</t>
  </si>
  <si>
    <t>CÔNG TY TNHH ONECAD VIET NAM</t>
  </si>
  <si>
    <t>PO84/CICHCM2023</t>
  </si>
  <si>
    <t>PO85/CICHCM2023</t>
  </si>
  <si>
    <t>Microsoft 365 Business Basic - 5 Months(29-12-2023) (05 Bộ)</t>
  </si>
  <si>
    <t>CÔNG TY CỔ PHẦN XÂY DỰNG VÀ THIẾT KẾ SỐ 1 - Decofi</t>
  </si>
  <si>
    <t>129/CICHCM2023</t>
  </si>
  <si>
    <t>Phần mềm GstarCAD Standard - Standalone License (18 bộ)</t>
  </si>
  <si>
    <t>CÔNG TY TNHH GIẢI PHÁP VÀ CÔNG NGHỆ VIHOTH</t>
  </si>
  <si>
    <t>130/CICHCM2023</t>
  </si>
  <si>
    <t>SketchUp Pro bundle Commercial Single User Annual Subscription Renewal PROMO (02 Bộ)</t>
  </si>
  <si>
    <t>CÔNG TY TNHH PANORAMA ARCHITECT</t>
  </si>
  <si>
    <t>131/CICHCM2023</t>
  </si>
  <si>
    <t>AutoCAD LT Commercial Singleuser Annual Subscription Renewal (01 Bộ)</t>
  </si>
  <si>
    <t>132/CICHCM2023</t>
  </si>
  <si>
    <t>Windows Server 2022 Standard - 2 Core License Pack (24 Bộ), Windows Server 2022 - 1 User CAL (02 Bộ)</t>
  </si>
  <si>
    <t>PO86/CICHCM2023</t>
  </si>
  <si>
    <t>PO87/CICHCM2023</t>
  </si>
  <si>
    <t>Gstarcad Standard Standalone license (01 Bộ)</t>
  </si>
  <si>
    <t>CÔNG TY CP THƯƠNG MẠI VÀ PHÁT TRIỂN KỸ THUẬT CAO VIHOTH</t>
  </si>
  <si>
    <t>PO88/CICHCM2023</t>
  </si>
  <si>
    <t>Microsoft 365 App for business - 2 Months (07 Bộ)</t>
  </si>
  <si>
    <t>CÔNG TY TNHH VIỄN THÔNG IPO</t>
  </si>
  <si>
    <t>133/CICHCM2023</t>
  </si>
  <si>
    <t>Phần mềm zoom pro (01 Bộ)</t>
  </si>
  <si>
    <t>CÔNG TY THUỶ ĐIỆN HUỘI QUẢNG - BẢN CHÁT - CHI NHÁNH TẬP ĐOÀN ĐIỆN LỰC VIỆT NAM</t>
  </si>
  <si>
    <t>PO89/CICHCM2023</t>
  </si>
  <si>
    <t>Corona Solo Annual License (01 Bộ)</t>
  </si>
  <si>
    <t>PO90/CICHCM2023</t>
  </si>
  <si>
    <t>PDF Editor Pro for Teams 12 (Win / English) (01 bỘ)</t>
  </si>
  <si>
    <t>CHI NHÁNH CÔNG TY TNHH KINDEN VIỆT NAM</t>
  </si>
  <si>
    <t>PO91/CICHCM2023</t>
  </si>
  <si>
    <t>Phần mềm V-Ray Premium Annual License (02 bộ)</t>
  </si>
  <si>
    <t>134/CICHCM2023</t>
  </si>
  <si>
    <t>BIM Collaborate Pro - Single User CLOUD Commercial New Annual Subscription (01 Bộ), Revit 2024 Commercial New Single-user ELD Annual Subscription (01 Bộ)</t>
  </si>
  <si>
    <t>CÔNG TY TNHH KIẾN TRÚC VÀ QUY HOẠCH 2050</t>
  </si>
  <si>
    <t>135/CICHCM2023</t>
  </si>
  <si>
    <t>Architecture Engineering &amp; Construction Collection IC Commercial New Single-user ELD 3-Year Subscription (05 Bộ)</t>
  </si>
  <si>
    <t>TỔNG CÔNG TY XÂY DỰNG SỐ 1 - CTCP</t>
  </si>
  <si>
    <t>136/CICHCM2023</t>
  </si>
  <si>
    <t>Bảo trì phần mềm Etabs Ultimate Network Maintenance Agreement - 01 year (02 Bộ), Bảo trì phần mềm SAFE Post-Tensioning Network Maintenance Agreement (từ 23/11/2023 đến 22/11/2024) (01 Bộ)</t>
  </si>
  <si>
    <t>137/CICHCM2023</t>
  </si>
  <si>
    <t>Phần mềm Địa kỹ thuật GEO5 - Mô-đun “Ổn định mái dốc/ Slope Stability” (sử dụng vĩnh viễn, ngôn ngữ mặc định: tiếng Anh và bảo trì trong 01 năm) (01 Bộ)</t>
  </si>
  <si>
    <t>CÔNG TY CỔ PHẦN TƯ VẤN XÂY DỰNG BẾN TRE</t>
  </si>
  <si>
    <t>138/CICHCM2023</t>
  </si>
  <si>
    <t>Revit Commercial Single-user Annual Subscription Renewal (05 Bộ), AutoCAD - including specialized toolsets Commercial Single-user Annual Subscription Renewal (01 Bộ)</t>
  </si>
  <si>
    <t>139/CICHCM2023</t>
  </si>
  <si>
    <t>Phần mềm Microsoft 365 Business Basic (50 Bộ)</t>
  </si>
  <si>
    <t>CÔNG TY CỔ PHẦN DINH DƯỠNG ĐỘNG VẬT VIETSWAN</t>
  </si>
  <si>
    <t>140/CICHCM2023</t>
  </si>
  <si>
    <t>Bảo trì sửa chữa Camera quan sát (01 Bộ), Chi phí vận chuyển thiết bị sang nước ngoài (hai chiều đi-về) (01 Bộ)</t>
  </si>
  <si>
    <t>TỔNG CÔNG TY ĐẦU TƯ VÀ PHÁT TRIỂN CÔNG NGHIỆP - CTCP (BECAMEX)</t>
  </si>
  <si>
    <t>PO92/CICHCM2023</t>
  </si>
  <si>
    <t>Microsoft 365 Business Basic - 12 Months (01 bộ)</t>
  </si>
  <si>
    <t>141/CICHCM2023</t>
  </si>
  <si>
    <t>Revit 2024 Commercial New Singleuser ELD Annual Subscription (04 Bộ)</t>
  </si>
  <si>
    <t>142/CICHCM2023</t>
  </si>
  <si>
    <t>PDF Editor for Teams 12 (Phần mềm sử dụng vĩnh viễn) (05 Bộ)</t>
  </si>
  <si>
    <t>143/CICHCM2023</t>
  </si>
  <si>
    <t>Windows Server 2022 Standard - 2 Core License Pack (12 Bộ)</t>
  </si>
  <si>
    <t>CÔNG TY TNHH THƯƠNG MẠI DỊCH VỤ CÔNG NGHỆ MINH THẮNG</t>
  </si>
  <si>
    <t>PO93/CICHCM2023</t>
  </si>
  <si>
    <t>CÔNG TY CP TƯ VẤN THIẾT KẾ XÂY DỰNG VÀ KIỂM ĐỊNH BÁCH KHOA VIỆT (POLYCONS)</t>
  </si>
  <si>
    <t>PO94/CICHCM2023</t>
  </si>
  <si>
    <t>Microsoft 365 Family AllLng Sub PK Lic 1YR Online APAC EM C2R NR 6GQ-00083 (01 Bộ)</t>
  </si>
  <si>
    <t>CÔNG TY TNHH HUY TÂN</t>
  </si>
  <si>
    <t>144/CICHCM2023</t>
  </si>
  <si>
    <t>AutoCAD - including specialized toolsets AD Commercial New Single-user ELD Annual Subscription PROMO (05 Bộ)</t>
  </si>
  <si>
    <t>145/CICHCM2023</t>
  </si>
  <si>
    <t>AutoCAD LT Commercial Single user Annual Subscription Renewal (03 Bộ), Photoshop CC for teams ALL  (02 Bộ), Foxit PDF Editor for Teams (WIN) - Perpetual Licenses (01 Bộ)</t>
  </si>
  <si>
    <t>146/CICHCM2023</t>
  </si>
  <si>
    <t>Architecture Engineering &amp; Construction Collection IC Commercial Single-user ELD Annual Subscription renewal (đến ngày 21/09/2024) (07 Bộ)</t>
  </si>
  <si>
    <t>147/CICHCM2023</t>
  </si>
  <si>
    <t>Kaspersky Endpoint Security for Business - Select - Mã hiệu/xuất xứ: KL4863/Nga (106 Bộ), License key cho thiết bị tường lửa Sophos SG 210 (01 Bộ), License key cho thiết bị tường lửa XGS 3300 (02 Bộ)</t>
  </si>
  <si>
    <t>CÔNG TY THỦY ĐIỆN HUỘI QUẢNG - BẢN CHÁT - CHI NHÁNH TẬP ĐOÀN ĐIỆN LỰC VIỆT NAM</t>
  </si>
  <si>
    <t>PO95/CICHCM2023</t>
  </si>
  <si>
    <t>Chaos V-Ray Premium - Annual (01 Bộ)</t>
  </si>
  <si>
    <t>149/CICHCM2023</t>
  </si>
  <si>
    <t>Bảo trì phần mềm SAP2000 Advanced (01 Bộ) Standalone Maintenance Agreement - 01 year, Bảo trì phần mềm ETABS Nonlinear Standalone Maintenance Agreement - 01 year (01 Bộ)</t>
  </si>
  <si>
    <t>CÔNG TY CỔ PHẦN TƯ VẤN THIẾT KẾ XÂY DỰNG VÀ KIỂM ĐỊNH BÁCH KHOA VIỆT (POLYCONS)</t>
  </si>
  <si>
    <t>150/CICHCM2023</t>
  </si>
  <si>
    <t>Revit 2024 Commercial New Single user ELD Annual Subscrip (01 Bộ), BIM Collaborate Pro - Single User CLOUD Commercial New Annual Subscription (01 Bộ)</t>
  </si>
  <si>
    <t>TỔNG CÔNG TY TƯ VẤN THIẾT KẾ DẦU KHÍ - CÔNG TY CỔ PHẦN (PVE)</t>
  </si>
  <si>
    <t>151/CICHCM2023</t>
  </si>
  <si>
    <t>Revit 2024 Commercial New Single user ELD Subscription (2 tháng) từ 28/09 - 28/11/2023 (11 Bộ)</t>
  </si>
  <si>
    <t>CÔNG TY TNHH SIMPSON STRONG - TIE VIỆT NAM</t>
  </si>
  <si>
    <t>152/CICHCM2023</t>
  </si>
  <si>
    <t>CorelDRAW Graphics Suite 365-Day Subscription (Single User) (Phiên bản sử dụng 1 năm) (01 Bộ)</t>
  </si>
  <si>
    <t>CÔNG TY TNHH LEGRAND VIETNAM - CHƯA THỰC HIỆN (Khanh báo 07/11/2023) - Đã Thực Hiện 14/12/2023</t>
  </si>
  <si>
    <t>153/CICHCM2023</t>
  </si>
  <si>
    <t>Gia hạn phần mềm Tableau Creator (Online) /User/ Năm Tính từ ngày 06/10/2023 đến 05/10/2024 (01 Bộ), Phần mềm Revit 2024 Commercial New Singleuser ELD Annual Subscription (07 Bộ)</t>
  </si>
  <si>
    <t>154/CICHCM2023</t>
  </si>
  <si>
    <t>Bảo trì phần mềm ETABS Ultimate Standalone Maintenance Agreement - 01 year (24-Oct-2023 to 24-Oct-2024) (01 Bộ)</t>
  </si>
  <si>
    <t>155/CICHCM2023</t>
  </si>
  <si>
    <t>Microsoft 365 Apps for business - 12 months (40 Bộ)</t>
  </si>
  <si>
    <t>PO96/CICHCM2023</t>
  </si>
  <si>
    <t>AutoCAD LT Commercial Single - user Annual Subscription Renewal (end date: Sep 23, 2024)</t>
  </si>
  <si>
    <t>CÔNG TY TNHH NOVENTIQ VIỆT NAM</t>
  </si>
  <si>
    <t>PO97/CICHCM2023</t>
  </si>
  <si>
    <t>SketchUp Pro bundle Commercial Single User Annual Subscription Renewal (07/10/2023 đến 06/10/2024) (12 Bộ)</t>
  </si>
  <si>
    <t>PO98/CICHCM2023</t>
  </si>
  <si>
    <t>ESET PROTECT Essential On-Prem - Subscription - Renewal License - 1 Year (11 Bộ)</t>
  </si>
  <si>
    <t>CÔNG TY TNHH TM DV KỸ THUẬT G.P.L (GPL)</t>
  </si>
  <si>
    <t>PO99/CICHCM2023</t>
  </si>
  <si>
    <t>Windows Pro 11 64Bit Eng Intl 1pk DSP OEI DVD (FQC-10528) (01 Bộ)</t>
  </si>
  <si>
    <t>CÔNG TY CỔ PHẦN DỊCH VỤ KỸ THUẬT BẢO AN</t>
  </si>
  <si>
    <t>157/CICHCM2023</t>
  </si>
  <si>
    <t>Phần mềm BIM Collaborate Pro - Single User CLOUD Commercial New Annual Subscription (01 Bộ), Phần mềm Revit 2024 Commercial New Single-user ELD Annual Subscription (01 Bộ)</t>
  </si>
  <si>
    <t>158/CICHCM2023</t>
  </si>
  <si>
    <t>Phần mềm Katapro - Gói doanh nghiệp 12 tháng (02 Bộ)</t>
  </si>
  <si>
    <t>CÔNG TY TNHH TƯ VẤN THIẾT KẾ XÂY DỰNG MAI - ARCHI</t>
  </si>
  <si>
    <t>159/CICHCM2023</t>
  </si>
  <si>
    <t>Phần mềm Kaspersky Small Office Security (1 Server + 10 PCs) (12 tháng) (01 Bộ)</t>
  </si>
  <si>
    <t>CÔNG TY CỔ PHẦN TẬP ĐOÀN TƯ VẤN ĐẦU TƯ XÂY DỰNG KIÊN GIANG</t>
  </si>
  <si>
    <t>Phần mềm Sap2000 Advanced v25 - Standalone (01 Bộ), Bảo trì phần mềm Sap2000 Advanced v25 - Standalone Maintenance Agreement - 01 năm (01 Bộ)</t>
  </si>
  <si>
    <t>162/CICHCM2023 (94/PPXD2023)</t>
  </si>
  <si>
    <t>Phần mềm Sap2000 (01 Bộ), Phí nâng cấp phần mềm Sap2000 (01 Bộ), Phần mềm Etabs (01 Bộ), Phí nâng cấp phần mềm Etabs (02 Bộ)</t>
  </si>
  <si>
    <t>CÔNG TY TNHH MAEDA VIỆT NAM - Doanh thu ghi nhận Công Ty (Công Ty xuất hóa đơn)</t>
  </si>
  <si>
    <t>163/CICHCM2023</t>
  </si>
  <si>
    <t>Architecture Engineering &amp; Construction Collection IC Commercial New Single-user ELD Annual Subscription (02 Bộ)</t>
  </si>
  <si>
    <t>CÔNG TY CỔ PHẦN DỊCH VỤ TƯ VẤN PMI</t>
  </si>
  <si>
    <t>164/CICHCM2023 (Số HĐ CTy 40/PPXD2023)</t>
  </si>
  <si>
    <t>Phần mềm AutoCAD (01 Bộ), Phí gia hạn bảo trì phần mềm ETABS (01 Bộ), Phí gia hạn bảo trì phần mềm SAP2000 (02 Bộ), PM KetcauSoft (05 Bộ), PM Katapro (03 Bộ)</t>
  </si>
  <si>
    <t>CÔNG TY CỔ PHẦN XÂY DỰNG HỢP LỰC - Doanh thu ghi nhận Công Ty (Công Ty xuất hóa đơn)</t>
  </si>
  <si>
    <t>165/CICHCM2023</t>
  </si>
  <si>
    <t>Phần mềm AutoCAD LT (01 Bộ)</t>
  </si>
  <si>
    <t>CÔNG TY TNHH TƯ VẤN XÂY DỰNG NAM KHẢI</t>
  </si>
  <si>
    <t>166/CICHCM2023</t>
  </si>
  <si>
    <t>Bảo trì phần mềm ETABS (01 Bộ), Phần mềm SketchUp Pro (02 Bộ)</t>
  </si>
  <si>
    <t>167/CICHCM2023</t>
  </si>
  <si>
    <t>Phần mềm AutoCAD - including (03 Bộ)</t>
  </si>
  <si>
    <t>PO100/CICHCM2023</t>
  </si>
  <si>
    <t>Foxit PDF Editor Pro For Teams 13 (Perpetual license) (01 Bộ)</t>
  </si>
  <si>
    <t>PO101/CICHCM2023</t>
  </si>
  <si>
    <t>Microsoft 365 Family AllLng Sub (01 Bộ)</t>
  </si>
  <si>
    <t>CÔNG TY TNHH TƯ VẤN XÂY DỰNG TÂN C.C</t>
  </si>
  <si>
    <t>PO102/CICHCM2023</t>
  </si>
  <si>
    <t>Bluebeam Basics, New User, Annual Subscription (01 Bộ)</t>
  </si>
  <si>
    <t>PO103/CICHCM2023</t>
  </si>
  <si>
    <t>Phần mềm Norton Security 1PC 1 year (10 Bộ), Phần mềm BẢN QUYỀN PHẦN MỀM Symantec Endpoint (01 Bộ)</t>
  </si>
  <si>
    <t>PO104/CICHCM2023</t>
  </si>
  <si>
    <t>Phần mềm Katapro bản doanh nghiệp hạn 12 tháng (01 Bộ)</t>
  </si>
  <si>
    <t>CÔNG TY TNHH TƯ VẤN THIẾT KẾ XÂY DỰNG MAI-ARCHI</t>
  </si>
  <si>
    <t>PO105/CICHCM2023</t>
  </si>
  <si>
    <t>Phần mềm Win Pro 11 64Bit Eng (01 Bộ)</t>
  </si>
  <si>
    <t>168/CICHCM2023</t>
  </si>
  <si>
    <t>Phần mềm Foxit PDF Editor for Teams (Win) - Perpetual license (20 Bộ)</t>
  </si>
  <si>
    <t>Phần mềm ETABS Nonlinear standalone (01 Bộ), Bảo trì phần mềm ETABS Nonlinear – Standalone Maintenance Agreement - 01 năm (01 Bộ)</t>
  </si>
  <si>
    <t>CÔNG TY CP XÂY DỰNG KHANG HY - CHƯA KÝ HỢP ĐỒNG - CHƯA THỰC HIỆN - Yến báo ngày 18/12/2023-Đã thực hiện 29.12.2023</t>
  </si>
  <si>
    <t>170/CICHCM2023</t>
  </si>
  <si>
    <t>Bảo trì phần mềm ETABS Nonlinear Network Maintenance Agreement - 01 year (02 Bộ), Bảo trì phần mềm PLAXIS 2D Advanced SELECT Subscription – 01 year (15/12/2023 – 14/12/2024) (01 Bộ)</t>
  </si>
  <si>
    <t>171/CICHCM2023</t>
  </si>
  <si>
    <t>Phần mềm enjiCAD Professional Standalone License - Sử dụng vĩnh viễn (17 Bộ)</t>
  </si>
  <si>
    <t>CÔNG TY ĐIỆN LỰC ĐỒNG THÁP - KÝ HĐ VỚI CÔNG TY - CÔNG TY XUẤT HÓA ĐƠN</t>
  </si>
  <si>
    <t>Phần mềm enjiCAD Standard - Standalone License (01 Bộ), phần mềm Office LTSC Standard 2021 (01 Bộ), phần mềm VINASAS (01 Bộ)</t>
  </si>
  <si>
    <t>173/CICHCM2023</t>
  </si>
  <si>
    <t>Bản quyền phần mềm enjiCAD (125 Bộ)</t>
  </si>
  <si>
    <t>CÔNG TY ĐIỆN LỰC BÌNH THUẬN</t>
  </si>
  <si>
    <t>174/CICHCM2023</t>
  </si>
  <si>
    <t>Phần mềm Endpoint Protection, Subscription License with Support, 1-99 Devices, 1Y (SEP-SUB-1-99) (04 Bộ), Microsoft 365 Apps for business - 11 Months (04 Bộ)</t>
  </si>
  <si>
    <t>180/CICHCM2023</t>
  </si>
  <si>
    <t>Phần mềm enjiCAD Professional Standalone (112 Bộ)</t>
  </si>
  <si>
    <t>CÔNG TY ĐIỆN LỰC AN GIANG</t>
  </si>
  <si>
    <t>PO106/CICHCM2023</t>
  </si>
  <si>
    <t>Phần mềm Bluebeam Basics, New User, Annual Subscription (01 Bộ), Phần mềm Bluebeam Core, New User, Annual Subscription (01 Bộ)</t>
  </si>
  <si>
    <t>PO107/CICHCM2023</t>
  </si>
  <si>
    <t>Phần mềm Product Design &amp; Manufacturing Collection IC Commerl ... Hạn dùng đến: 27/10/2024 (03 Bộ)</t>
  </si>
  <si>
    <t>CÔNG TY TNHH PERSTIMA VIỆT NAM</t>
  </si>
  <si>
    <t>PO108/CICHCM2023</t>
  </si>
  <si>
    <t>Bảo trì phần mềm SAP2000 Plus Standalone Maintenance Agreement - 01 year (16/10/2023 - 15/10/2024) (01 Bộ)</t>
  </si>
  <si>
    <t>CÔNG TY TNHH THƯƠNG MẠI DỊCH VỤ THÁI NHẤT</t>
  </si>
  <si>
    <t>PO109/CICHCM2023</t>
  </si>
  <si>
    <t>Phần mềm BIM Collaborate Pro - Single User CLOUD Commercial New Annual Subscription (01 Bộ)</t>
  </si>
  <si>
    <t>PO110/CICHCM2023</t>
  </si>
  <si>
    <t>Phần mềm Foxit PDF Editor for Teams - Subscription license - Sử dụng thuê bao 1 năm (03 Bộ)</t>
  </si>
  <si>
    <t>CÔNG TY TNHH RAB CONSULTING</t>
  </si>
  <si>
    <t>PO112/CICHCM2023</t>
  </si>
  <si>
    <t>Phần mềm enjiCAD Professional Standalone License (01 Bộ)</t>
  </si>
  <si>
    <t>PO113/CICHCM2023</t>
  </si>
  <si>
    <t>Phần mềm ESSENTIAL 12 MONTHS (02 Bộ)</t>
  </si>
  <si>
    <t>PO114/CICHCM2023</t>
  </si>
  <si>
    <t>Phần mềm SketchUp Pro (01 Bộ)</t>
  </si>
  <si>
    <t>PO115/CICHCM2023</t>
  </si>
  <si>
    <t>CÔNG TY TNHH PETERSON - ECO2 Việt Nam</t>
  </si>
  <si>
    <t>175/CICHCM2023</t>
  </si>
  <si>
    <t>Bản quyền phần mềm Kaspersky  Endpoint Security for Business – Select (Renew) (24/11/2023 đến ngày 24/11/2024) (520 Bộ)</t>
  </si>
  <si>
    <t>176/CICHCM2023</t>
  </si>
  <si>
    <t>Phần mềm enjiCAD Pro - Network license (Phần mềm sử dụng vĩnh viễn) (22 Bộ)</t>
  </si>
  <si>
    <t>CÔNG TY CỔ PHẦN ĐẦU TƯ PHAN VŨ</t>
  </si>
  <si>
    <t>177/CICHCM2023</t>
  </si>
  <si>
    <t>Upgrade GstarCAD Pro (02 Bộ), Phần mềm GstarCAD Pro (06 Bộ), Phần mềm AutoCAD (05 Bộ)</t>
  </si>
  <si>
    <t>178/CICHCM2023</t>
  </si>
  <si>
    <t>Phần mềm AutoCAD - including specialized toolsets Commercial Single-user Annual Subscription Renewal (01 Bộ)</t>
  </si>
  <si>
    <t>CÔNG TY CỔ PHẦN TƯ VẤN XÂY DỰNG QUỐC TẾ</t>
  </si>
  <si>
    <t>179/CICHCM2023</t>
  </si>
  <si>
    <t>Phần mềm enjiCAD Professional - Standalone License (01 Bộ)</t>
  </si>
  <si>
    <t>CÔNG TY TNHH CHẾ TẠO CÔNG NGHỆ CAO SHENYAN (VIỆT NAM)</t>
  </si>
  <si>
    <t>PO116/CICHCM2023</t>
  </si>
  <si>
    <t>Khóa cứng cục bộ HW - phần mềm GEO5 (01 Bộ) (Giá bán 4,080,000đ, Có thuế VAT 8%)</t>
  </si>
  <si>
    <t>PO117/CICHCM2023</t>
  </si>
  <si>
    <t>Phần mềm - Plugin BIM Quantity Takeoff (BIMQuantityTakeoff.dll) (01 Bộ)</t>
  </si>
  <si>
    <t>CÔNG TY CP CƠ KHÍ XÂY DỰNG THƯƠNG MẠI ĐẠI DŨNG</t>
  </si>
  <si>
    <t>PO118/CICHCM2023</t>
  </si>
  <si>
    <t>Phần mềm GstaCAD Pro - Standalone license (05 Bộ)</t>
  </si>
  <si>
    <t>CÔNG TY TNHH SOLID &amp; SOFT</t>
  </si>
  <si>
    <t>PO119/CICHCM2023</t>
  </si>
  <si>
    <t>Phần mềm Norton Security 1PC 1 year - Renew License (10 Bộ)</t>
  </si>
  <si>
    <t>PO120/CICHCM2023</t>
  </si>
  <si>
    <t>Phần mềm Fusion 360 Commercial Single user Annual Subscription Renewal (01 Bộ)</t>
  </si>
  <si>
    <t>CÔNG TY TNHH SIF VINA</t>
  </si>
  <si>
    <t>PO121/CICHCM2023</t>
  </si>
  <si>
    <t>Phần mềm BIM (01 Bộ), Phần mềm Revit 2024 (01 Bộ)</t>
  </si>
  <si>
    <t>PO122/CICHCM2023</t>
  </si>
  <si>
    <t>Phần mềm Microsoft 365 (02 Bộ)</t>
  </si>
  <si>
    <t>CÔNG TY TNHH ASEAN LINES INTERNATIONAL</t>
  </si>
  <si>
    <t>181/CICHCM2023</t>
  </si>
  <si>
    <t>Phần mềm Office LTSC Standard 2021 (Sử dụng vĩnh viễn) (41 Bộ)</t>
  </si>
  <si>
    <t>182/CICHCM2023</t>
  </si>
  <si>
    <t>Phần mềm enjiCAD Pro – Standalone license (05 Bộ)</t>
  </si>
  <si>
    <t>CÔNG TY TNHH XÂY DỰNG SOLUTIONS</t>
  </si>
  <si>
    <t>183/CICHCM2023</t>
  </si>
  <si>
    <t>Phần mềm Sap2000 Plus - Standalone license license (01 Bộ), Bảo trì phần mềm Sap2000 Plus - 01 năm (01 Bộ)</t>
  </si>
  <si>
    <t>184/CICHCM2023</t>
  </si>
  <si>
    <t>Bảo trì phần mềm ETABS Nonlinear Standalone Maintenance Agreement - 01 year (01/12/2023 - 30/11/2024) (01 Bộ)</t>
  </si>
  <si>
    <t>PO123/CICHCM2023</t>
  </si>
  <si>
    <t>Phần mềm Lumion Pro 3-Year Subscription (LUMPROSUB3Y) (01 Bộ)</t>
  </si>
  <si>
    <t>PO124/CICHCM2023</t>
  </si>
  <si>
    <t>Phần mềm Foxit PDF Editor for Teams (Win) - Perpetual license (05 Bộ)</t>
  </si>
  <si>
    <t>PO125/CICHCM2023</t>
  </si>
  <si>
    <t>HD 189/CICHCM2023</t>
  </si>
  <si>
    <t>Phần mềm enjiCAD Professional - Standalone Licens (01 Bộ)</t>
  </si>
  <si>
    <t>CHIN NHÁNH CÔNG TY TNHH KINDEN VIỆT NAM</t>
  </si>
  <si>
    <t>186/CICHCM2023</t>
  </si>
  <si>
    <t>Phần mềm GstarCAD 2023 Standard Network version (02 Bộ)</t>
  </si>
  <si>
    <t>187/CICHCM2023</t>
  </si>
  <si>
    <t>Phần mềm BIM Collaborate Pro - 10 Subscription (01 Bộ), Phần mềm BIM Collaborate Pro - Single (03 Bộ)</t>
  </si>
  <si>
    <t>188/CICHCM2023</t>
  </si>
  <si>
    <t>PO127/CICHCM2023</t>
  </si>
  <si>
    <t>Phần mềm Microsoft 365 Business Standard - 12 Months (01 Bộ)</t>
  </si>
  <si>
    <t>CÔNG TY TNHH CÔNG NGHỆ DỊCH VỤ ACT</t>
  </si>
  <si>
    <t>PO128/CICHCM2023</t>
  </si>
  <si>
    <t>Phần mềm Microsoft Visio LTSC Standard 2021 (01 Bộ)</t>
  </si>
  <si>
    <t>PO129/CICHCM2023</t>
  </si>
  <si>
    <t>Phần mềm Microsoft Project Standard 2021 (01 Bộ)</t>
  </si>
  <si>
    <t>PO130/CICHCM2023</t>
  </si>
  <si>
    <t>Phần mềm PDF2DXF for GstarCAD (02 Bộ)</t>
  </si>
  <si>
    <t>190/CICHCM2023</t>
  </si>
  <si>
    <t>Phần mềm enjiCAD Standard - Standalone license (Sử dụng vĩnh viễn) (01 Bộ)</t>
  </si>
  <si>
    <t>CÔNG TY TNHH CƠ KHÍ TẤN PHÁT NEW</t>
  </si>
  <si>
    <t>191/CICHCM2023</t>
  </si>
  <si>
    <t>Phần mềm enjiCAD Pro - Standalone license (Sử dụng vĩnh viễn) (28 Bộ)</t>
  </si>
  <si>
    <t>PO131/CICHCM2023</t>
  </si>
  <si>
    <t>Phần mềm Microsoft 365 Business Basic - 12 months (01 Bộ)</t>
  </si>
  <si>
    <t>CÔNG TY TNHH KỸ THUẬT VÀ CÔNG NGHỆ V7</t>
  </si>
  <si>
    <t>PO132/CICHCM2023</t>
  </si>
  <si>
    <t>Phần mềm Foxit PDF Editor for Teams (Win) - Perpetual license (04 Bộ)</t>
  </si>
  <si>
    <t>PO133/CICHCM2023</t>
  </si>
  <si>
    <t>PO134/CICHCM2023</t>
  </si>
  <si>
    <t>PO135/CICHCM2023</t>
  </si>
  <si>
    <t>PO136/CICHCM2023</t>
  </si>
  <si>
    <t>PO137/CICHCM2023</t>
  </si>
  <si>
    <t>PO138/CICHCM2023</t>
  </si>
  <si>
    <t>PO139/CICHCM2023</t>
  </si>
  <si>
    <t>Phần mềm Microsoft Teams Premium Introductory Pricing - 1 month (01 Bộ)</t>
  </si>
  <si>
    <t>PO140/CICHCM2023</t>
  </si>
  <si>
    <t>Phần mềm Foxit PDF Editor for Teams (WIN） - Perpetual license - Sử dụng vĩnh viễn (01 Bộ)</t>
  </si>
  <si>
    <t>CHI NHÁNH CÔNG TY TNHH SỨC KHỎE TRỌN ĐỜI TẠI TP.HỒ CHÍ MIN</t>
  </si>
  <si>
    <t>PO141/CICHCM2023 (VV80/PPXD2023)</t>
  </si>
  <si>
    <t>Phần mềm GstarCAD Standard – Standalone v2023 (02 Bộ), Phần mềm GstarCAD Professional – Standalone v2023 (01 Bộ)</t>
  </si>
  <si>
    <t>CÔNG TY TNHH GIẢI PHÁP VÀ CÔNG NGHỆ VIHOTH - PO này Công Ty Xuất Hóa Đơn - Ghi sản lượng cho CN 100% - Thái báo 25/12/2023 (DAISAN VIỆT NAM là đơn vị dùng)</t>
  </si>
  <si>
    <t>192/CICHCM2023</t>
  </si>
  <si>
    <t>Phần mềm Revit 2024 (02 Bộ), Phần mềm BIM (02 Bộ)</t>
  </si>
  <si>
    <t>PO142/CICHCM2023</t>
  </si>
  <si>
    <t>Cung cấp 01 gói phần mềm EPS 365 của hãng Bentley</t>
  </si>
  <si>
    <t>Công ty TNHH MTV Dịch vụ cơ khí Hàng hải PTSC - Công Ty Xuất Hóa Đơn</t>
  </si>
  <si>
    <t>STC - Phân phối phần mềm và thiết bị KHCN</t>
  </si>
  <si>
    <t>Tu chỉnh 10 của HĐ số 210/CIC/PVDO/30K/14</t>
  </si>
  <si>
    <t>Gia hạn 1 năm sử dụng EDS</t>
  </si>
  <si>
    <t>CÔNG TY TNHH KỸ THUẬT DẦU KHÍ BIỂN PVD 
(PVD OFFSHORE)</t>
  </si>
  <si>
    <t>18/01/2023</t>
  </si>
  <si>
    <t>50/STC-CICHĐ2023-VINFRACO</t>
  </si>
  <si>
    <t>Mua một máy CHUM với 100m cáp</t>
  </si>
  <si>
    <t>CÔNG TY CP ĐẦU TƯ VÀ XÂY DỰNG HẠ TẦNG ĐÔ THỊ VIỆT NAM</t>
  </si>
  <si>
    <t>VGU 2023</t>
  </si>
  <si>
    <t>Các thiết bị đo nồng độ khí CO, NO, SO</t>
  </si>
  <si>
    <t>TRƯỜNG ĐẠI HỌC VIỆT ĐỨC</t>
  </si>
  <si>
    <t>41-2023/PTSCMC-KH/MHH-V</t>
  </si>
  <si>
    <t>Thuê phần mềm ANSYS trong 6 tháng</t>
  </si>
  <si>
    <t>11-2023/HITACO-CIC</t>
  </si>
  <si>
    <t>Cung cấp các phần mềm:
ANSYS Mechanical Enterprise 
ANSYS CFD Premium 
ANSYS Granta Selector 
ANSYS Electronics Premium HFSS</t>
  </si>
  <si>
    <t>CÔNG TY TNHH MTV ỨNG DỤNG CÔNG NGHỆ CAO HITACO</t>
  </si>
  <si>
    <t>Phụ lục 02. HĐ Số: 02/2023/ PLHĐ/TNG-CIC</t>
  </si>
  <si>
    <t>Cung cấp tiếp địa cho 4 cột đo gió</t>
  </si>
  <si>
    <t>CÔNG TY CỔ PHẦN ĐẦU TƯ XÂY DỰNG TRUNG NAM</t>
  </si>
  <si>
    <t>NSRP- HTRI</t>
  </si>
  <si>
    <t>Hoa hồng từ việc hỗ trợ khách hàng NSRP cho phần mềm HTRI</t>
  </si>
  <si>
    <t>Cty ABC HTRI</t>
  </si>
  <si>
    <t>86-2023/PTSCMC-KH/MDV-V</t>
  </si>
  <si>
    <t>Cung cấp renew phần mềm hãng AVEVA</t>
  </si>
  <si>
    <t>CÔNG TY TNHH  DỊCH VỤ CƠ KHÍ HÀNG HẢI PTSC</t>
  </si>
  <si>
    <t>BỔ SUNG SỐ 01
Hợp đồng số 1330/22/T-N5/CNTT1-CIC</t>
  </si>
  <si>
    <t>Cung cấp renew phần mềm BOCAD trong 2 năm</t>
  </si>
  <si>
    <t>LIÊN DOANH VIỆT - NGA VIETSOVPETRO</t>
  </si>
  <si>
    <t>167-2023/VNPT NET3-CIC</t>
  </si>
  <si>
    <t>Cung cấp 5 máy dò cáp ngầm RD7200</t>
  </si>
  <si>
    <t>Trung tâm Hạ tầng mạng miền Trung-Chi nhánh Tổng công ty Hạ tầng mạng.</t>
  </si>
  <si>
    <t>Vv 78</t>
  </si>
  <si>
    <t>Đầu dò cho máy CHUM</t>
  </si>
  <si>
    <t>CÔNG TY CỔ PHẦN TƯ VẤN KIỂM ĐỊNH NỀN MÓNG CÔNG TRÌNH</t>
  </si>
  <si>
    <t>07/ SOOSAN – CIC/2023</t>
  </si>
  <si>
    <t>Cung cấp thiết bị giám sát động đất Geosig</t>
  </si>
  <si>
    <t>CÔNG TY TNHH MỘT THÀNH VIÊN KỸ THUẬT CÔNG NGHIỆP SOOSAN</t>
  </si>
  <si>
    <t>84/2023/CIC-TDC</t>
  </si>
  <si>
    <t>Cung cấp thiết bị bay khảo sát Mavic 3</t>
  </si>
  <si>
    <t>CÔNG TY CỔ PHẦN TƯ VẤN ĐTXD GIAO THÔNG TỈNH BR - VT</t>
  </si>
  <si>
    <t>HTRI</t>
  </si>
  <si>
    <t>Hoa hồng từ việc hỗ trợ cho hãng phần mềm HTRI</t>
  </si>
  <si>
    <t>52/STC-CICHDD2022-PECC1</t>
  </si>
  <si>
    <t>Cung cấp 3 tháng phần mềm DNV SESAM</t>
  </si>
  <si>
    <t>158/2023/HĐKT-CIC</t>
  </si>
  <si>
    <t>Cung cấp 01 robot lặn biển Qysea V6 expert</t>
  </si>
  <si>
    <t>CÔNG TY TNHH THƯƠNG MẠI DỊCH VỤ CƠ KHÍ MES7</t>
  </si>
  <si>
    <t>2108/STC-CICHĐ2023-SIEUVIET</t>
  </si>
  <si>
    <t>Cung cấp phụ kiện máy CHUM</t>
  </si>
  <si>
    <t>CÔNG TY CỔ PHẦN VẬT LIỆU VÀ KIỂM ĐỊNH SIÊU VIỆT</t>
  </si>
  <si>
    <t>2108/2023/HĐ-LDA-LDNT CIC-COTER COLD</t>
  </si>
  <si>
    <t>Cung cấp máy dò cáp ngầm và 1 số máy khác</t>
  </si>
  <si>
    <t>CÔNG TY TNHH MTV NHÔM LÂM ĐỒNG-TKV</t>
  </si>
  <si>
    <t>159-2023/PTSCMC-KH/MDV-V</t>
  </si>
  <si>
    <t>Cung cấp 01 tháng phần mềm DNV USFOS</t>
  </si>
  <si>
    <t>55/STC-CICHĐ2023-DDSS</t>
  </si>
  <si>
    <t>Cung cấp bảo trì phần mềm SACS, MOSES cho VSP</t>
  </si>
  <si>
    <t>CÔNG TY TNHH DỊCH VỤ GIẢI PHÁP THIẾT KẾ VÀ DỮ LIỆU</t>
  </si>
  <si>
    <t>DNV chuyển vào TK Techaz</t>
  </si>
  <si>
    <t>Hoa hồng từ việc hỗ trợ cho hãng phần mềm DNV cho vụ việc VSP lần 1</t>
  </si>
  <si>
    <t>Liên doanh Việt-Nga Vietsovpetro</t>
  </si>
  <si>
    <t>01/2023/TKCN-CIC</t>
  </si>
  <si>
    <t>Cung cấp 5 điểm truy cập EDS</t>
  </si>
  <si>
    <t>TRUNG TÂM PHỐI HỢP TÌM KIẾM, CỨU NẠN HÀNG HẢI VIỆT NAM</t>
  </si>
  <si>
    <t>0211/HĐ – SGTVT – CIC</t>
  </si>
  <si>
    <t>Cung cấp phần mềm TRAZER và PTV VISSIM</t>
  </si>
  <si>
    <t>SỞ GIAO THÔNG VẬN TẢI HÀ NỘI</t>
  </si>
  <si>
    <t>66/STC-CICHĐ2023-TM</t>
  </si>
  <si>
    <t>Cung cấp 1 thiết bị RD8200</t>
  </si>
  <si>
    <t>Công ty Cổ phần Thiết bị Và Dịch vụ Công nghệ T&amp;M</t>
  </si>
  <si>
    <t>28/HĐHV-CIC</t>
  </si>
  <si>
    <t>Cung cấp phần mềm SARMAP</t>
  </si>
  <si>
    <t>Trung tâm Hải văn</t>
  </si>
  <si>
    <t>PHỤ LỤC 02 HĐ: 52/STC-CICHĐ2022-PECC1</t>
  </si>
  <si>
    <t>Cung cấp thêm 1 tháng phần mềm SESAM</t>
  </si>
  <si>
    <t>Công ty CP Tư vấn Xây Dựng Điện 1</t>
  </si>
  <si>
    <t>-2023/PTSCMC-KH/MDV-V</t>
  </si>
  <si>
    <t>Cung cấp 6 tháng thuê phần mềm DNV FATFREE</t>
  </si>
  <si>
    <t>Công ty TNHH MTV Dịch vụ Cơ khí Hàng hải PTSC</t>
  </si>
  <si>
    <t>TU CHỈNH SỐ 11 HỢP ĐỒNG Số: 210/CIC/PVDO/30K/14</t>
  </si>
  <si>
    <t>Cung cấp EDS trong năm 2024</t>
  </si>
  <si>
    <t>CÔNG TY TNHH DỊCH VỤ KỸ THUẬT DẦU KHÍ BIỂN PVD</t>
  </si>
  <si>
    <t>Tư vấn dự án</t>
  </si>
  <si>
    <t>06/HĐ2023/BQLDADTXD-LD</t>
  </si>
  <si>
    <t>Tư vấn thiết kế</t>
  </si>
  <si>
    <t>BQLDA đầu tư xây dựng</t>
  </si>
  <si>
    <t>12/HĐTV2023/TCTT-CIC</t>
  </si>
  <si>
    <t>Lập HSMT</t>
  </si>
  <si>
    <t>Tạp chí Thanh tra</t>
  </si>
  <si>
    <t>14/HĐTV2023/TTTT-CIC</t>
  </si>
  <si>
    <t>Trung tâm thông tin BXD</t>
  </si>
  <si>
    <t>15/HĐTV2023/TTTT-CIC</t>
  </si>
  <si>
    <t>Lập HSMTTrung tâm thông tin BXD</t>
  </si>
  <si>
    <t>25/HĐTV2023/KTKTCN-CIC</t>
  </si>
  <si>
    <t>Thẩm tra Đề cương</t>
  </si>
  <si>
    <t>Trường ĐH Kinh tế Kỹ thuật Công nghiệp</t>
  </si>
  <si>
    <t>28/HĐTV2023/KTKTCN-CIC</t>
  </si>
  <si>
    <t>Thẩm định HSMT</t>
  </si>
  <si>
    <t>29/2023/HĐTV- TNNQG-CIC</t>
  </si>
  <si>
    <t>Trung tâm Quy hoạch và Điều tra tài nguyên nước quốc gia</t>
  </si>
  <si>
    <t>911/2023/HĐTV/VINATABA-CIC</t>
  </si>
  <si>
    <t>Tổng Công ty Thuốc lá Việt Nam</t>
  </si>
  <si>
    <t>32/2023/HĐTV- YDTN-CIC</t>
  </si>
  <si>
    <t>Đại học Y Dược Thái Nguyên</t>
  </si>
  <si>
    <t>33/2023/HĐTV- TTXH-CIC</t>
  </si>
  <si>
    <t>Lập HSMT gói ContentDM</t>
  </si>
  <si>
    <t>Viện Thông tin Khoa học xã hội</t>
  </si>
  <si>
    <t>34/2023/HĐTV- TTXH-CIC</t>
  </si>
  <si>
    <t>Lập HSMT gói Sierra</t>
  </si>
  <si>
    <t>TIB - Giải pháp công nghệ ngành nội thất và VLXD</t>
  </si>
  <si>
    <t>001/TIB-CICHĐ2023</t>
  </si>
  <si>
    <t>Opera JM: Update and support + 4 licenses + Multiple Users</t>
  </si>
  <si>
    <t>Công ty CP Tập đoàn Austdoor</t>
  </si>
  <si>
    <t>VV18</t>
  </si>
  <si>
    <t>Dongles replacement</t>
  </si>
  <si>
    <t>Công ty Cổ phần UA Facade</t>
  </si>
  <si>
    <t>VV27</t>
  </si>
  <si>
    <t>Haixun Dongles</t>
  </si>
  <si>
    <t>Anh Hiểu - SD92</t>
  </si>
  <si>
    <t>002/TMB-CICHĐ2023</t>
  </si>
  <si>
    <t>Opera - Additional Licenses</t>
  </si>
  <si>
    <t>Công ty Cổ phần Alumax</t>
  </si>
  <si>
    <t>003/TMB-CICHĐ2023</t>
  </si>
  <si>
    <t>Công ty Cổ phần Sản xuất Thương mại EUROSPACE</t>
  </si>
  <si>
    <t>004/TMB-CICHĐ2023</t>
  </si>
  <si>
    <t>Opera - Additional Licenses + Cutting CNC machine</t>
  </si>
  <si>
    <t>Công ty TNHH SX TM XD CK Việt Minh Long</t>
  </si>
  <si>
    <t>VV79</t>
  </si>
  <si>
    <t>Haixun Design</t>
  </si>
  <si>
    <t>Công ty Cổ phần One Furniture</t>
  </si>
  <si>
    <t>005/TMB-CICHĐ2023</t>
  </si>
  <si>
    <t>Opera Training</t>
  </si>
  <si>
    <t>Công ty TNHH Asia Lu</t>
  </si>
  <si>
    <t>006/TMB-CICHĐ2023</t>
  </si>
  <si>
    <t>Opera - Main licenses</t>
  </si>
  <si>
    <t>Công ty TNHH Hopo Quốc tế</t>
  </si>
  <si>
    <t>VV84</t>
  </si>
  <si>
    <t>Opera training</t>
  </si>
  <si>
    <t>Công ty TNHH Cửa Hoàng Phương</t>
  </si>
  <si>
    <t>VV86</t>
  </si>
  <si>
    <t>Anh Thắng - CAG (Cty TNHH kính vạn thắng)</t>
  </si>
  <si>
    <t>VV100</t>
  </si>
  <si>
    <t>Opera - Additional license + CNC cutting machine</t>
  </si>
  <si>
    <t>Công ty Cổ phần GOPCO Việt Nam (EU: Đại Phát Window - HP)</t>
  </si>
  <si>
    <t>008/TMB-CICHĐ2023</t>
  </si>
  <si>
    <t>Opera JM (3 bộ) + Curtain walls + Multiple users</t>
  </si>
  <si>
    <t>Công ty Cổ phần Đầu tư và Phát triển UNIFIED</t>
  </si>
  <si>
    <t>Các hợp đồng khác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</si>
</sst>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quot;/&quot;mm&quot;/&quot;yyyy"/>
    <numFmt numFmtId="165" formatCode="[$₫]#,##0"/>
  </numFmts>
  <fonts count="28">
    <font>
      <sz val="10.0"/>
      <color rgb="FF000000"/>
      <name val="Arial"/>
    </font>
    <font>
      <b/>
    </font>
    <font>
      <b/>
      <sz val="16.0"/>
      <color rgb="FFFF0000"/>
    </font>
    <font>
      <b/>
      <sz val="16.0"/>
    </font>
    <font>
      <sz val="16.0"/>
    </font>
    <font>
      <b/>
      <sz val="12.0"/>
      <name val="Times New Roman"/>
    </font>
    <font>
      <b/>
      <sz val="11.0"/>
    </font>
    <font>
      <sz val="12.0"/>
      <name val="Times New Roman"/>
    </font>
    <font>
      <u/>
      <sz val="12.0"/>
      <color rgb="FF0000FF"/>
      <name val="Times New Roman"/>
    </font>
    <font>
      <sz val="11.0"/>
    </font>
    <font>
      <sz val="11.0"/>
      <color rgb="FF000000"/>
    </font>
    <font>
      <b/>
      <u/>
      <sz val="12.0"/>
      <color rgb="FF0000FF"/>
      <name val="Times New Roman"/>
    </font>
    <font>
      <b/>
      <u/>
      <sz val="12.0"/>
      <color rgb="FF0000FF"/>
      <name val="Times New Roman"/>
    </font>
    <font>
      <b/>
      <u/>
      <sz val="12.0"/>
      <color rgb="FF0000FF"/>
      <name val="Times New Roman"/>
    </font>
    <font>
      <b/>
      <u/>
      <sz val="12.0"/>
      <color rgb="FF0000FF"/>
      <name val="Times New Roman"/>
    </font>
    <font>
      <b/>
      <sz val="11.0"/>
      <name val="Arial"/>
    </font>
    <font>
      <b/>
      <sz val="11.0"/>
      <color rgb="FFFF0000"/>
    </font>
    <font>
      <b/>
      <sz val="11.0"/>
      <color rgb="FF000000"/>
      <name val="Arial"/>
    </font>
    <font>
      <b/>
      <strike/>
      <sz val="11.0"/>
    </font>
    <font/>
    <font>
      <b/>
      <sz val="16.0"/>
      <color rgb="FF000000"/>
    </font>
    <font>
      <b/>
      <sz val="12.0"/>
      <color rgb="FF000000"/>
      <name val="Times New Roman"/>
    </font>
    <font>
      <b/>
      <sz val="11.0"/>
      <color rgb="FF000000"/>
    </font>
    <font>
      <b/>
      <color rgb="FF000000"/>
      <name val="Arial"/>
    </font>
    <font>
      <b/>
      <u/>
      <color rgb="FF1155CC"/>
      <name val="Arial"/>
    </font>
    <font>
      <b/>
      <name val="Arial"/>
    </font>
    <font>
      <u/>
      <color rgb="FF1155CC"/>
      <name val="Arial"/>
    </font>
    <font>
      <name val="Arial"/>
    </font>
  </fonts>
  <fills count="9">
    <fill>
      <patternFill patternType="none"/>
    </fill>
    <fill>
      <patternFill patternType="lightGray"/>
    </fill>
    <fill>
      <patternFill patternType="solid">
        <fgColor rgb="FFFFCC99"/>
        <bgColor rgb="FFFFCC99"/>
      </patternFill>
    </fill>
    <fill>
      <patternFill patternType="solid">
        <fgColor rgb="FFFFFFFF"/>
        <bgColor rgb="FFFFFFFF"/>
      </patternFill>
    </fill>
    <fill>
      <patternFill patternType="solid">
        <fgColor rgb="FFFFF2CC"/>
        <bgColor rgb="FFFFF2CC"/>
      </patternFill>
    </fill>
    <fill>
      <patternFill patternType="solid">
        <fgColor rgb="FFFFD966"/>
        <bgColor rgb="FFFFD966"/>
      </patternFill>
    </fill>
    <fill>
      <patternFill patternType="solid">
        <fgColor rgb="FF9FC5E8"/>
        <bgColor rgb="FF9FC5E8"/>
      </patternFill>
    </fill>
    <fill>
      <patternFill patternType="solid">
        <fgColor rgb="FFB4A7D6"/>
        <bgColor rgb="FFB4A7D6"/>
      </patternFill>
    </fill>
    <fill>
      <patternFill patternType="solid">
        <fgColor rgb="FFF4CCCC"/>
        <bgColor rgb="FFF4CCCC"/>
      </patternFill>
    </fill>
  </fills>
  <borders count="1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1"/>
    </xf>
    <xf borderId="0" fillId="0" fontId="1" numFmtId="0" xfId="0" applyAlignment="1" applyFont="1">
      <alignment readingOrder="0" shrinkToFit="0"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0"/>
    </xf>
    <xf borderId="0" fillId="0" fontId="4" numFmtId="0" xfId="0" applyAlignment="1" applyFont="1">
      <alignment horizontal="center" shrinkToFit="0" vertical="center" wrapText="1"/>
    </xf>
    <xf borderId="1" fillId="2" fontId="5" numFmtId="0" xfId="0" applyAlignment="1" applyBorder="1" applyFill="1" applyFont="1">
      <alignment horizontal="center" shrinkToFit="0" vertical="center" wrapText="1"/>
    </xf>
    <xf borderId="1" fillId="2" fontId="5" numFmtId="4" xfId="0" applyAlignment="1" applyBorder="1" applyFont="1" applyNumberFormat="1">
      <alignment horizontal="center" shrinkToFit="0" vertical="center" wrapText="1"/>
    </xf>
    <xf borderId="1" fillId="2" fontId="5" numFmtId="4" xfId="0" applyAlignment="1" applyBorder="1" applyFont="1" applyNumberFormat="1">
      <alignment horizontal="center"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0" fontId="6" numFmtId="4" xfId="0" applyAlignment="1" applyBorder="1" applyFont="1" applyNumberFormat="1">
      <alignment horizontal="right" shrinkToFit="0" vertical="center" wrapText="1"/>
    </xf>
    <xf borderId="1" fillId="0" fontId="6" numFmtId="10" xfId="0" applyAlignment="1" applyBorder="1" applyFont="1" applyNumberFormat="1">
      <alignment shrinkToFit="0" vertical="center" wrapText="0"/>
    </xf>
    <xf borderId="1" fillId="0" fontId="7"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 fillId="0" fontId="9" numFmtId="4" xfId="0" applyAlignment="1" applyBorder="1" applyFont="1" applyNumberFormat="1">
      <alignment horizontal="right" readingOrder="0" shrinkToFit="0" vertical="center" wrapText="1"/>
    </xf>
    <xf borderId="1" fillId="0" fontId="9" numFmtId="4" xfId="0" applyAlignment="1" applyBorder="1" applyFont="1" applyNumberFormat="1">
      <alignment horizontal="right" shrinkToFit="0" vertical="center" wrapText="1"/>
    </xf>
    <xf borderId="1" fillId="0" fontId="9" numFmtId="10" xfId="0" applyAlignment="1" applyBorder="1" applyFont="1" applyNumberFormat="1">
      <alignment shrinkToFit="0" vertical="center" wrapText="0"/>
    </xf>
    <xf borderId="1" fillId="0" fontId="9" numFmtId="4" xfId="0" applyAlignment="1" applyBorder="1" applyFont="1" applyNumberFormat="1">
      <alignment readingOrder="0" shrinkToFit="0" vertical="center" wrapText="0"/>
    </xf>
    <xf borderId="1" fillId="0" fontId="10" numFmtId="4" xfId="0" applyAlignment="1" applyBorder="1" applyFont="1" applyNumberFormat="1">
      <alignment horizontal="right" readingOrder="0" shrinkToFit="0" vertical="center" wrapText="1"/>
    </xf>
    <xf borderId="1" fillId="3" fontId="9" numFmtId="4" xfId="0" applyAlignment="1" applyBorder="1" applyFill="1" applyFont="1" applyNumberFormat="1">
      <alignment horizontal="right" readingOrder="0" shrinkToFit="0" vertical="center" wrapText="1"/>
    </xf>
    <xf borderId="1" fillId="0" fontId="11" numFmtId="0" xfId="0" applyAlignment="1" applyBorder="1" applyFont="1">
      <alignment horizontal="left" readingOrder="0" shrinkToFit="0" vertical="center" wrapText="1"/>
    </xf>
    <xf borderId="1" fillId="0" fontId="6" numFmtId="4" xfId="0" applyAlignment="1" applyBorder="1" applyFont="1" applyNumberFormat="1">
      <alignment horizontal="right" readingOrder="0" shrinkToFit="0" vertical="center" wrapText="1"/>
    </xf>
    <xf borderId="1" fillId="0" fontId="5" numFmtId="0" xfId="0" applyAlignment="1" applyBorder="1" applyFont="1">
      <alignment horizontal="center" readingOrder="0" shrinkToFit="0" vertical="center" wrapText="1"/>
    </xf>
    <xf borderId="1" fillId="0" fontId="12" numFmtId="0" xfId="0" applyAlignment="1" applyBorder="1" applyFont="1">
      <alignment horizontal="left" shrinkToFit="0" vertical="center" wrapText="1"/>
    </xf>
    <xf borderId="1" fillId="0" fontId="13" numFmtId="0" xfId="0" applyAlignment="1" applyBorder="1" applyFont="1">
      <alignment horizontal="left" readingOrder="0" shrinkToFit="0" vertical="center" wrapText="1"/>
    </xf>
    <xf borderId="1" fillId="0" fontId="14" numFmtId="0" xfId="0" applyAlignment="1" applyBorder="1" applyFont="1">
      <alignment horizontal="left" shrinkToFit="0" vertical="center" wrapText="1"/>
    </xf>
    <xf borderId="1" fillId="0" fontId="15" numFmtId="4" xfId="0" applyAlignment="1" applyBorder="1" applyFont="1" applyNumberFormat="1">
      <alignment horizontal="right" shrinkToFit="0" vertical="center" wrapText="1"/>
    </xf>
    <xf borderId="2" fillId="0" fontId="15" numFmtId="4" xfId="0" applyAlignment="1" applyBorder="1" applyFont="1" applyNumberFormat="1">
      <alignment horizontal="right" shrinkToFit="0" vertical="center" wrapText="1"/>
    </xf>
    <xf borderId="1" fillId="0" fontId="16" numFmtId="4" xfId="0" applyAlignment="1" applyBorder="1" applyFont="1" applyNumberFormat="1">
      <alignment horizontal="right" shrinkToFit="0" vertical="center" wrapText="1"/>
    </xf>
    <xf borderId="1" fillId="0" fontId="7" numFmtId="0" xfId="0" applyAlignment="1" applyBorder="1" applyFont="1">
      <alignment shrinkToFit="0" vertical="center" wrapText="0"/>
    </xf>
    <xf borderId="1" fillId="0" fontId="7" numFmtId="0" xfId="0" applyAlignment="1" applyBorder="1" applyFont="1">
      <alignment horizontal="left" shrinkToFit="0" vertical="center" wrapText="1"/>
    </xf>
    <xf borderId="1" fillId="0" fontId="9" numFmtId="4" xfId="0" applyAlignment="1" applyBorder="1" applyFont="1" applyNumberFormat="1">
      <alignment shrinkToFit="0" vertical="center" wrapText="0"/>
    </xf>
    <xf borderId="1" fillId="0" fontId="5" numFmtId="0" xfId="0" applyAlignment="1" applyBorder="1" applyFont="1">
      <alignment shrinkToFit="0" vertical="center" wrapText="0"/>
    </xf>
    <xf borderId="1" fillId="0" fontId="5" numFmtId="0" xfId="0" applyAlignment="1" applyBorder="1" applyFont="1">
      <alignment horizontal="left" readingOrder="0" shrinkToFit="0" vertical="center" wrapText="1"/>
    </xf>
    <xf borderId="1" fillId="3" fontId="17" numFmtId="4" xfId="0" applyAlignment="1" applyBorder="1" applyFont="1" applyNumberFormat="1">
      <alignment horizontal="right" readingOrder="0" shrinkToFit="0" vertical="center" wrapText="1"/>
    </xf>
    <xf borderId="1" fillId="0" fontId="6" numFmtId="4" xfId="0" applyAlignment="1" applyBorder="1" applyFont="1" applyNumberFormat="1">
      <alignment shrinkToFit="0" vertical="center" wrapText="0"/>
    </xf>
    <xf borderId="1" fillId="0" fontId="18" numFmtId="3" xfId="0" applyAlignment="1" applyBorder="1" applyFont="1" applyNumberFormat="1">
      <alignment shrinkToFit="0" vertical="center" wrapText="0"/>
    </xf>
    <xf borderId="1" fillId="4" fontId="6" numFmtId="10" xfId="0" applyAlignment="1" applyBorder="1" applyFill="1" applyFont="1" applyNumberFormat="1">
      <alignment shrinkToFit="0" vertical="center" wrapText="0"/>
    </xf>
    <xf borderId="1" fillId="4" fontId="6" numFmtId="4" xfId="0" applyAlignment="1" applyBorder="1" applyFont="1" applyNumberFormat="1">
      <alignment readingOrder="0" shrinkToFit="0" vertical="center" wrapText="0"/>
    </xf>
    <xf borderId="0" fillId="0" fontId="19" numFmtId="0" xfId="0" applyAlignment="1" applyFont="1">
      <alignment shrinkToFit="0" wrapText="1"/>
    </xf>
    <xf borderId="1" fillId="0" fontId="15" numFmtId="4" xfId="0" applyAlignment="1" applyBorder="1" applyFont="1" applyNumberFormat="1">
      <alignment horizontal="right" shrinkToFit="0" wrapText="1"/>
    </xf>
    <xf borderId="2" fillId="0" fontId="15" numFmtId="4" xfId="0" applyAlignment="1" applyBorder="1" applyFont="1" applyNumberFormat="1">
      <alignment horizontal="right" shrinkToFit="0" wrapText="1"/>
    </xf>
    <xf borderId="0" fillId="0" fontId="20" numFmtId="0" xfId="0" applyAlignment="1" applyFont="1">
      <alignment horizontal="center" readingOrder="0" shrinkToFit="0" vertical="center" wrapText="0"/>
    </xf>
    <xf borderId="1" fillId="2" fontId="21" numFmtId="0" xfId="0" applyAlignment="1" applyBorder="1" applyFont="1">
      <alignment horizontal="center" shrinkToFit="0" vertical="center" wrapText="1"/>
    </xf>
    <xf borderId="1" fillId="2" fontId="21" numFmtId="4" xfId="0" applyAlignment="1" applyBorder="1" applyFont="1" applyNumberFormat="1">
      <alignment horizontal="center" shrinkToFit="0" vertical="center" wrapText="1"/>
    </xf>
    <xf borderId="1" fillId="0" fontId="22" numFmtId="4" xfId="0" applyAlignment="1" applyBorder="1" applyFont="1" applyNumberFormat="1">
      <alignment horizontal="right" shrinkToFit="0" vertical="center" wrapText="1"/>
    </xf>
    <xf borderId="1" fillId="0" fontId="10" numFmtId="4" xfId="0" applyAlignment="1" applyBorder="1" applyFont="1" applyNumberFormat="1">
      <alignment horizontal="right" shrinkToFit="0" vertical="center" wrapText="1"/>
    </xf>
    <xf borderId="3" fillId="5" fontId="23" numFmtId="0" xfId="0" applyAlignment="1" applyBorder="1" applyFill="1" applyFont="1">
      <alignment horizontal="center" shrinkToFit="0" vertical="center" wrapText="1"/>
    </xf>
    <xf borderId="3" fillId="5" fontId="23" numFmtId="0" xfId="0" applyAlignment="1" applyBorder="1" applyFont="1">
      <alignment horizontal="center" readingOrder="0" shrinkToFit="0" vertical="center" wrapText="1"/>
    </xf>
    <xf borderId="3" fillId="5" fontId="23" numFmtId="164" xfId="0" applyAlignment="1" applyBorder="1" applyFont="1" applyNumberFormat="1">
      <alignment horizontal="center" shrinkToFit="0" vertical="center" wrapText="1"/>
    </xf>
    <xf borderId="4" fillId="5" fontId="23" numFmtId="164" xfId="0" applyAlignment="1" applyBorder="1" applyFont="1" applyNumberFormat="1">
      <alignment horizontal="center" readingOrder="0" shrinkToFit="0" vertical="center" wrapText="1"/>
    </xf>
    <xf borderId="3" fillId="5" fontId="23" numFmtId="165" xfId="0" applyAlignment="1" applyBorder="1" applyFont="1" applyNumberFormat="1">
      <alignment horizontal="center" readingOrder="0" shrinkToFit="0" vertical="center" wrapText="1"/>
    </xf>
    <xf borderId="5" fillId="5" fontId="23" numFmtId="165" xfId="0" applyAlignment="1" applyBorder="1" applyFont="1" applyNumberFormat="1">
      <alignment horizontal="center" readingOrder="0" shrinkToFit="0" vertical="center" wrapText="1"/>
    </xf>
    <xf borderId="5" fillId="5" fontId="23" numFmtId="10" xfId="0" applyAlignment="1" applyBorder="1" applyFont="1" applyNumberFormat="1">
      <alignment horizontal="center" readingOrder="0" shrinkToFit="0" vertical="center" wrapText="1"/>
    </xf>
    <xf borderId="6" fillId="0" fontId="19" numFmtId="0" xfId="0" applyAlignment="1" applyBorder="1" applyFont="1">
      <alignment shrinkToFit="0" wrapText="1"/>
    </xf>
    <xf borderId="7" fillId="0" fontId="19" numFmtId="0" xfId="0" applyAlignment="1" applyBorder="1" applyFont="1">
      <alignment shrinkToFit="0" wrapText="1"/>
    </xf>
    <xf borderId="6" fillId="6" fontId="19" numFmtId="165" xfId="0" applyAlignment="1" applyBorder="1" applyFill="1" applyFont="1" applyNumberFormat="1">
      <alignment horizontal="right" readingOrder="0" shrinkToFit="0" wrapText="1"/>
    </xf>
    <xf borderId="8" fillId="0" fontId="19" numFmtId="0" xfId="0" applyAlignment="1" applyBorder="1" applyFont="1">
      <alignment shrinkToFit="0" wrapText="1"/>
    </xf>
    <xf borderId="9" fillId="0" fontId="19" numFmtId="0" xfId="0" applyAlignment="1" applyBorder="1" applyFont="1">
      <alignment shrinkToFit="0" wrapText="1"/>
    </xf>
    <xf borderId="10" fillId="0" fontId="19" numFmtId="0" xfId="0" applyAlignment="1" applyBorder="1" applyFont="1">
      <alignment shrinkToFit="0" wrapText="1"/>
    </xf>
    <xf borderId="9" fillId="7" fontId="19" numFmtId="10" xfId="0" applyAlignment="1" applyBorder="1" applyFill="1" applyFont="1" applyNumberFormat="1">
      <alignment horizontal="right" readingOrder="0" shrinkToFit="0" wrapText="1"/>
    </xf>
    <xf borderId="11" fillId="7" fontId="19" numFmtId="10" xfId="0" applyAlignment="1" applyBorder="1" applyFont="1" applyNumberFormat="1">
      <alignment horizontal="right" readingOrder="0" shrinkToFit="0" wrapText="1"/>
    </xf>
    <xf borderId="11" fillId="0" fontId="19" numFmtId="0" xfId="0" applyAlignment="1" applyBorder="1" applyFont="1">
      <alignment shrinkToFit="0" wrapText="1"/>
    </xf>
    <xf borderId="0" fillId="8" fontId="24" numFmtId="0" xfId="0" applyAlignment="1" applyFill="1" applyFont="1">
      <alignment horizontal="center" readingOrder="0" shrinkToFit="0" vertical="center" wrapText="1"/>
    </xf>
    <xf borderId="0" fillId="8" fontId="25" numFmtId="165" xfId="0" applyAlignment="1" applyFont="1" applyNumberFormat="1">
      <alignment horizontal="center" readingOrder="0" shrinkToFit="0" vertical="center" wrapText="1"/>
    </xf>
    <xf borderId="0" fillId="8" fontId="25" numFmtId="10" xfId="0" applyAlignment="1" applyFont="1" applyNumberFormat="1">
      <alignment horizontal="center" shrinkToFit="0" vertical="center" wrapText="1"/>
    </xf>
    <xf borderId="0" fillId="0" fontId="26" numFmtId="0" xfId="0" applyAlignment="1" applyFont="1">
      <alignment horizontal="left" readingOrder="0" shrinkToFit="0" vertical="center" wrapText="1"/>
    </xf>
    <xf borderId="0" fillId="0" fontId="27" numFmtId="0" xfId="0" applyAlignment="1" applyFont="1">
      <alignment horizontal="left" readingOrder="0" shrinkToFit="0" vertical="center" wrapText="1"/>
    </xf>
    <xf borderId="0" fillId="0" fontId="27" numFmtId="14" xfId="0" applyAlignment="1" applyFont="1" applyNumberFormat="1">
      <alignment horizontal="right" readingOrder="0" shrinkToFit="0" vertical="center" wrapText="1"/>
    </xf>
    <xf borderId="0" fillId="0" fontId="27" numFmtId="165" xfId="0" applyAlignment="1" applyFont="1" applyNumberFormat="1">
      <alignment horizontal="right" readingOrder="0" shrinkToFit="0" vertical="center" wrapText="1"/>
    </xf>
    <xf borderId="0" fillId="0" fontId="27" numFmtId="10" xfId="0" applyAlignment="1" applyFont="1" applyNumberFormat="1">
      <alignment horizontal="right" shrinkToFit="0" vertical="center" wrapText="1"/>
    </xf>
    <xf borderId="0" fillId="0" fontId="27" numFmtId="0" xfId="0" applyAlignment="1" applyFont="1">
      <alignment horizontal="right" readingOrder="0" shrinkToFit="0" vertical="center" wrapText="1"/>
    </xf>
  </cellXfs>
  <cellStyles count="1">
    <cellStyle xfId="0" name="Normal" builtinId="0"/>
  </cellStyles>
  <dxfs count="2">
    <dxf>
      <font>
        <color rgb="FF0000FF"/>
      </font>
      <fill>
        <patternFill patternType="none"/>
      </fill>
      <border/>
    </dxf>
    <dxf>
      <font>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docs.google.com/spreadsheets/d/1vCOoengzj4u-lf-Olvw85ysitfzOfclGKPXAtoEPy0A/edit" TargetMode="External"/><Relationship Id="rId194" Type="http://schemas.openxmlformats.org/officeDocument/2006/relationships/hyperlink" Target="https://docs.google.com/spreadsheets/d/1vCOoengzj4u-lf-Olvw85ysitfzOfclGKPXAtoEPy0A/edit" TargetMode="External"/><Relationship Id="rId193" Type="http://schemas.openxmlformats.org/officeDocument/2006/relationships/hyperlink" Target="https://docs.google.com/spreadsheets/d/1vCOoengzj4u-lf-Olvw85ysitfzOfclGKPXAtoEPy0A/edit" TargetMode="External"/><Relationship Id="rId192" Type="http://schemas.openxmlformats.org/officeDocument/2006/relationships/hyperlink" Target="https://docs.google.com/spreadsheets/d/1vCOoengzj4u-lf-Olvw85ysitfzOfclGKPXAtoEPy0A/edit" TargetMode="External"/><Relationship Id="rId191" Type="http://schemas.openxmlformats.org/officeDocument/2006/relationships/hyperlink" Target="https://docs.google.com/spreadsheets/d/1vCOoengzj4u-lf-Olvw85ysitfzOfclGKPXAtoEPy0A/edit" TargetMode="External"/><Relationship Id="rId187" Type="http://schemas.openxmlformats.org/officeDocument/2006/relationships/hyperlink" Target="https://docs.google.com/spreadsheets/d/1vCOoengzj4u-lf-Olvw85ysitfzOfclGKPXAtoEPy0A/edit" TargetMode="External"/><Relationship Id="rId186" Type="http://schemas.openxmlformats.org/officeDocument/2006/relationships/hyperlink" Target="https://docs.google.com/spreadsheets/d/1vCOoengzj4u-lf-Olvw85ysitfzOfclGKPXAtoEPy0A/edit" TargetMode="External"/><Relationship Id="rId185" Type="http://schemas.openxmlformats.org/officeDocument/2006/relationships/hyperlink" Target="https://docs.google.com/spreadsheets/d/1vCOoengzj4u-lf-Olvw85ysitfzOfclGKPXAtoEPy0A/edit" TargetMode="External"/><Relationship Id="rId184" Type="http://schemas.openxmlformats.org/officeDocument/2006/relationships/hyperlink" Target="https://docs.google.com/spreadsheets/d/1vCOoengzj4u-lf-Olvw85ysitfzOfclGKPXAtoEPy0A/edit" TargetMode="External"/><Relationship Id="rId189" Type="http://schemas.openxmlformats.org/officeDocument/2006/relationships/hyperlink" Target="https://docs.google.com/spreadsheets/d/1vCOoengzj4u-lf-Olvw85ysitfzOfclGKPXAtoEPy0A/edit" TargetMode="External"/><Relationship Id="rId188" Type="http://schemas.openxmlformats.org/officeDocument/2006/relationships/hyperlink" Target="https://docs.google.com/spreadsheets/d/1vCOoengzj4u-lf-Olvw85ysitfzOfclGKPXAtoEPy0A/edit" TargetMode="External"/><Relationship Id="rId183" Type="http://schemas.openxmlformats.org/officeDocument/2006/relationships/hyperlink" Target="https://docs.google.com/spreadsheets/d/1vCOoengzj4u-lf-Olvw85ysitfzOfclGKPXAtoEPy0A/edit" TargetMode="External"/><Relationship Id="rId182" Type="http://schemas.openxmlformats.org/officeDocument/2006/relationships/hyperlink" Target="https://docs.google.com/spreadsheets/d/1vCOoengzj4u-lf-Olvw85ysitfzOfclGKPXAtoEPy0A/edit" TargetMode="External"/><Relationship Id="rId181" Type="http://schemas.openxmlformats.org/officeDocument/2006/relationships/hyperlink" Target="https://docs.google.com/spreadsheets/d/1vCOoengzj4u-lf-Olvw85ysitfzOfclGKPXAtoEPy0A/edit" TargetMode="External"/><Relationship Id="rId180" Type="http://schemas.openxmlformats.org/officeDocument/2006/relationships/hyperlink" Target="https://docs.google.com/spreadsheets/d/1vCOoengzj4u-lf-Olvw85ysitfzOfclGKPXAtoEPy0A/edit" TargetMode="External"/><Relationship Id="rId176" Type="http://schemas.openxmlformats.org/officeDocument/2006/relationships/hyperlink" Target="https://docs.google.com/spreadsheets/d/1vCOoengzj4u-lf-Olvw85ysitfzOfclGKPXAtoEPy0A/edit" TargetMode="External"/><Relationship Id="rId297" Type="http://schemas.openxmlformats.org/officeDocument/2006/relationships/hyperlink" Target="https://docs.google.com/spreadsheets/d/1vCOoengzj4u-lf-Olvw85ysitfzOfclGKPXAtoEPy0A/edit" TargetMode="External"/><Relationship Id="rId175" Type="http://schemas.openxmlformats.org/officeDocument/2006/relationships/hyperlink" Target="https://docs.google.com/spreadsheets/d/1vCOoengzj4u-lf-Olvw85ysitfzOfclGKPXAtoEPy0A/edit" TargetMode="External"/><Relationship Id="rId296" Type="http://schemas.openxmlformats.org/officeDocument/2006/relationships/hyperlink" Target="https://docs.google.com/spreadsheets/d/1vCOoengzj4u-lf-Olvw85ysitfzOfclGKPXAtoEPy0A/edit" TargetMode="External"/><Relationship Id="rId174" Type="http://schemas.openxmlformats.org/officeDocument/2006/relationships/hyperlink" Target="https://docs.google.com/spreadsheets/d/1vCOoengzj4u-lf-Olvw85ysitfzOfclGKPXAtoEPy0A/edit" TargetMode="External"/><Relationship Id="rId295" Type="http://schemas.openxmlformats.org/officeDocument/2006/relationships/hyperlink" Target="https://docs.google.com/spreadsheets/d/1vCOoengzj4u-lf-Olvw85ysitfzOfclGKPXAtoEPy0A/edit" TargetMode="External"/><Relationship Id="rId173" Type="http://schemas.openxmlformats.org/officeDocument/2006/relationships/hyperlink" Target="https://docs.google.com/spreadsheets/d/1vCOoengzj4u-lf-Olvw85ysitfzOfclGKPXAtoEPy0A/edit" TargetMode="External"/><Relationship Id="rId294" Type="http://schemas.openxmlformats.org/officeDocument/2006/relationships/hyperlink" Target="https://docs.google.com/spreadsheets/d/1vCOoengzj4u-lf-Olvw85ysitfzOfclGKPXAtoEPy0A/edit" TargetMode="External"/><Relationship Id="rId179" Type="http://schemas.openxmlformats.org/officeDocument/2006/relationships/hyperlink" Target="https://docs.google.com/spreadsheets/d/1vCOoengzj4u-lf-Olvw85ysitfzOfclGKPXAtoEPy0A/edit" TargetMode="External"/><Relationship Id="rId178" Type="http://schemas.openxmlformats.org/officeDocument/2006/relationships/hyperlink" Target="https://docs.google.com/spreadsheets/d/1vCOoengzj4u-lf-Olvw85ysitfzOfclGKPXAtoEPy0A/edit" TargetMode="External"/><Relationship Id="rId299" Type="http://schemas.openxmlformats.org/officeDocument/2006/relationships/hyperlink" Target="https://docs.google.com/spreadsheets/d/1vCOoengzj4u-lf-Olvw85ysitfzOfclGKPXAtoEPy0A/edit" TargetMode="External"/><Relationship Id="rId177" Type="http://schemas.openxmlformats.org/officeDocument/2006/relationships/hyperlink" Target="https://docs.google.com/spreadsheets/d/1vCOoengzj4u-lf-Olvw85ysitfzOfclGKPXAtoEPy0A/edit" TargetMode="External"/><Relationship Id="rId298" Type="http://schemas.openxmlformats.org/officeDocument/2006/relationships/hyperlink" Target="https://docs.google.com/spreadsheets/d/1vCOoengzj4u-lf-Olvw85ysitfzOfclGKPXAtoEPy0A/edit" TargetMode="External"/><Relationship Id="rId198" Type="http://schemas.openxmlformats.org/officeDocument/2006/relationships/hyperlink" Target="https://docs.google.com/spreadsheets/d/1vCOoengzj4u-lf-Olvw85ysitfzOfclGKPXAtoEPy0A/edit" TargetMode="External"/><Relationship Id="rId197" Type="http://schemas.openxmlformats.org/officeDocument/2006/relationships/hyperlink" Target="https://docs.google.com/spreadsheets/d/1vCOoengzj4u-lf-Olvw85ysitfzOfclGKPXAtoEPy0A/edit" TargetMode="External"/><Relationship Id="rId196" Type="http://schemas.openxmlformats.org/officeDocument/2006/relationships/hyperlink" Target="https://docs.google.com/spreadsheets/d/1vCOoengzj4u-lf-Olvw85ysitfzOfclGKPXAtoEPy0A/edit" TargetMode="External"/><Relationship Id="rId195" Type="http://schemas.openxmlformats.org/officeDocument/2006/relationships/hyperlink" Target="https://docs.google.com/spreadsheets/d/1vCOoengzj4u-lf-Olvw85ysitfzOfclGKPXAtoEPy0A/edit" TargetMode="External"/><Relationship Id="rId199" Type="http://schemas.openxmlformats.org/officeDocument/2006/relationships/hyperlink" Target="https://docs.google.com/spreadsheets/d/1vCOoengzj4u-lf-Olvw85ysitfzOfclGKPXAtoEPy0A/edit" TargetMode="External"/><Relationship Id="rId150" Type="http://schemas.openxmlformats.org/officeDocument/2006/relationships/hyperlink" Target="https://docs.google.com/spreadsheets/d/1vCOoengzj4u-lf-Olvw85ysitfzOfclGKPXAtoEPy0A/edit" TargetMode="External"/><Relationship Id="rId271" Type="http://schemas.openxmlformats.org/officeDocument/2006/relationships/hyperlink" Target="https://docs.google.com/spreadsheets/d/1vCOoengzj4u-lf-Olvw85ysitfzOfclGKPXAtoEPy0A/edit" TargetMode="External"/><Relationship Id="rId392" Type="http://schemas.openxmlformats.org/officeDocument/2006/relationships/hyperlink" Target="https://docs.google.com/spreadsheets/d/1P0ilCSyqA3dOMst3KNMcZ42cxp71XvTpe3tKMhYksN8/edit" TargetMode="External"/><Relationship Id="rId270" Type="http://schemas.openxmlformats.org/officeDocument/2006/relationships/hyperlink" Target="https://docs.google.com/spreadsheets/d/1vCOoengzj4u-lf-Olvw85ysitfzOfclGKPXAtoEPy0A/edit" TargetMode="External"/><Relationship Id="rId391" Type="http://schemas.openxmlformats.org/officeDocument/2006/relationships/hyperlink" Target="https://docs.google.com/spreadsheets/d/1P0ilCSyqA3dOMst3KNMcZ42cxp71XvTpe3tKMhYksN8/edit" TargetMode="External"/><Relationship Id="rId390" Type="http://schemas.openxmlformats.org/officeDocument/2006/relationships/hyperlink" Target="https://docs.google.com/spreadsheets/d/1P0ilCSyqA3dOMst3KNMcZ42cxp71XvTpe3tKMhYksN8/edit" TargetMode="External"/><Relationship Id="rId1" Type="http://schemas.openxmlformats.org/officeDocument/2006/relationships/hyperlink" Target="https://docs.google.com/spreadsheets/d/1w54z4NbyEbyjjJVyXvIK7OhyvnYLbtg7H9uK4YAXpNU/edit" TargetMode="External"/><Relationship Id="rId2" Type="http://schemas.openxmlformats.org/officeDocument/2006/relationships/hyperlink" Target="https://docs.google.com/spreadsheets/d/1w54z4NbyEbyjjJVyXvIK7OhyvnYLbtg7H9uK4YAXpNU/edit" TargetMode="External"/><Relationship Id="rId3" Type="http://schemas.openxmlformats.org/officeDocument/2006/relationships/hyperlink" Target="https://docs.google.com/spreadsheets/d/1w54z4NbyEbyjjJVyXvIK7OhyvnYLbtg7H9uK4YAXpNU/edit" TargetMode="External"/><Relationship Id="rId149" Type="http://schemas.openxmlformats.org/officeDocument/2006/relationships/hyperlink" Target="https://docs.google.com/spreadsheets/d/1vCOoengzj4u-lf-Olvw85ysitfzOfclGKPXAtoEPy0A/edit" TargetMode="External"/><Relationship Id="rId4" Type="http://schemas.openxmlformats.org/officeDocument/2006/relationships/hyperlink" Target="https://docs.google.com/spreadsheets/d/1w54z4NbyEbyjjJVyXvIK7OhyvnYLbtg7H9uK4YAXpNU/edit" TargetMode="External"/><Relationship Id="rId148" Type="http://schemas.openxmlformats.org/officeDocument/2006/relationships/hyperlink" Target="https://docs.google.com/spreadsheets/d/1vCOoengzj4u-lf-Olvw85ysitfzOfclGKPXAtoEPy0A/edit" TargetMode="External"/><Relationship Id="rId269" Type="http://schemas.openxmlformats.org/officeDocument/2006/relationships/hyperlink" Target="https://docs.google.com/spreadsheets/d/1vCOoengzj4u-lf-Olvw85ysitfzOfclGKPXAtoEPy0A/edit" TargetMode="External"/><Relationship Id="rId9" Type="http://schemas.openxmlformats.org/officeDocument/2006/relationships/hyperlink" Target="https://docs.google.com/spreadsheets/d/1w54z4NbyEbyjjJVyXvIK7OhyvnYLbtg7H9uK4YAXpNU/edit" TargetMode="External"/><Relationship Id="rId143" Type="http://schemas.openxmlformats.org/officeDocument/2006/relationships/hyperlink" Target="https://docs.google.com/spreadsheets/d/1vCOoengzj4u-lf-Olvw85ysitfzOfclGKPXAtoEPy0A/edit" TargetMode="External"/><Relationship Id="rId264" Type="http://schemas.openxmlformats.org/officeDocument/2006/relationships/hyperlink" Target="https://docs.google.com/spreadsheets/d/1vCOoengzj4u-lf-Olvw85ysitfzOfclGKPXAtoEPy0A/edit" TargetMode="External"/><Relationship Id="rId385" Type="http://schemas.openxmlformats.org/officeDocument/2006/relationships/hyperlink" Target="https://docs.google.com/spreadsheets/d/1P0ilCSyqA3dOMst3KNMcZ42cxp71XvTpe3tKMhYksN8/edit" TargetMode="External"/><Relationship Id="rId142" Type="http://schemas.openxmlformats.org/officeDocument/2006/relationships/hyperlink" Target="https://docs.google.com/spreadsheets/d/1vCOoengzj4u-lf-Olvw85ysitfzOfclGKPXAtoEPy0A/edit" TargetMode="External"/><Relationship Id="rId263" Type="http://schemas.openxmlformats.org/officeDocument/2006/relationships/hyperlink" Target="https://docs.google.com/spreadsheets/d/1vCOoengzj4u-lf-Olvw85ysitfzOfclGKPXAtoEPy0A/edit" TargetMode="External"/><Relationship Id="rId384" Type="http://schemas.openxmlformats.org/officeDocument/2006/relationships/hyperlink" Target="https://docs.google.com/spreadsheets/d/1P0ilCSyqA3dOMst3KNMcZ42cxp71XvTpe3tKMhYksN8/edit" TargetMode="External"/><Relationship Id="rId141" Type="http://schemas.openxmlformats.org/officeDocument/2006/relationships/hyperlink" Target="https://docs.google.com/spreadsheets/d/1vCOoengzj4u-lf-Olvw85ysitfzOfclGKPXAtoEPy0A/edit" TargetMode="External"/><Relationship Id="rId262" Type="http://schemas.openxmlformats.org/officeDocument/2006/relationships/hyperlink" Target="https://docs.google.com/spreadsheets/d/1vCOoengzj4u-lf-Olvw85ysitfzOfclGKPXAtoEPy0A/edit" TargetMode="External"/><Relationship Id="rId383" Type="http://schemas.openxmlformats.org/officeDocument/2006/relationships/hyperlink" Target="https://docs.google.com/spreadsheets/d/1P0ilCSyqA3dOMst3KNMcZ42cxp71XvTpe3tKMhYksN8/edit" TargetMode="External"/><Relationship Id="rId140" Type="http://schemas.openxmlformats.org/officeDocument/2006/relationships/hyperlink" Target="https://docs.google.com/spreadsheets/d/1vCOoengzj4u-lf-Olvw85ysitfzOfclGKPXAtoEPy0A/edit" TargetMode="External"/><Relationship Id="rId261" Type="http://schemas.openxmlformats.org/officeDocument/2006/relationships/hyperlink" Target="https://docs.google.com/spreadsheets/d/1vCOoengzj4u-lf-Olvw85ysitfzOfclGKPXAtoEPy0A/edit" TargetMode="External"/><Relationship Id="rId382" Type="http://schemas.openxmlformats.org/officeDocument/2006/relationships/hyperlink" Target="https://docs.google.com/spreadsheets/d/1P0ilCSyqA3dOMst3KNMcZ42cxp71XvTpe3tKMhYksN8/edit" TargetMode="External"/><Relationship Id="rId5" Type="http://schemas.openxmlformats.org/officeDocument/2006/relationships/hyperlink" Target="https://docs.google.com/spreadsheets/d/1w54z4NbyEbyjjJVyXvIK7OhyvnYLbtg7H9uK4YAXpNU/edit" TargetMode="External"/><Relationship Id="rId147" Type="http://schemas.openxmlformats.org/officeDocument/2006/relationships/hyperlink" Target="https://docs.google.com/spreadsheets/d/1vCOoengzj4u-lf-Olvw85ysitfzOfclGKPXAtoEPy0A/edit" TargetMode="External"/><Relationship Id="rId268" Type="http://schemas.openxmlformats.org/officeDocument/2006/relationships/hyperlink" Target="https://docs.google.com/spreadsheets/d/1vCOoengzj4u-lf-Olvw85ysitfzOfclGKPXAtoEPy0A/edit" TargetMode="External"/><Relationship Id="rId389" Type="http://schemas.openxmlformats.org/officeDocument/2006/relationships/hyperlink" Target="https://docs.google.com/spreadsheets/d/1P0ilCSyqA3dOMst3KNMcZ42cxp71XvTpe3tKMhYksN8/edit" TargetMode="External"/><Relationship Id="rId6" Type="http://schemas.openxmlformats.org/officeDocument/2006/relationships/hyperlink" Target="https://docs.google.com/spreadsheets/d/1w54z4NbyEbyjjJVyXvIK7OhyvnYLbtg7H9uK4YAXpNU/edit" TargetMode="External"/><Relationship Id="rId146" Type="http://schemas.openxmlformats.org/officeDocument/2006/relationships/hyperlink" Target="https://docs.google.com/spreadsheets/d/1vCOoengzj4u-lf-Olvw85ysitfzOfclGKPXAtoEPy0A/edit" TargetMode="External"/><Relationship Id="rId267" Type="http://schemas.openxmlformats.org/officeDocument/2006/relationships/hyperlink" Target="https://docs.google.com/spreadsheets/d/1vCOoengzj4u-lf-Olvw85ysitfzOfclGKPXAtoEPy0A/edit" TargetMode="External"/><Relationship Id="rId388" Type="http://schemas.openxmlformats.org/officeDocument/2006/relationships/hyperlink" Target="https://docs.google.com/spreadsheets/d/1P0ilCSyqA3dOMst3KNMcZ42cxp71XvTpe3tKMhYksN8/edit" TargetMode="External"/><Relationship Id="rId7" Type="http://schemas.openxmlformats.org/officeDocument/2006/relationships/hyperlink" Target="https://docs.google.com/spreadsheets/d/1w54z4NbyEbyjjJVyXvIK7OhyvnYLbtg7H9uK4YAXpNU/edit" TargetMode="External"/><Relationship Id="rId145" Type="http://schemas.openxmlformats.org/officeDocument/2006/relationships/hyperlink" Target="https://docs.google.com/spreadsheets/d/1vCOoengzj4u-lf-Olvw85ysitfzOfclGKPXAtoEPy0A/edit" TargetMode="External"/><Relationship Id="rId266" Type="http://schemas.openxmlformats.org/officeDocument/2006/relationships/hyperlink" Target="https://docs.google.com/spreadsheets/d/1vCOoengzj4u-lf-Olvw85ysitfzOfclGKPXAtoEPy0A/edit" TargetMode="External"/><Relationship Id="rId387" Type="http://schemas.openxmlformats.org/officeDocument/2006/relationships/hyperlink" Target="https://docs.google.com/spreadsheets/d/1P0ilCSyqA3dOMst3KNMcZ42cxp71XvTpe3tKMhYksN8/edit" TargetMode="External"/><Relationship Id="rId8" Type="http://schemas.openxmlformats.org/officeDocument/2006/relationships/hyperlink" Target="https://docs.google.com/spreadsheets/d/1w54z4NbyEbyjjJVyXvIK7OhyvnYLbtg7H9uK4YAXpNU/edit" TargetMode="External"/><Relationship Id="rId144" Type="http://schemas.openxmlformats.org/officeDocument/2006/relationships/hyperlink" Target="https://docs.google.com/spreadsheets/d/1vCOoengzj4u-lf-Olvw85ysitfzOfclGKPXAtoEPy0A/edit" TargetMode="External"/><Relationship Id="rId265" Type="http://schemas.openxmlformats.org/officeDocument/2006/relationships/hyperlink" Target="https://docs.google.com/spreadsheets/d/1vCOoengzj4u-lf-Olvw85ysitfzOfclGKPXAtoEPy0A/edit" TargetMode="External"/><Relationship Id="rId386" Type="http://schemas.openxmlformats.org/officeDocument/2006/relationships/hyperlink" Target="https://docs.google.com/spreadsheets/d/1P0ilCSyqA3dOMst3KNMcZ42cxp71XvTpe3tKMhYksN8/edit" TargetMode="External"/><Relationship Id="rId260" Type="http://schemas.openxmlformats.org/officeDocument/2006/relationships/hyperlink" Target="https://docs.google.com/spreadsheets/d/1vCOoengzj4u-lf-Olvw85ysitfzOfclGKPXAtoEPy0A/edit" TargetMode="External"/><Relationship Id="rId381" Type="http://schemas.openxmlformats.org/officeDocument/2006/relationships/hyperlink" Target="https://docs.google.com/spreadsheets/d/1P0ilCSyqA3dOMst3KNMcZ42cxp71XvTpe3tKMhYksN8/edit" TargetMode="External"/><Relationship Id="rId380" Type="http://schemas.openxmlformats.org/officeDocument/2006/relationships/hyperlink" Target="https://docs.google.com/spreadsheets/d/1P0ilCSyqA3dOMst3KNMcZ42cxp71XvTpe3tKMhYksN8/edit" TargetMode="External"/><Relationship Id="rId139" Type="http://schemas.openxmlformats.org/officeDocument/2006/relationships/hyperlink" Target="https://docs.google.com/spreadsheets/d/1vCOoengzj4u-lf-Olvw85ysitfzOfclGKPXAtoEPy0A/edit" TargetMode="External"/><Relationship Id="rId138" Type="http://schemas.openxmlformats.org/officeDocument/2006/relationships/hyperlink" Target="https://docs.google.com/spreadsheets/d/1vCOoengzj4u-lf-Olvw85ysitfzOfclGKPXAtoEPy0A/edit" TargetMode="External"/><Relationship Id="rId259" Type="http://schemas.openxmlformats.org/officeDocument/2006/relationships/hyperlink" Target="https://docs.google.com/spreadsheets/d/1vCOoengzj4u-lf-Olvw85ysitfzOfclGKPXAtoEPy0A/edit" TargetMode="External"/><Relationship Id="rId137" Type="http://schemas.openxmlformats.org/officeDocument/2006/relationships/hyperlink" Target="https://docs.google.com/spreadsheets/d/1vCOoengzj4u-lf-Olvw85ysitfzOfclGKPXAtoEPy0A/edit" TargetMode="External"/><Relationship Id="rId258" Type="http://schemas.openxmlformats.org/officeDocument/2006/relationships/hyperlink" Target="https://docs.google.com/spreadsheets/d/1vCOoengzj4u-lf-Olvw85ysitfzOfclGKPXAtoEPy0A/edit" TargetMode="External"/><Relationship Id="rId379" Type="http://schemas.openxmlformats.org/officeDocument/2006/relationships/hyperlink" Target="https://docs.google.com/spreadsheets/d/1P0ilCSyqA3dOMst3KNMcZ42cxp71XvTpe3tKMhYksN8/edit" TargetMode="External"/><Relationship Id="rId132" Type="http://schemas.openxmlformats.org/officeDocument/2006/relationships/hyperlink" Target="https://docs.google.com/spreadsheets/d/1vCOoengzj4u-lf-Olvw85ysitfzOfclGKPXAtoEPy0A/edit" TargetMode="External"/><Relationship Id="rId253" Type="http://schemas.openxmlformats.org/officeDocument/2006/relationships/hyperlink" Target="https://docs.google.com/spreadsheets/d/1vCOoengzj4u-lf-Olvw85ysitfzOfclGKPXAtoEPy0A/edit" TargetMode="External"/><Relationship Id="rId374" Type="http://schemas.openxmlformats.org/officeDocument/2006/relationships/hyperlink" Target="https://docs.google.com/spreadsheets/d/1P0ilCSyqA3dOMst3KNMcZ42cxp71XvTpe3tKMhYksN8/edit" TargetMode="External"/><Relationship Id="rId495" Type="http://schemas.openxmlformats.org/officeDocument/2006/relationships/hyperlink" Target="https://docs.google.com/spreadsheets/d/1P0ilCSyqA3dOMst3KNMcZ42cxp71XvTpe3tKMhYksN8/edit" TargetMode="External"/><Relationship Id="rId131" Type="http://schemas.openxmlformats.org/officeDocument/2006/relationships/hyperlink" Target="https://docs.google.com/spreadsheets/d/1vCOoengzj4u-lf-Olvw85ysitfzOfclGKPXAtoEPy0A/edit" TargetMode="External"/><Relationship Id="rId252" Type="http://schemas.openxmlformats.org/officeDocument/2006/relationships/hyperlink" Target="https://docs.google.com/spreadsheets/d/1vCOoengzj4u-lf-Olvw85ysitfzOfclGKPXAtoEPy0A/edit" TargetMode="External"/><Relationship Id="rId373" Type="http://schemas.openxmlformats.org/officeDocument/2006/relationships/hyperlink" Target="https://docs.google.com/spreadsheets/d/1P0ilCSyqA3dOMst3KNMcZ42cxp71XvTpe3tKMhYksN8/edit" TargetMode="External"/><Relationship Id="rId494" Type="http://schemas.openxmlformats.org/officeDocument/2006/relationships/hyperlink" Target="https://docs.google.com/spreadsheets/d/1P0ilCSyqA3dOMst3KNMcZ42cxp71XvTpe3tKMhYksN8/edit" TargetMode="External"/><Relationship Id="rId130" Type="http://schemas.openxmlformats.org/officeDocument/2006/relationships/hyperlink" Target="https://docs.google.com/spreadsheets/d/1vCOoengzj4u-lf-Olvw85ysitfzOfclGKPXAtoEPy0A/edit" TargetMode="External"/><Relationship Id="rId251" Type="http://schemas.openxmlformats.org/officeDocument/2006/relationships/hyperlink" Target="https://docs.google.com/spreadsheets/d/1vCOoengzj4u-lf-Olvw85ysitfzOfclGKPXAtoEPy0A/edit" TargetMode="External"/><Relationship Id="rId372" Type="http://schemas.openxmlformats.org/officeDocument/2006/relationships/hyperlink" Target="https://docs.google.com/spreadsheets/d/1P0ilCSyqA3dOMst3KNMcZ42cxp71XvTpe3tKMhYksN8/edit" TargetMode="External"/><Relationship Id="rId493" Type="http://schemas.openxmlformats.org/officeDocument/2006/relationships/hyperlink" Target="https://docs.google.com/spreadsheets/d/1P0ilCSyqA3dOMst3KNMcZ42cxp71XvTpe3tKMhYksN8/edit" TargetMode="External"/><Relationship Id="rId250" Type="http://schemas.openxmlformats.org/officeDocument/2006/relationships/hyperlink" Target="https://docs.google.com/spreadsheets/d/1vCOoengzj4u-lf-Olvw85ysitfzOfclGKPXAtoEPy0A/edit" TargetMode="External"/><Relationship Id="rId371" Type="http://schemas.openxmlformats.org/officeDocument/2006/relationships/hyperlink" Target="https://docs.google.com/spreadsheets/d/1P0ilCSyqA3dOMst3KNMcZ42cxp71XvTpe3tKMhYksN8/edit" TargetMode="External"/><Relationship Id="rId492" Type="http://schemas.openxmlformats.org/officeDocument/2006/relationships/hyperlink" Target="https://docs.google.com/spreadsheets/d/1P0ilCSyqA3dOMst3KNMcZ42cxp71XvTpe3tKMhYksN8/edit" TargetMode="External"/><Relationship Id="rId136" Type="http://schemas.openxmlformats.org/officeDocument/2006/relationships/hyperlink" Target="https://docs.google.com/spreadsheets/d/1vCOoengzj4u-lf-Olvw85ysitfzOfclGKPXAtoEPy0A/edit" TargetMode="External"/><Relationship Id="rId257" Type="http://schemas.openxmlformats.org/officeDocument/2006/relationships/hyperlink" Target="https://docs.google.com/spreadsheets/d/1vCOoengzj4u-lf-Olvw85ysitfzOfclGKPXAtoEPy0A/edit" TargetMode="External"/><Relationship Id="rId378" Type="http://schemas.openxmlformats.org/officeDocument/2006/relationships/hyperlink" Target="https://docs.google.com/spreadsheets/d/1P0ilCSyqA3dOMst3KNMcZ42cxp71XvTpe3tKMhYksN8/edit" TargetMode="External"/><Relationship Id="rId499" Type="http://schemas.openxmlformats.org/officeDocument/2006/relationships/hyperlink" Target="https://docs.google.com/spreadsheets/d/1P0ilCSyqA3dOMst3KNMcZ42cxp71XvTpe3tKMhYksN8/edit" TargetMode="External"/><Relationship Id="rId135" Type="http://schemas.openxmlformats.org/officeDocument/2006/relationships/hyperlink" Target="https://docs.google.com/spreadsheets/d/1vCOoengzj4u-lf-Olvw85ysitfzOfclGKPXAtoEPy0A/edit" TargetMode="External"/><Relationship Id="rId256" Type="http://schemas.openxmlformats.org/officeDocument/2006/relationships/hyperlink" Target="https://docs.google.com/spreadsheets/d/1vCOoengzj4u-lf-Olvw85ysitfzOfclGKPXAtoEPy0A/edit" TargetMode="External"/><Relationship Id="rId377" Type="http://schemas.openxmlformats.org/officeDocument/2006/relationships/hyperlink" Target="https://docs.google.com/spreadsheets/d/1P0ilCSyqA3dOMst3KNMcZ42cxp71XvTpe3tKMhYksN8/edit" TargetMode="External"/><Relationship Id="rId498" Type="http://schemas.openxmlformats.org/officeDocument/2006/relationships/hyperlink" Target="https://docs.google.com/spreadsheets/d/1P0ilCSyqA3dOMst3KNMcZ42cxp71XvTpe3tKMhYksN8/edit" TargetMode="External"/><Relationship Id="rId134" Type="http://schemas.openxmlformats.org/officeDocument/2006/relationships/hyperlink" Target="https://docs.google.com/spreadsheets/d/1vCOoengzj4u-lf-Olvw85ysitfzOfclGKPXAtoEPy0A/edit" TargetMode="External"/><Relationship Id="rId255" Type="http://schemas.openxmlformats.org/officeDocument/2006/relationships/hyperlink" Target="https://docs.google.com/spreadsheets/d/1vCOoengzj4u-lf-Olvw85ysitfzOfclGKPXAtoEPy0A/edit" TargetMode="External"/><Relationship Id="rId376" Type="http://schemas.openxmlformats.org/officeDocument/2006/relationships/hyperlink" Target="https://docs.google.com/spreadsheets/d/1P0ilCSyqA3dOMst3KNMcZ42cxp71XvTpe3tKMhYksN8/edit" TargetMode="External"/><Relationship Id="rId497" Type="http://schemas.openxmlformats.org/officeDocument/2006/relationships/hyperlink" Target="https://docs.google.com/spreadsheets/d/1P0ilCSyqA3dOMst3KNMcZ42cxp71XvTpe3tKMhYksN8/edit" TargetMode="External"/><Relationship Id="rId133" Type="http://schemas.openxmlformats.org/officeDocument/2006/relationships/hyperlink" Target="https://docs.google.com/spreadsheets/d/1vCOoengzj4u-lf-Olvw85ysitfzOfclGKPXAtoEPy0A/edit" TargetMode="External"/><Relationship Id="rId254" Type="http://schemas.openxmlformats.org/officeDocument/2006/relationships/hyperlink" Target="https://docs.google.com/spreadsheets/d/1vCOoengzj4u-lf-Olvw85ysitfzOfclGKPXAtoEPy0A/edit" TargetMode="External"/><Relationship Id="rId375" Type="http://schemas.openxmlformats.org/officeDocument/2006/relationships/hyperlink" Target="https://docs.google.com/spreadsheets/d/1P0ilCSyqA3dOMst3KNMcZ42cxp71XvTpe3tKMhYksN8/edit" TargetMode="External"/><Relationship Id="rId496" Type="http://schemas.openxmlformats.org/officeDocument/2006/relationships/hyperlink" Target="https://docs.google.com/spreadsheets/d/1P0ilCSyqA3dOMst3KNMcZ42cxp71XvTpe3tKMhYksN8/edit" TargetMode="External"/><Relationship Id="rId172" Type="http://schemas.openxmlformats.org/officeDocument/2006/relationships/hyperlink" Target="https://docs.google.com/spreadsheets/d/1vCOoengzj4u-lf-Olvw85ysitfzOfclGKPXAtoEPy0A/edit" TargetMode="External"/><Relationship Id="rId293" Type="http://schemas.openxmlformats.org/officeDocument/2006/relationships/hyperlink" Target="https://docs.google.com/spreadsheets/d/1vCOoengzj4u-lf-Olvw85ysitfzOfclGKPXAtoEPy0A/edit" TargetMode="External"/><Relationship Id="rId171" Type="http://schemas.openxmlformats.org/officeDocument/2006/relationships/hyperlink" Target="https://docs.google.com/spreadsheets/d/1vCOoengzj4u-lf-Olvw85ysitfzOfclGKPXAtoEPy0A/edit" TargetMode="External"/><Relationship Id="rId292" Type="http://schemas.openxmlformats.org/officeDocument/2006/relationships/hyperlink" Target="https://docs.google.com/spreadsheets/d/1vCOoengzj4u-lf-Olvw85ysitfzOfclGKPXAtoEPy0A/edit" TargetMode="External"/><Relationship Id="rId170" Type="http://schemas.openxmlformats.org/officeDocument/2006/relationships/hyperlink" Target="https://docs.google.com/spreadsheets/d/1vCOoengzj4u-lf-Olvw85ysitfzOfclGKPXAtoEPy0A/edit" TargetMode="External"/><Relationship Id="rId291" Type="http://schemas.openxmlformats.org/officeDocument/2006/relationships/hyperlink" Target="https://docs.google.com/spreadsheets/d/1vCOoengzj4u-lf-Olvw85ysitfzOfclGKPXAtoEPy0A/edit" TargetMode="External"/><Relationship Id="rId290" Type="http://schemas.openxmlformats.org/officeDocument/2006/relationships/hyperlink" Target="https://docs.google.com/spreadsheets/d/1vCOoengzj4u-lf-Olvw85ysitfzOfclGKPXAtoEPy0A/edit" TargetMode="External"/><Relationship Id="rId165" Type="http://schemas.openxmlformats.org/officeDocument/2006/relationships/hyperlink" Target="https://docs.google.com/spreadsheets/d/1vCOoengzj4u-lf-Olvw85ysitfzOfclGKPXAtoEPy0A/edit" TargetMode="External"/><Relationship Id="rId286" Type="http://schemas.openxmlformats.org/officeDocument/2006/relationships/hyperlink" Target="https://docs.google.com/spreadsheets/d/1vCOoengzj4u-lf-Olvw85ysitfzOfclGKPXAtoEPy0A/edit" TargetMode="External"/><Relationship Id="rId164" Type="http://schemas.openxmlformats.org/officeDocument/2006/relationships/hyperlink" Target="https://docs.google.com/spreadsheets/d/1vCOoengzj4u-lf-Olvw85ysitfzOfclGKPXAtoEPy0A/edit" TargetMode="External"/><Relationship Id="rId285" Type="http://schemas.openxmlformats.org/officeDocument/2006/relationships/hyperlink" Target="https://docs.google.com/spreadsheets/d/1vCOoengzj4u-lf-Olvw85ysitfzOfclGKPXAtoEPy0A/edit" TargetMode="External"/><Relationship Id="rId163" Type="http://schemas.openxmlformats.org/officeDocument/2006/relationships/hyperlink" Target="https://docs.google.com/spreadsheets/d/1vCOoengzj4u-lf-Olvw85ysitfzOfclGKPXAtoEPy0A/edit" TargetMode="External"/><Relationship Id="rId284" Type="http://schemas.openxmlformats.org/officeDocument/2006/relationships/hyperlink" Target="https://docs.google.com/spreadsheets/d/1vCOoengzj4u-lf-Olvw85ysitfzOfclGKPXAtoEPy0A/edit" TargetMode="External"/><Relationship Id="rId162" Type="http://schemas.openxmlformats.org/officeDocument/2006/relationships/hyperlink" Target="https://docs.google.com/spreadsheets/d/1vCOoengzj4u-lf-Olvw85ysitfzOfclGKPXAtoEPy0A/edit" TargetMode="External"/><Relationship Id="rId283" Type="http://schemas.openxmlformats.org/officeDocument/2006/relationships/hyperlink" Target="https://docs.google.com/spreadsheets/d/1vCOoengzj4u-lf-Olvw85ysitfzOfclGKPXAtoEPy0A/edit" TargetMode="External"/><Relationship Id="rId169" Type="http://schemas.openxmlformats.org/officeDocument/2006/relationships/hyperlink" Target="https://docs.google.com/spreadsheets/d/1vCOoengzj4u-lf-Olvw85ysitfzOfclGKPXAtoEPy0A/edit" TargetMode="External"/><Relationship Id="rId168" Type="http://schemas.openxmlformats.org/officeDocument/2006/relationships/hyperlink" Target="https://docs.google.com/spreadsheets/d/1vCOoengzj4u-lf-Olvw85ysitfzOfclGKPXAtoEPy0A/edit" TargetMode="External"/><Relationship Id="rId289" Type="http://schemas.openxmlformats.org/officeDocument/2006/relationships/hyperlink" Target="https://docs.google.com/spreadsheets/d/1vCOoengzj4u-lf-Olvw85ysitfzOfclGKPXAtoEPy0A/edit" TargetMode="External"/><Relationship Id="rId167" Type="http://schemas.openxmlformats.org/officeDocument/2006/relationships/hyperlink" Target="https://docs.google.com/spreadsheets/d/1vCOoengzj4u-lf-Olvw85ysitfzOfclGKPXAtoEPy0A/edit" TargetMode="External"/><Relationship Id="rId288" Type="http://schemas.openxmlformats.org/officeDocument/2006/relationships/hyperlink" Target="https://docs.google.com/spreadsheets/d/1vCOoengzj4u-lf-Olvw85ysitfzOfclGKPXAtoEPy0A/edit" TargetMode="External"/><Relationship Id="rId166" Type="http://schemas.openxmlformats.org/officeDocument/2006/relationships/hyperlink" Target="https://docs.google.com/spreadsheets/d/1vCOoengzj4u-lf-Olvw85ysitfzOfclGKPXAtoEPy0A/edit" TargetMode="External"/><Relationship Id="rId287" Type="http://schemas.openxmlformats.org/officeDocument/2006/relationships/hyperlink" Target="https://docs.google.com/spreadsheets/d/1vCOoengzj4u-lf-Olvw85ysitfzOfclGKPXAtoEPy0A/edit" TargetMode="External"/><Relationship Id="rId161" Type="http://schemas.openxmlformats.org/officeDocument/2006/relationships/hyperlink" Target="https://docs.google.com/spreadsheets/d/1vCOoengzj4u-lf-Olvw85ysitfzOfclGKPXAtoEPy0A/edit" TargetMode="External"/><Relationship Id="rId282" Type="http://schemas.openxmlformats.org/officeDocument/2006/relationships/hyperlink" Target="https://docs.google.com/spreadsheets/d/1vCOoengzj4u-lf-Olvw85ysitfzOfclGKPXAtoEPy0A/edit" TargetMode="External"/><Relationship Id="rId160" Type="http://schemas.openxmlformats.org/officeDocument/2006/relationships/hyperlink" Target="https://docs.google.com/spreadsheets/d/1vCOoengzj4u-lf-Olvw85ysitfzOfclGKPXAtoEPy0A/edit" TargetMode="External"/><Relationship Id="rId281" Type="http://schemas.openxmlformats.org/officeDocument/2006/relationships/hyperlink" Target="https://docs.google.com/spreadsheets/d/1vCOoengzj4u-lf-Olvw85ysitfzOfclGKPXAtoEPy0A/edit" TargetMode="External"/><Relationship Id="rId280" Type="http://schemas.openxmlformats.org/officeDocument/2006/relationships/hyperlink" Target="https://docs.google.com/spreadsheets/d/1vCOoengzj4u-lf-Olvw85ysitfzOfclGKPXAtoEPy0A/edit" TargetMode="External"/><Relationship Id="rId159" Type="http://schemas.openxmlformats.org/officeDocument/2006/relationships/hyperlink" Target="https://docs.google.com/spreadsheets/d/1vCOoengzj4u-lf-Olvw85ysitfzOfclGKPXAtoEPy0A/edit" TargetMode="External"/><Relationship Id="rId154" Type="http://schemas.openxmlformats.org/officeDocument/2006/relationships/hyperlink" Target="https://docs.google.com/spreadsheets/d/1vCOoengzj4u-lf-Olvw85ysitfzOfclGKPXAtoEPy0A/edit" TargetMode="External"/><Relationship Id="rId275" Type="http://schemas.openxmlformats.org/officeDocument/2006/relationships/hyperlink" Target="https://docs.google.com/spreadsheets/d/1vCOoengzj4u-lf-Olvw85ysitfzOfclGKPXAtoEPy0A/edit" TargetMode="External"/><Relationship Id="rId396" Type="http://schemas.openxmlformats.org/officeDocument/2006/relationships/hyperlink" Target="https://docs.google.com/spreadsheets/d/1P0ilCSyqA3dOMst3KNMcZ42cxp71XvTpe3tKMhYksN8/edit" TargetMode="External"/><Relationship Id="rId153" Type="http://schemas.openxmlformats.org/officeDocument/2006/relationships/hyperlink" Target="https://docs.google.com/spreadsheets/d/1vCOoengzj4u-lf-Olvw85ysitfzOfclGKPXAtoEPy0A/edit" TargetMode="External"/><Relationship Id="rId274" Type="http://schemas.openxmlformats.org/officeDocument/2006/relationships/hyperlink" Target="https://docs.google.com/spreadsheets/d/1vCOoengzj4u-lf-Olvw85ysitfzOfclGKPXAtoEPy0A/edit" TargetMode="External"/><Relationship Id="rId395" Type="http://schemas.openxmlformats.org/officeDocument/2006/relationships/hyperlink" Target="https://docs.google.com/spreadsheets/d/1P0ilCSyqA3dOMst3KNMcZ42cxp71XvTpe3tKMhYksN8/edit" TargetMode="External"/><Relationship Id="rId152" Type="http://schemas.openxmlformats.org/officeDocument/2006/relationships/hyperlink" Target="https://docs.google.com/spreadsheets/d/1vCOoengzj4u-lf-Olvw85ysitfzOfclGKPXAtoEPy0A/edit" TargetMode="External"/><Relationship Id="rId273" Type="http://schemas.openxmlformats.org/officeDocument/2006/relationships/hyperlink" Target="https://docs.google.com/spreadsheets/d/1vCOoengzj4u-lf-Olvw85ysitfzOfclGKPXAtoEPy0A/edit" TargetMode="External"/><Relationship Id="rId394" Type="http://schemas.openxmlformats.org/officeDocument/2006/relationships/hyperlink" Target="https://docs.google.com/spreadsheets/d/1P0ilCSyqA3dOMst3KNMcZ42cxp71XvTpe3tKMhYksN8/edit" TargetMode="External"/><Relationship Id="rId151" Type="http://schemas.openxmlformats.org/officeDocument/2006/relationships/hyperlink" Target="https://docs.google.com/spreadsheets/d/1vCOoengzj4u-lf-Olvw85ysitfzOfclGKPXAtoEPy0A/edit" TargetMode="External"/><Relationship Id="rId272" Type="http://schemas.openxmlformats.org/officeDocument/2006/relationships/hyperlink" Target="https://docs.google.com/spreadsheets/d/1vCOoengzj4u-lf-Olvw85ysitfzOfclGKPXAtoEPy0A/edit" TargetMode="External"/><Relationship Id="rId393" Type="http://schemas.openxmlformats.org/officeDocument/2006/relationships/hyperlink" Target="https://docs.google.com/spreadsheets/d/1P0ilCSyqA3dOMst3KNMcZ42cxp71XvTpe3tKMhYksN8/edit" TargetMode="External"/><Relationship Id="rId158" Type="http://schemas.openxmlformats.org/officeDocument/2006/relationships/hyperlink" Target="https://docs.google.com/spreadsheets/d/1vCOoengzj4u-lf-Olvw85ysitfzOfclGKPXAtoEPy0A/edit" TargetMode="External"/><Relationship Id="rId279" Type="http://schemas.openxmlformats.org/officeDocument/2006/relationships/hyperlink" Target="https://docs.google.com/spreadsheets/d/1vCOoengzj4u-lf-Olvw85ysitfzOfclGKPXAtoEPy0A/edit" TargetMode="External"/><Relationship Id="rId157" Type="http://schemas.openxmlformats.org/officeDocument/2006/relationships/hyperlink" Target="https://docs.google.com/spreadsheets/d/1vCOoengzj4u-lf-Olvw85ysitfzOfclGKPXAtoEPy0A/edit" TargetMode="External"/><Relationship Id="rId278" Type="http://schemas.openxmlformats.org/officeDocument/2006/relationships/hyperlink" Target="https://docs.google.com/spreadsheets/d/1vCOoengzj4u-lf-Olvw85ysitfzOfclGKPXAtoEPy0A/edit" TargetMode="External"/><Relationship Id="rId399" Type="http://schemas.openxmlformats.org/officeDocument/2006/relationships/hyperlink" Target="https://docs.google.com/spreadsheets/d/1P0ilCSyqA3dOMst3KNMcZ42cxp71XvTpe3tKMhYksN8/edit" TargetMode="External"/><Relationship Id="rId156" Type="http://schemas.openxmlformats.org/officeDocument/2006/relationships/hyperlink" Target="https://docs.google.com/spreadsheets/d/1vCOoengzj4u-lf-Olvw85ysitfzOfclGKPXAtoEPy0A/edit" TargetMode="External"/><Relationship Id="rId277" Type="http://schemas.openxmlformats.org/officeDocument/2006/relationships/hyperlink" Target="https://docs.google.com/spreadsheets/d/1vCOoengzj4u-lf-Olvw85ysitfzOfclGKPXAtoEPy0A/edit" TargetMode="External"/><Relationship Id="rId398" Type="http://schemas.openxmlformats.org/officeDocument/2006/relationships/hyperlink" Target="https://docs.google.com/spreadsheets/d/1P0ilCSyqA3dOMst3KNMcZ42cxp71XvTpe3tKMhYksN8/edit" TargetMode="External"/><Relationship Id="rId155" Type="http://schemas.openxmlformats.org/officeDocument/2006/relationships/hyperlink" Target="https://docs.google.com/spreadsheets/d/1vCOoengzj4u-lf-Olvw85ysitfzOfclGKPXAtoEPy0A/edit" TargetMode="External"/><Relationship Id="rId276" Type="http://schemas.openxmlformats.org/officeDocument/2006/relationships/hyperlink" Target="https://docs.google.com/spreadsheets/d/1vCOoengzj4u-lf-Olvw85ysitfzOfclGKPXAtoEPy0A/edit" TargetMode="External"/><Relationship Id="rId397" Type="http://schemas.openxmlformats.org/officeDocument/2006/relationships/hyperlink" Target="https://docs.google.com/spreadsheets/d/1P0ilCSyqA3dOMst3KNMcZ42cxp71XvTpe3tKMhYksN8/edit" TargetMode="External"/><Relationship Id="rId40" Type="http://schemas.openxmlformats.org/officeDocument/2006/relationships/hyperlink" Target="https://docs.google.com/spreadsheets/d/1w54z4NbyEbyjjJVyXvIK7OhyvnYLbtg7H9uK4YAXpNU/edit" TargetMode="External"/><Relationship Id="rId42" Type="http://schemas.openxmlformats.org/officeDocument/2006/relationships/hyperlink" Target="https://docs.google.com/spreadsheets/d/1w54z4NbyEbyjjJVyXvIK7OhyvnYLbtg7H9uK4YAXpNU/edit" TargetMode="External"/><Relationship Id="rId41" Type="http://schemas.openxmlformats.org/officeDocument/2006/relationships/hyperlink" Target="https://docs.google.com/spreadsheets/d/1w54z4NbyEbyjjJVyXvIK7OhyvnYLbtg7H9uK4YAXpNU/edit" TargetMode="External"/><Relationship Id="rId44" Type="http://schemas.openxmlformats.org/officeDocument/2006/relationships/hyperlink" Target="https://docs.google.com/spreadsheets/d/1w54z4NbyEbyjjJVyXvIK7OhyvnYLbtg7H9uK4YAXpNU/edit" TargetMode="External"/><Relationship Id="rId43" Type="http://schemas.openxmlformats.org/officeDocument/2006/relationships/hyperlink" Target="https://docs.google.com/spreadsheets/d/1w54z4NbyEbyjjJVyXvIK7OhyvnYLbtg7H9uK4YAXpNU/edit" TargetMode="External"/><Relationship Id="rId46" Type="http://schemas.openxmlformats.org/officeDocument/2006/relationships/hyperlink" Target="https://docs.google.com/spreadsheets/d/1w54z4NbyEbyjjJVyXvIK7OhyvnYLbtg7H9uK4YAXpNU/edit" TargetMode="External"/><Relationship Id="rId45" Type="http://schemas.openxmlformats.org/officeDocument/2006/relationships/hyperlink" Target="https://docs.google.com/spreadsheets/d/1w54z4NbyEbyjjJVyXvIK7OhyvnYLbtg7H9uK4YAXpNU/edit" TargetMode="External"/><Relationship Id="rId509" Type="http://schemas.openxmlformats.org/officeDocument/2006/relationships/hyperlink" Target="https://docs.google.com/spreadsheets/d/1P0ilCSyqA3dOMst3KNMcZ42cxp71XvTpe3tKMhYksN8/edit" TargetMode="External"/><Relationship Id="rId508" Type="http://schemas.openxmlformats.org/officeDocument/2006/relationships/hyperlink" Target="https://docs.google.com/spreadsheets/d/1P0ilCSyqA3dOMst3KNMcZ42cxp71XvTpe3tKMhYksN8/edit" TargetMode="External"/><Relationship Id="rId629" Type="http://schemas.openxmlformats.org/officeDocument/2006/relationships/hyperlink" Target="https://docs.google.com/spreadsheets/d/1P0ilCSyqA3dOMst3KNMcZ42cxp71XvTpe3tKMhYksN8/edit" TargetMode="External"/><Relationship Id="rId503" Type="http://schemas.openxmlformats.org/officeDocument/2006/relationships/hyperlink" Target="https://docs.google.com/spreadsheets/d/1P0ilCSyqA3dOMst3KNMcZ42cxp71XvTpe3tKMhYksN8/edit" TargetMode="External"/><Relationship Id="rId624" Type="http://schemas.openxmlformats.org/officeDocument/2006/relationships/hyperlink" Target="https://docs.google.com/spreadsheets/d/1P0ilCSyqA3dOMst3KNMcZ42cxp71XvTpe3tKMhYksN8/edit" TargetMode="External"/><Relationship Id="rId502" Type="http://schemas.openxmlformats.org/officeDocument/2006/relationships/hyperlink" Target="https://docs.google.com/spreadsheets/d/1P0ilCSyqA3dOMst3KNMcZ42cxp71XvTpe3tKMhYksN8/edit" TargetMode="External"/><Relationship Id="rId623" Type="http://schemas.openxmlformats.org/officeDocument/2006/relationships/hyperlink" Target="https://docs.google.com/spreadsheets/d/1P0ilCSyqA3dOMst3KNMcZ42cxp71XvTpe3tKMhYksN8/edit" TargetMode="External"/><Relationship Id="rId501" Type="http://schemas.openxmlformats.org/officeDocument/2006/relationships/hyperlink" Target="https://docs.google.com/spreadsheets/d/1P0ilCSyqA3dOMst3KNMcZ42cxp71XvTpe3tKMhYksN8/edit" TargetMode="External"/><Relationship Id="rId622" Type="http://schemas.openxmlformats.org/officeDocument/2006/relationships/hyperlink" Target="https://docs.google.com/spreadsheets/d/1P0ilCSyqA3dOMst3KNMcZ42cxp71XvTpe3tKMhYksN8/edit" TargetMode="External"/><Relationship Id="rId500" Type="http://schemas.openxmlformats.org/officeDocument/2006/relationships/hyperlink" Target="https://docs.google.com/spreadsheets/d/1P0ilCSyqA3dOMst3KNMcZ42cxp71XvTpe3tKMhYksN8/edit" TargetMode="External"/><Relationship Id="rId621" Type="http://schemas.openxmlformats.org/officeDocument/2006/relationships/hyperlink" Target="https://docs.google.com/spreadsheets/d/1P0ilCSyqA3dOMst3KNMcZ42cxp71XvTpe3tKMhYksN8/edit" TargetMode="External"/><Relationship Id="rId507" Type="http://schemas.openxmlformats.org/officeDocument/2006/relationships/hyperlink" Target="https://docs.google.com/spreadsheets/d/1P0ilCSyqA3dOMst3KNMcZ42cxp71XvTpe3tKMhYksN8/edit" TargetMode="External"/><Relationship Id="rId628" Type="http://schemas.openxmlformats.org/officeDocument/2006/relationships/hyperlink" Target="https://docs.google.com/spreadsheets/d/1P0ilCSyqA3dOMst3KNMcZ42cxp71XvTpe3tKMhYksN8/edit" TargetMode="External"/><Relationship Id="rId506" Type="http://schemas.openxmlformats.org/officeDocument/2006/relationships/hyperlink" Target="https://docs.google.com/spreadsheets/d/1P0ilCSyqA3dOMst3KNMcZ42cxp71XvTpe3tKMhYksN8/edit" TargetMode="External"/><Relationship Id="rId627" Type="http://schemas.openxmlformats.org/officeDocument/2006/relationships/hyperlink" Target="https://docs.google.com/spreadsheets/d/1P0ilCSyqA3dOMst3KNMcZ42cxp71XvTpe3tKMhYksN8/edit" TargetMode="External"/><Relationship Id="rId505" Type="http://schemas.openxmlformats.org/officeDocument/2006/relationships/hyperlink" Target="https://docs.google.com/spreadsheets/d/1P0ilCSyqA3dOMst3KNMcZ42cxp71XvTpe3tKMhYksN8/edit" TargetMode="External"/><Relationship Id="rId626" Type="http://schemas.openxmlformats.org/officeDocument/2006/relationships/hyperlink" Target="https://docs.google.com/spreadsheets/d/1P0ilCSyqA3dOMst3KNMcZ42cxp71XvTpe3tKMhYksN8/edit" TargetMode="External"/><Relationship Id="rId504" Type="http://schemas.openxmlformats.org/officeDocument/2006/relationships/hyperlink" Target="https://docs.google.com/spreadsheets/d/1P0ilCSyqA3dOMst3KNMcZ42cxp71XvTpe3tKMhYksN8/edit" TargetMode="External"/><Relationship Id="rId625" Type="http://schemas.openxmlformats.org/officeDocument/2006/relationships/hyperlink" Target="https://docs.google.com/spreadsheets/d/1P0ilCSyqA3dOMst3KNMcZ42cxp71XvTpe3tKMhYksN8/edit" TargetMode="External"/><Relationship Id="rId48" Type="http://schemas.openxmlformats.org/officeDocument/2006/relationships/hyperlink" Target="https://docs.google.com/spreadsheets/d/1w54z4NbyEbyjjJVyXvIK7OhyvnYLbtg7H9uK4YAXpNU/edit" TargetMode="External"/><Relationship Id="rId47" Type="http://schemas.openxmlformats.org/officeDocument/2006/relationships/hyperlink" Target="https://docs.google.com/spreadsheets/d/1w54z4NbyEbyjjJVyXvIK7OhyvnYLbtg7H9uK4YAXpNU/edit" TargetMode="External"/><Relationship Id="rId49" Type="http://schemas.openxmlformats.org/officeDocument/2006/relationships/hyperlink" Target="https://docs.google.com/spreadsheets/d/1w54z4NbyEbyjjJVyXvIK7OhyvnYLbtg7H9uK4YAXpNU/edit" TargetMode="External"/><Relationship Id="rId620" Type="http://schemas.openxmlformats.org/officeDocument/2006/relationships/hyperlink" Target="https://docs.google.com/spreadsheets/d/1P0ilCSyqA3dOMst3KNMcZ42cxp71XvTpe3tKMhYksN8/edit" TargetMode="External"/><Relationship Id="rId31" Type="http://schemas.openxmlformats.org/officeDocument/2006/relationships/hyperlink" Target="https://docs.google.com/spreadsheets/d/1w54z4NbyEbyjjJVyXvIK7OhyvnYLbtg7H9uK4YAXpNU/edit" TargetMode="External"/><Relationship Id="rId30" Type="http://schemas.openxmlformats.org/officeDocument/2006/relationships/hyperlink" Target="https://docs.google.com/spreadsheets/d/1w54z4NbyEbyjjJVyXvIK7OhyvnYLbtg7H9uK4YAXpNU/edit" TargetMode="External"/><Relationship Id="rId33" Type="http://schemas.openxmlformats.org/officeDocument/2006/relationships/hyperlink" Target="https://docs.google.com/spreadsheets/d/1w54z4NbyEbyjjJVyXvIK7OhyvnYLbtg7H9uK4YAXpNU/edit" TargetMode="External"/><Relationship Id="rId32" Type="http://schemas.openxmlformats.org/officeDocument/2006/relationships/hyperlink" Target="https://docs.google.com/spreadsheets/d/1w54z4NbyEbyjjJVyXvIK7OhyvnYLbtg7H9uK4YAXpNU/edit" TargetMode="External"/><Relationship Id="rId35" Type="http://schemas.openxmlformats.org/officeDocument/2006/relationships/hyperlink" Target="https://docs.google.com/spreadsheets/d/1w54z4NbyEbyjjJVyXvIK7OhyvnYLbtg7H9uK4YAXpNU/edit" TargetMode="External"/><Relationship Id="rId34" Type="http://schemas.openxmlformats.org/officeDocument/2006/relationships/hyperlink" Target="https://docs.google.com/spreadsheets/d/1w54z4NbyEbyjjJVyXvIK7OhyvnYLbtg7H9uK4YAXpNU/edit" TargetMode="External"/><Relationship Id="rId619" Type="http://schemas.openxmlformats.org/officeDocument/2006/relationships/hyperlink" Target="https://docs.google.com/spreadsheets/d/1P0ilCSyqA3dOMst3KNMcZ42cxp71XvTpe3tKMhYksN8/edit" TargetMode="External"/><Relationship Id="rId618" Type="http://schemas.openxmlformats.org/officeDocument/2006/relationships/hyperlink" Target="https://docs.google.com/spreadsheets/d/1P0ilCSyqA3dOMst3KNMcZ42cxp71XvTpe3tKMhYksN8/edit" TargetMode="External"/><Relationship Id="rId613" Type="http://schemas.openxmlformats.org/officeDocument/2006/relationships/hyperlink" Target="https://docs.google.com/spreadsheets/d/1P0ilCSyqA3dOMst3KNMcZ42cxp71XvTpe3tKMhYksN8/edit" TargetMode="External"/><Relationship Id="rId612" Type="http://schemas.openxmlformats.org/officeDocument/2006/relationships/hyperlink" Target="https://docs.google.com/spreadsheets/d/1P0ilCSyqA3dOMst3KNMcZ42cxp71XvTpe3tKMhYksN8/edit" TargetMode="External"/><Relationship Id="rId611" Type="http://schemas.openxmlformats.org/officeDocument/2006/relationships/hyperlink" Target="https://docs.google.com/spreadsheets/d/1P0ilCSyqA3dOMst3KNMcZ42cxp71XvTpe3tKMhYksN8/edit" TargetMode="External"/><Relationship Id="rId610" Type="http://schemas.openxmlformats.org/officeDocument/2006/relationships/hyperlink" Target="https://docs.google.com/spreadsheets/d/1P0ilCSyqA3dOMst3KNMcZ42cxp71XvTpe3tKMhYksN8/edit" TargetMode="External"/><Relationship Id="rId617" Type="http://schemas.openxmlformats.org/officeDocument/2006/relationships/hyperlink" Target="https://docs.google.com/spreadsheets/d/1P0ilCSyqA3dOMst3KNMcZ42cxp71XvTpe3tKMhYksN8/edit" TargetMode="External"/><Relationship Id="rId616" Type="http://schemas.openxmlformats.org/officeDocument/2006/relationships/hyperlink" Target="https://docs.google.com/spreadsheets/d/1P0ilCSyqA3dOMst3KNMcZ42cxp71XvTpe3tKMhYksN8/edit" TargetMode="External"/><Relationship Id="rId615" Type="http://schemas.openxmlformats.org/officeDocument/2006/relationships/hyperlink" Target="https://docs.google.com/spreadsheets/d/1P0ilCSyqA3dOMst3KNMcZ42cxp71XvTpe3tKMhYksN8/edit" TargetMode="External"/><Relationship Id="rId614" Type="http://schemas.openxmlformats.org/officeDocument/2006/relationships/hyperlink" Target="https://docs.google.com/spreadsheets/d/1P0ilCSyqA3dOMst3KNMcZ42cxp71XvTpe3tKMhYksN8/edit" TargetMode="External"/><Relationship Id="rId37" Type="http://schemas.openxmlformats.org/officeDocument/2006/relationships/hyperlink" Target="https://docs.google.com/spreadsheets/d/1w54z4NbyEbyjjJVyXvIK7OhyvnYLbtg7H9uK4YAXpNU/edit" TargetMode="External"/><Relationship Id="rId36" Type="http://schemas.openxmlformats.org/officeDocument/2006/relationships/hyperlink" Target="https://docs.google.com/spreadsheets/d/1w54z4NbyEbyjjJVyXvIK7OhyvnYLbtg7H9uK4YAXpNU/edit" TargetMode="External"/><Relationship Id="rId39" Type="http://schemas.openxmlformats.org/officeDocument/2006/relationships/hyperlink" Target="https://docs.google.com/spreadsheets/d/1w54z4NbyEbyjjJVyXvIK7OhyvnYLbtg7H9uK4YAXpNU/edit" TargetMode="External"/><Relationship Id="rId38" Type="http://schemas.openxmlformats.org/officeDocument/2006/relationships/hyperlink" Target="https://docs.google.com/spreadsheets/d/1w54z4NbyEbyjjJVyXvIK7OhyvnYLbtg7H9uK4YAXpNU/edit" TargetMode="External"/><Relationship Id="rId20" Type="http://schemas.openxmlformats.org/officeDocument/2006/relationships/hyperlink" Target="https://docs.google.com/spreadsheets/d/1w54z4NbyEbyjjJVyXvIK7OhyvnYLbtg7H9uK4YAXpNU/edit" TargetMode="External"/><Relationship Id="rId22" Type="http://schemas.openxmlformats.org/officeDocument/2006/relationships/hyperlink" Target="https://docs.google.com/spreadsheets/d/1w54z4NbyEbyjjJVyXvIK7OhyvnYLbtg7H9uK4YAXpNU/edit" TargetMode="External"/><Relationship Id="rId21" Type="http://schemas.openxmlformats.org/officeDocument/2006/relationships/hyperlink" Target="https://docs.google.com/spreadsheets/d/1w54z4NbyEbyjjJVyXvIK7OhyvnYLbtg7H9uK4YAXpNU/edit" TargetMode="External"/><Relationship Id="rId24" Type="http://schemas.openxmlformats.org/officeDocument/2006/relationships/hyperlink" Target="https://docs.google.com/spreadsheets/d/1w54z4NbyEbyjjJVyXvIK7OhyvnYLbtg7H9uK4YAXpNU/edit" TargetMode="External"/><Relationship Id="rId23" Type="http://schemas.openxmlformats.org/officeDocument/2006/relationships/hyperlink" Target="https://docs.google.com/spreadsheets/d/1w54z4NbyEbyjjJVyXvIK7OhyvnYLbtg7H9uK4YAXpNU/edit" TargetMode="External"/><Relationship Id="rId409" Type="http://schemas.openxmlformats.org/officeDocument/2006/relationships/hyperlink" Target="https://docs.google.com/spreadsheets/d/1P0ilCSyqA3dOMst3KNMcZ42cxp71XvTpe3tKMhYksN8/edit" TargetMode="External"/><Relationship Id="rId404" Type="http://schemas.openxmlformats.org/officeDocument/2006/relationships/hyperlink" Target="https://docs.google.com/spreadsheets/d/1P0ilCSyqA3dOMst3KNMcZ42cxp71XvTpe3tKMhYksN8/edit" TargetMode="External"/><Relationship Id="rId525" Type="http://schemas.openxmlformats.org/officeDocument/2006/relationships/hyperlink" Target="https://docs.google.com/spreadsheets/d/1P0ilCSyqA3dOMst3KNMcZ42cxp71XvTpe3tKMhYksN8/edit" TargetMode="External"/><Relationship Id="rId646" Type="http://schemas.openxmlformats.org/officeDocument/2006/relationships/hyperlink" Target="https://docs.google.com/spreadsheets/d/1P0ilCSyqA3dOMst3KNMcZ42cxp71XvTpe3tKMhYksN8/edit" TargetMode="External"/><Relationship Id="rId403" Type="http://schemas.openxmlformats.org/officeDocument/2006/relationships/hyperlink" Target="https://docs.google.com/spreadsheets/d/1P0ilCSyqA3dOMst3KNMcZ42cxp71XvTpe3tKMhYksN8/edit" TargetMode="External"/><Relationship Id="rId524" Type="http://schemas.openxmlformats.org/officeDocument/2006/relationships/hyperlink" Target="https://docs.google.com/spreadsheets/d/1P0ilCSyqA3dOMst3KNMcZ42cxp71XvTpe3tKMhYksN8/edit" TargetMode="External"/><Relationship Id="rId645" Type="http://schemas.openxmlformats.org/officeDocument/2006/relationships/hyperlink" Target="https://docs.google.com/spreadsheets/d/1P0ilCSyqA3dOMst3KNMcZ42cxp71XvTpe3tKMhYksN8/edit" TargetMode="External"/><Relationship Id="rId402" Type="http://schemas.openxmlformats.org/officeDocument/2006/relationships/hyperlink" Target="https://docs.google.com/spreadsheets/d/1P0ilCSyqA3dOMst3KNMcZ42cxp71XvTpe3tKMhYksN8/edit" TargetMode="External"/><Relationship Id="rId523" Type="http://schemas.openxmlformats.org/officeDocument/2006/relationships/hyperlink" Target="https://docs.google.com/spreadsheets/d/1P0ilCSyqA3dOMst3KNMcZ42cxp71XvTpe3tKMhYksN8/edit" TargetMode="External"/><Relationship Id="rId644" Type="http://schemas.openxmlformats.org/officeDocument/2006/relationships/hyperlink" Target="https://docs.google.com/spreadsheets/d/1P0ilCSyqA3dOMst3KNMcZ42cxp71XvTpe3tKMhYksN8/edit" TargetMode="External"/><Relationship Id="rId401" Type="http://schemas.openxmlformats.org/officeDocument/2006/relationships/hyperlink" Target="https://docs.google.com/spreadsheets/d/1P0ilCSyqA3dOMst3KNMcZ42cxp71XvTpe3tKMhYksN8/edit" TargetMode="External"/><Relationship Id="rId522" Type="http://schemas.openxmlformats.org/officeDocument/2006/relationships/hyperlink" Target="https://docs.google.com/spreadsheets/d/1P0ilCSyqA3dOMst3KNMcZ42cxp71XvTpe3tKMhYksN8/edit" TargetMode="External"/><Relationship Id="rId643" Type="http://schemas.openxmlformats.org/officeDocument/2006/relationships/hyperlink" Target="https://docs.google.com/spreadsheets/d/1P0ilCSyqA3dOMst3KNMcZ42cxp71XvTpe3tKMhYksN8/edit" TargetMode="External"/><Relationship Id="rId408" Type="http://schemas.openxmlformats.org/officeDocument/2006/relationships/hyperlink" Target="https://docs.google.com/spreadsheets/d/1P0ilCSyqA3dOMst3KNMcZ42cxp71XvTpe3tKMhYksN8/edit" TargetMode="External"/><Relationship Id="rId529" Type="http://schemas.openxmlformats.org/officeDocument/2006/relationships/hyperlink" Target="https://docs.google.com/spreadsheets/d/1P0ilCSyqA3dOMst3KNMcZ42cxp71XvTpe3tKMhYksN8/edit" TargetMode="External"/><Relationship Id="rId407" Type="http://schemas.openxmlformats.org/officeDocument/2006/relationships/hyperlink" Target="https://docs.google.com/spreadsheets/d/1P0ilCSyqA3dOMst3KNMcZ42cxp71XvTpe3tKMhYksN8/edit" TargetMode="External"/><Relationship Id="rId528" Type="http://schemas.openxmlformats.org/officeDocument/2006/relationships/hyperlink" Target="https://docs.google.com/spreadsheets/d/1P0ilCSyqA3dOMst3KNMcZ42cxp71XvTpe3tKMhYksN8/edit" TargetMode="External"/><Relationship Id="rId649" Type="http://schemas.openxmlformats.org/officeDocument/2006/relationships/hyperlink" Target="https://docs.google.com/spreadsheets/d/1P0ilCSyqA3dOMst3KNMcZ42cxp71XvTpe3tKMhYksN8/edit" TargetMode="External"/><Relationship Id="rId406" Type="http://schemas.openxmlformats.org/officeDocument/2006/relationships/hyperlink" Target="https://docs.google.com/spreadsheets/d/1P0ilCSyqA3dOMst3KNMcZ42cxp71XvTpe3tKMhYksN8/edit" TargetMode="External"/><Relationship Id="rId527" Type="http://schemas.openxmlformats.org/officeDocument/2006/relationships/hyperlink" Target="https://docs.google.com/spreadsheets/d/1P0ilCSyqA3dOMst3KNMcZ42cxp71XvTpe3tKMhYksN8/edit" TargetMode="External"/><Relationship Id="rId648" Type="http://schemas.openxmlformats.org/officeDocument/2006/relationships/hyperlink" Target="https://docs.google.com/spreadsheets/d/1P0ilCSyqA3dOMst3KNMcZ42cxp71XvTpe3tKMhYksN8/edit" TargetMode="External"/><Relationship Id="rId405" Type="http://schemas.openxmlformats.org/officeDocument/2006/relationships/hyperlink" Target="https://docs.google.com/spreadsheets/d/1P0ilCSyqA3dOMst3KNMcZ42cxp71XvTpe3tKMhYksN8/edit" TargetMode="External"/><Relationship Id="rId526" Type="http://schemas.openxmlformats.org/officeDocument/2006/relationships/hyperlink" Target="https://docs.google.com/spreadsheets/d/1P0ilCSyqA3dOMst3KNMcZ42cxp71XvTpe3tKMhYksN8/edit" TargetMode="External"/><Relationship Id="rId647" Type="http://schemas.openxmlformats.org/officeDocument/2006/relationships/hyperlink" Target="https://docs.google.com/spreadsheets/d/1P0ilCSyqA3dOMst3KNMcZ42cxp71XvTpe3tKMhYksN8/edit" TargetMode="External"/><Relationship Id="rId26" Type="http://schemas.openxmlformats.org/officeDocument/2006/relationships/hyperlink" Target="https://docs.google.com/spreadsheets/d/1w54z4NbyEbyjjJVyXvIK7OhyvnYLbtg7H9uK4YAXpNU/edit" TargetMode="External"/><Relationship Id="rId25" Type="http://schemas.openxmlformats.org/officeDocument/2006/relationships/hyperlink" Target="https://docs.google.com/spreadsheets/d/1w54z4NbyEbyjjJVyXvIK7OhyvnYLbtg7H9uK4YAXpNU/edit" TargetMode="External"/><Relationship Id="rId28" Type="http://schemas.openxmlformats.org/officeDocument/2006/relationships/hyperlink" Target="https://docs.google.com/spreadsheets/d/1w54z4NbyEbyjjJVyXvIK7OhyvnYLbtg7H9uK4YAXpNU/edit" TargetMode="External"/><Relationship Id="rId27" Type="http://schemas.openxmlformats.org/officeDocument/2006/relationships/hyperlink" Target="https://docs.google.com/spreadsheets/d/1w54z4NbyEbyjjJVyXvIK7OhyvnYLbtg7H9uK4YAXpNU/edit" TargetMode="External"/><Relationship Id="rId400" Type="http://schemas.openxmlformats.org/officeDocument/2006/relationships/hyperlink" Target="https://docs.google.com/spreadsheets/d/1P0ilCSyqA3dOMst3KNMcZ42cxp71XvTpe3tKMhYksN8/edit" TargetMode="External"/><Relationship Id="rId521" Type="http://schemas.openxmlformats.org/officeDocument/2006/relationships/hyperlink" Target="https://docs.google.com/spreadsheets/d/1P0ilCSyqA3dOMst3KNMcZ42cxp71XvTpe3tKMhYksN8/edit" TargetMode="External"/><Relationship Id="rId642" Type="http://schemas.openxmlformats.org/officeDocument/2006/relationships/hyperlink" Target="https://docs.google.com/spreadsheets/d/1P0ilCSyqA3dOMst3KNMcZ42cxp71XvTpe3tKMhYksN8/edit" TargetMode="External"/><Relationship Id="rId29" Type="http://schemas.openxmlformats.org/officeDocument/2006/relationships/hyperlink" Target="https://docs.google.com/spreadsheets/d/1w54z4NbyEbyjjJVyXvIK7OhyvnYLbtg7H9uK4YAXpNU/edit" TargetMode="External"/><Relationship Id="rId520" Type="http://schemas.openxmlformats.org/officeDocument/2006/relationships/hyperlink" Target="https://docs.google.com/spreadsheets/d/1P0ilCSyqA3dOMst3KNMcZ42cxp71XvTpe3tKMhYksN8/edit" TargetMode="External"/><Relationship Id="rId641" Type="http://schemas.openxmlformats.org/officeDocument/2006/relationships/hyperlink" Target="https://docs.google.com/spreadsheets/d/1P0ilCSyqA3dOMst3KNMcZ42cxp71XvTpe3tKMhYksN8/edit" TargetMode="External"/><Relationship Id="rId640" Type="http://schemas.openxmlformats.org/officeDocument/2006/relationships/hyperlink" Target="https://docs.google.com/spreadsheets/d/1P0ilCSyqA3dOMst3KNMcZ42cxp71XvTpe3tKMhYksN8/edit" TargetMode="External"/><Relationship Id="rId11" Type="http://schemas.openxmlformats.org/officeDocument/2006/relationships/hyperlink" Target="https://docs.google.com/spreadsheets/d/1w54z4NbyEbyjjJVyXvIK7OhyvnYLbtg7H9uK4YAXpNU/edit" TargetMode="External"/><Relationship Id="rId10" Type="http://schemas.openxmlformats.org/officeDocument/2006/relationships/hyperlink" Target="https://docs.google.com/spreadsheets/d/1w54z4NbyEbyjjJVyXvIK7OhyvnYLbtg7H9uK4YAXpNU/edit" TargetMode="External"/><Relationship Id="rId13" Type="http://schemas.openxmlformats.org/officeDocument/2006/relationships/hyperlink" Target="https://docs.google.com/spreadsheets/d/1w54z4NbyEbyjjJVyXvIK7OhyvnYLbtg7H9uK4YAXpNU/edit" TargetMode="External"/><Relationship Id="rId12" Type="http://schemas.openxmlformats.org/officeDocument/2006/relationships/hyperlink" Target="https://docs.google.com/spreadsheets/d/1w54z4NbyEbyjjJVyXvIK7OhyvnYLbtg7H9uK4YAXpNU/edit" TargetMode="External"/><Relationship Id="rId519" Type="http://schemas.openxmlformats.org/officeDocument/2006/relationships/hyperlink" Target="https://docs.google.com/spreadsheets/d/1P0ilCSyqA3dOMst3KNMcZ42cxp71XvTpe3tKMhYksN8/edit" TargetMode="External"/><Relationship Id="rId514" Type="http://schemas.openxmlformats.org/officeDocument/2006/relationships/hyperlink" Target="https://docs.google.com/spreadsheets/d/1P0ilCSyqA3dOMst3KNMcZ42cxp71XvTpe3tKMhYksN8/edit" TargetMode="External"/><Relationship Id="rId635" Type="http://schemas.openxmlformats.org/officeDocument/2006/relationships/hyperlink" Target="https://docs.google.com/spreadsheets/d/1P0ilCSyqA3dOMst3KNMcZ42cxp71XvTpe3tKMhYksN8/edit" TargetMode="External"/><Relationship Id="rId513" Type="http://schemas.openxmlformats.org/officeDocument/2006/relationships/hyperlink" Target="https://docs.google.com/spreadsheets/d/1P0ilCSyqA3dOMst3KNMcZ42cxp71XvTpe3tKMhYksN8/edit" TargetMode="External"/><Relationship Id="rId634" Type="http://schemas.openxmlformats.org/officeDocument/2006/relationships/hyperlink" Target="https://docs.google.com/spreadsheets/d/1P0ilCSyqA3dOMst3KNMcZ42cxp71XvTpe3tKMhYksN8/edit" TargetMode="External"/><Relationship Id="rId512" Type="http://schemas.openxmlformats.org/officeDocument/2006/relationships/hyperlink" Target="https://docs.google.com/spreadsheets/d/1P0ilCSyqA3dOMst3KNMcZ42cxp71XvTpe3tKMhYksN8/edit" TargetMode="External"/><Relationship Id="rId633" Type="http://schemas.openxmlformats.org/officeDocument/2006/relationships/hyperlink" Target="https://docs.google.com/spreadsheets/d/1P0ilCSyqA3dOMst3KNMcZ42cxp71XvTpe3tKMhYksN8/edit" TargetMode="External"/><Relationship Id="rId511" Type="http://schemas.openxmlformats.org/officeDocument/2006/relationships/hyperlink" Target="https://docs.google.com/spreadsheets/d/1P0ilCSyqA3dOMst3KNMcZ42cxp71XvTpe3tKMhYksN8/edit" TargetMode="External"/><Relationship Id="rId632" Type="http://schemas.openxmlformats.org/officeDocument/2006/relationships/hyperlink" Target="https://docs.google.com/spreadsheets/d/1P0ilCSyqA3dOMst3KNMcZ42cxp71XvTpe3tKMhYksN8/edit" TargetMode="External"/><Relationship Id="rId518" Type="http://schemas.openxmlformats.org/officeDocument/2006/relationships/hyperlink" Target="https://docs.google.com/spreadsheets/d/1P0ilCSyqA3dOMst3KNMcZ42cxp71XvTpe3tKMhYksN8/edit" TargetMode="External"/><Relationship Id="rId639" Type="http://schemas.openxmlformats.org/officeDocument/2006/relationships/hyperlink" Target="https://docs.google.com/spreadsheets/d/1P0ilCSyqA3dOMst3KNMcZ42cxp71XvTpe3tKMhYksN8/edit" TargetMode="External"/><Relationship Id="rId517" Type="http://schemas.openxmlformats.org/officeDocument/2006/relationships/hyperlink" Target="https://docs.google.com/spreadsheets/d/1P0ilCSyqA3dOMst3KNMcZ42cxp71XvTpe3tKMhYksN8/edit" TargetMode="External"/><Relationship Id="rId638" Type="http://schemas.openxmlformats.org/officeDocument/2006/relationships/hyperlink" Target="https://docs.google.com/spreadsheets/d/1P0ilCSyqA3dOMst3KNMcZ42cxp71XvTpe3tKMhYksN8/edit" TargetMode="External"/><Relationship Id="rId516" Type="http://schemas.openxmlformats.org/officeDocument/2006/relationships/hyperlink" Target="https://docs.google.com/spreadsheets/d/1P0ilCSyqA3dOMst3KNMcZ42cxp71XvTpe3tKMhYksN8/edit" TargetMode="External"/><Relationship Id="rId637" Type="http://schemas.openxmlformats.org/officeDocument/2006/relationships/hyperlink" Target="https://docs.google.com/spreadsheets/d/1P0ilCSyqA3dOMst3KNMcZ42cxp71XvTpe3tKMhYksN8/edit" TargetMode="External"/><Relationship Id="rId515" Type="http://schemas.openxmlformats.org/officeDocument/2006/relationships/hyperlink" Target="https://docs.google.com/spreadsheets/d/1P0ilCSyqA3dOMst3KNMcZ42cxp71XvTpe3tKMhYksN8/edit" TargetMode="External"/><Relationship Id="rId636" Type="http://schemas.openxmlformats.org/officeDocument/2006/relationships/hyperlink" Target="https://docs.google.com/spreadsheets/d/1P0ilCSyqA3dOMst3KNMcZ42cxp71XvTpe3tKMhYksN8/edit" TargetMode="External"/><Relationship Id="rId15" Type="http://schemas.openxmlformats.org/officeDocument/2006/relationships/hyperlink" Target="https://docs.google.com/spreadsheets/d/1w54z4NbyEbyjjJVyXvIK7OhyvnYLbtg7H9uK4YAXpNU/edit" TargetMode="External"/><Relationship Id="rId14" Type="http://schemas.openxmlformats.org/officeDocument/2006/relationships/hyperlink" Target="https://docs.google.com/spreadsheets/d/1w54z4NbyEbyjjJVyXvIK7OhyvnYLbtg7H9uK4YAXpNU/edit" TargetMode="External"/><Relationship Id="rId17" Type="http://schemas.openxmlformats.org/officeDocument/2006/relationships/hyperlink" Target="https://docs.google.com/spreadsheets/d/1w54z4NbyEbyjjJVyXvIK7OhyvnYLbtg7H9uK4YAXpNU/edit" TargetMode="External"/><Relationship Id="rId16" Type="http://schemas.openxmlformats.org/officeDocument/2006/relationships/hyperlink" Target="https://docs.google.com/spreadsheets/d/1w54z4NbyEbyjjJVyXvIK7OhyvnYLbtg7H9uK4YAXpNU/edit" TargetMode="External"/><Relationship Id="rId19" Type="http://schemas.openxmlformats.org/officeDocument/2006/relationships/hyperlink" Target="https://docs.google.com/spreadsheets/d/1w54z4NbyEbyjjJVyXvIK7OhyvnYLbtg7H9uK4YAXpNU/edit" TargetMode="External"/><Relationship Id="rId510" Type="http://schemas.openxmlformats.org/officeDocument/2006/relationships/hyperlink" Target="https://docs.google.com/spreadsheets/d/1P0ilCSyqA3dOMst3KNMcZ42cxp71XvTpe3tKMhYksN8/edit" TargetMode="External"/><Relationship Id="rId631" Type="http://schemas.openxmlformats.org/officeDocument/2006/relationships/hyperlink" Target="https://docs.google.com/spreadsheets/d/1P0ilCSyqA3dOMst3KNMcZ42cxp71XvTpe3tKMhYksN8/edit" TargetMode="External"/><Relationship Id="rId18" Type="http://schemas.openxmlformats.org/officeDocument/2006/relationships/hyperlink" Target="https://docs.google.com/spreadsheets/d/1w54z4NbyEbyjjJVyXvIK7OhyvnYLbtg7H9uK4YAXpNU/edit" TargetMode="External"/><Relationship Id="rId630" Type="http://schemas.openxmlformats.org/officeDocument/2006/relationships/hyperlink" Target="https://docs.google.com/spreadsheets/d/1P0ilCSyqA3dOMst3KNMcZ42cxp71XvTpe3tKMhYksN8/edit" TargetMode="External"/><Relationship Id="rId84" Type="http://schemas.openxmlformats.org/officeDocument/2006/relationships/hyperlink" Target="https://docs.google.com/spreadsheets/d/1P0ilCSyqA3dOMst3KNMcZ42cxp71XvTpe3tKMhYksN8/edit" TargetMode="External"/><Relationship Id="rId83" Type="http://schemas.openxmlformats.org/officeDocument/2006/relationships/hyperlink" Target="https://docs.google.com/spreadsheets/d/1P0ilCSyqA3dOMst3KNMcZ42cxp71XvTpe3tKMhYksN8/edit" TargetMode="External"/><Relationship Id="rId86" Type="http://schemas.openxmlformats.org/officeDocument/2006/relationships/hyperlink" Target="https://docs.google.com/spreadsheets/d/1P0ilCSyqA3dOMst3KNMcZ42cxp71XvTpe3tKMhYksN8/edit" TargetMode="External"/><Relationship Id="rId85" Type="http://schemas.openxmlformats.org/officeDocument/2006/relationships/hyperlink" Target="https://docs.google.com/spreadsheets/d/1P0ilCSyqA3dOMst3KNMcZ42cxp71XvTpe3tKMhYksN8/edit" TargetMode="External"/><Relationship Id="rId88" Type="http://schemas.openxmlformats.org/officeDocument/2006/relationships/hyperlink" Target="https://docs.google.com/spreadsheets/d/1P0ilCSyqA3dOMst3KNMcZ42cxp71XvTpe3tKMhYksN8/edit" TargetMode="External"/><Relationship Id="rId87" Type="http://schemas.openxmlformats.org/officeDocument/2006/relationships/hyperlink" Target="https://docs.google.com/spreadsheets/d/1P0ilCSyqA3dOMst3KNMcZ42cxp71XvTpe3tKMhYksN8/edit" TargetMode="External"/><Relationship Id="rId89" Type="http://schemas.openxmlformats.org/officeDocument/2006/relationships/hyperlink" Target="https://docs.google.com/spreadsheets/d/1P0ilCSyqA3dOMst3KNMcZ42cxp71XvTpe3tKMhYksN8/edit" TargetMode="External"/><Relationship Id="rId709" Type="http://schemas.openxmlformats.org/officeDocument/2006/relationships/hyperlink" Target="https://docs.google.com/spreadsheets/d/15oR4AzHb3aObQVH2-iOM0BUe860L_hQgGGLP9Y6meI0/edit" TargetMode="External"/><Relationship Id="rId708" Type="http://schemas.openxmlformats.org/officeDocument/2006/relationships/hyperlink" Target="https://docs.google.com/spreadsheets/d/15oR4AzHb3aObQVH2-iOM0BUe860L_hQgGGLP9Y6meI0/edit" TargetMode="External"/><Relationship Id="rId707" Type="http://schemas.openxmlformats.org/officeDocument/2006/relationships/hyperlink" Target="https://docs.google.com/spreadsheets/d/15oR4AzHb3aObQVH2-iOM0BUe860L_hQgGGLP9Y6meI0/edit" TargetMode="External"/><Relationship Id="rId706" Type="http://schemas.openxmlformats.org/officeDocument/2006/relationships/hyperlink" Target="https://docs.google.com/spreadsheets/d/15oR4AzHb3aObQVH2-iOM0BUe860L_hQgGGLP9Y6meI0/edit" TargetMode="External"/><Relationship Id="rId80" Type="http://schemas.openxmlformats.org/officeDocument/2006/relationships/hyperlink" Target="https://docs.google.com/spreadsheets/d/1P0ilCSyqA3dOMst3KNMcZ42cxp71XvTpe3tKMhYksN8/edit" TargetMode="External"/><Relationship Id="rId82" Type="http://schemas.openxmlformats.org/officeDocument/2006/relationships/hyperlink" Target="https://docs.google.com/spreadsheets/d/1P0ilCSyqA3dOMst3KNMcZ42cxp71XvTpe3tKMhYksN8/edit" TargetMode="External"/><Relationship Id="rId81" Type="http://schemas.openxmlformats.org/officeDocument/2006/relationships/hyperlink" Target="https://docs.google.com/spreadsheets/d/1P0ilCSyqA3dOMst3KNMcZ42cxp71XvTpe3tKMhYksN8/edit" TargetMode="External"/><Relationship Id="rId701" Type="http://schemas.openxmlformats.org/officeDocument/2006/relationships/hyperlink" Target="https://docs.google.com/spreadsheets/d/15oR4AzHb3aObQVH2-iOM0BUe860L_hQgGGLP9Y6meI0/edit" TargetMode="External"/><Relationship Id="rId700" Type="http://schemas.openxmlformats.org/officeDocument/2006/relationships/hyperlink" Target="https://docs.google.com/spreadsheets/d/15oR4AzHb3aObQVH2-iOM0BUe860L_hQgGGLP9Y6meI0/edit" TargetMode="External"/><Relationship Id="rId705" Type="http://schemas.openxmlformats.org/officeDocument/2006/relationships/hyperlink" Target="https://docs.google.com/spreadsheets/d/15oR4AzHb3aObQVH2-iOM0BUe860L_hQgGGLP9Y6meI0/edit" TargetMode="External"/><Relationship Id="rId704" Type="http://schemas.openxmlformats.org/officeDocument/2006/relationships/hyperlink" Target="https://docs.google.com/spreadsheets/d/15oR4AzHb3aObQVH2-iOM0BUe860L_hQgGGLP9Y6meI0/edit" TargetMode="External"/><Relationship Id="rId703" Type="http://schemas.openxmlformats.org/officeDocument/2006/relationships/hyperlink" Target="https://docs.google.com/spreadsheets/d/15oR4AzHb3aObQVH2-iOM0BUe860L_hQgGGLP9Y6meI0/edit" TargetMode="External"/><Relationship Id="rId702" Type="http://schemas.openxmlformats.org/officeDocument/2006/relationships/hyperlink" Target="https://docs.google.com/spreadsheets/d/15oR4AzHb3aObQVH2-iOM0BUe860L_hQgGGLP9Y6meI0/edit" TargetMode="External"/><Relationship Id="rId73" Type="http://schemas.openxmlformats.org/officeDocument/2006/relationships/hyperlink" Target="https://docs.google.com/spreadsheets/d/1w54z4NbyEbyjjJVyXvIK7OhyvnYLbtg7H9uK4YAXpNU/edit" TargetMode="External"/><Relationship Id="rId72" Type="http://schemas.openxmlformats.org/officeDocument/2006/relationships/hyperlink" Target="https://docs.google.com/spreadsheets/d/1w54z4NbyEbyjjJVyXvIK7OhyvnYLbtg7H9uK4YAXpNU/edit" TargetMode="External"/><Relationship Id="rId75" Type="http://schemas.openxmlformats.org/officeDocument/2006/relationships/hyperlink" Target="https://docs.google.com/spreadsheets/d/1w54z4NbyEbyjjJVyXvIK7OhyvnYLbtg7H9uK4YAXpNU/edit" TargetMode="External"/><Relationship Id="rId74" Type="http://schemas.openxmlformats.org/officeDocument/2006/relationships/hyperlink" Target="https://docs.google.com/spreadsheets/d/1w54z4NbyEbyjjJVyXvIK7OhyvnYLbtg7H9uK4YAXpNU/edit" TargetMode="External"/><Relationship Id="rId77" Type="http://schemas.openxmlformats.org/officeDocument/2006/relationships/hyperlink" Target="https://docs.google.com/spreadsheets/d/1P0ilCSyqA3dOMst3KNMcZ42cxp71XvTpe3tKMhYksN8/edit" TargetMode="External"/><Relationship Id="rId76" Type="http://schemas.openxmlformats.org/officeDocument/2006/relationships/hyperlink" Target="https://docs.google.com/spreadsheets/d/1P0ilCSyqA3dOMst3KNMcZ42cxp71XvTpe3tKMhYksN8/edit" TargetMode="External"/><Relationship Id="rId79" Type="http://schemas.openxmlformats.org/officeDocument/2006/relationships/hyperlink" Target="https://docs.google.com/spreadsheets/d/1P0ilCSyqA3dOMst3KNMcZ42cxp71XvTpe3tKMhYksN8/edit" TargetMode="External"/><Relationship Id="rId78" Type="http://schemas.openxmlformats.org/officeDocument/2006/relationships/hyperlink" Target="https://docs.google.com/spreadsheets/d/1P0ilCSyqA3dOMst3KNMcZ42cxp71XvTpe3tKMhYksN8/edit" TargetMode="External"/><Relationship Id="rId71" Type="http://schemas.openxmlformats.org/officeDocument/2006/relationships/hyperlink" Target="https://docs.google.com/spreadsheets/d/1w54z4NbyEbyjjJVyXvIK7OhyvnYLbtg7H9uK4YAXpNU/edit" TargetMode="External"/><Relationship Id="rId70" Type="http://schemas.openxmlformats.org/officeDocument/2006/relationships/hyperlink" Target="https://docs.google.com/spreadsheets/d/1w54z4NbyEbyjjJVyXvIK7OhyvnYLbtg7H9uK4YAXpNU/edit" TargetMode="External"/><Relationship Id="rId62" Type="http://schemas.openxmlformats.org/officeDocument/2006/relationships/hyperlink" Target="https://docs.google.com/spreadsheets/d/1w54z4NbyEbyjjJVyXvIK7OhyvnYLbtg7H9uK4YAXpNU/edit" TargetMode="External"/><Relationship Id="rId61" Type="http://schemas.openxmlformats.org/officeDocument/2006/relationships/hyperlink" Target="https://docs.google.com/spreadsheets/d/1w54z4NbyEbyjjJVyXvIK7OhyvnYLbtg7H9uK4YAXpNU/edit" TargetMode="External"/><Relationship Id="rId64" Type="http://schemas.openxmlformats.org/officeDocument/2006/relationships/hyperlink" Target="https://docs.google.com/spreadsheets/d/1w54z4NbyEbyjjJVyXvIK7OhyvnYLbtg7H9uK4YAXpNU/edit" TargetMode="External"/><Relationship Id="rId63" Type="http://schemas.openxmlformats.org/officeDocument/2006/relationships/hyperlink" Target="https://docs.google.com/spreadsheets/d/1w54z4NbyEbyjjJVyXvIK7OhyvnYLbtg7H9uK4YAXpNU/edit" TargetMode="External"/><Relationship Id="rId66" Type="http://schemas.openxmlformats.org/officeDocument/2006/relationships/hyperlink" Target="https://docs.google.com/spreadsheets/d/1w54z4NbyEbyjjJVyXvIK7OhyvnYLbtg7H9uK4YAXpNU/edit" TargetMode="External"/><Relationship Id="rId65" Type="http://schemas.openxmlformats.org/officeDocument/2006/relationships/hyperlink" Target="https://docs.google.com/spreadsheets/d/1w54z4NbyEbyjjJVyXvIK7OhyvnYLbtg7H9uK4YAXpNU/edit" TargetMode="External"/><Relationship Id="rId68" Type="http://schemas.openxmlformats.org/officeDocument/2006/relationships/hyperlink" Target="https://docs.google.com/spreadsheets/d/1w54z4NbyEbyjjJVyXvIK7OhyvnYLbtg7H9uK4YAXpNU/edit" TargetMode="External"/><Relationship Id="rId67" Type="http://schemas.openxmlformats.org/officeDocument/2006/relationships/hyperlink" Target="https://docs.google.com/spreadsheets/d/1w54z4NbyEbyjjJVyXvIK7OhyvnYLbtg7H9uK4YAXpNU/edit" TargetMode="External"/><Relationship Id="rId609" Type="http://schemas.openxmlformats.org/officeDocument/2006/relationships/hyperlink" Target="https://docs.google.com/spreadsheets/d/1P0ilCSyqA3dOMst3KNMcZ42cxp71XvTpe3tKMhYksN8/edit" TargetMode="External"/><Relationship Id="rId608" Type="http://schemas.openxmlformats.org/officeDocument/2006/relationships/hyperlink" Target="https://docs.google.com/spreadsheets/d/1P0ilCSyqA3dOMst3KNMcZ42cxp71XvTpe3tKMhYksN8/edit" TargetMode="External"/><Relationship Id="rId607" Type="http://schemas.openxmlformats.org/officeDocument/2006/relationships/hyperlink" Target="https://docs.google.com/spreadsheets/d/1P0ilCSyqA3dOMst3KNMcZ42cxp71XvTpe3tKMhYksN8/edit" TargetMode="External"/><Relationship Id="rId60" Type="http://schemas.openxmlformats.org/officeDocument/2006/relationships/hyperlink" Target="https://docs.google.com/spreadsheets/d/1w54z4NbyEbyjjJVyXvIK7OhyvnYLbtg7H9uK4YAXpNU/edit" TargetMode="External"/><Relationship Id="rId602" Type="http://schemas.openxmlformats.org/officeDocument/2006/relationships/hyperlink" Target="https://docs.google.com/spreadsheets/d/1P0ilCSyqA3dOMst3KNMcZ42cxp71XvTpe3tKMhYksN8/edit" TargetMode="External"/><Relationship Id="rId723" Type="http://schemas.openxmlformats.org/officeDocument/2006/relationships/hyperlink" Target="https://docs.google.com/spreadsheets/d/1_2CNBES8nIYbHQusNB5GWqUCMVnT3BGVbsPgLxWwUCw/edit" TargetMode="External"/><Relationship Id="rId601" Type="http://schemas.openxmlformats.org/officeDocument/2006/relationships/hyperlink" Target="https://docs.google.com/spreadsheets/d/1P0ilCSyqA3dOMst3KNMcZ42cxp71XvTpe3tKMhYksN8/edit" TargetMode="External"/><Relationship Id="rId722" Type="http://schemas.openxmlformats.org/officeDocument/2006/relationships/hyperlink" Target="https://docs.google.com/spreadsheets/d/1_2CNBES8nIYbHQusNB5GWqUCMVnT3BGVbsPgLxWwUCw/edit" TargetMode="External"/><Relationship Id="rId600" Type="http://schemas.openxmlformats.org/officeDocument/2006/relationships/hyperlink" Target="https://docs.google.com/spreadsheets/d/1P0ilCSyqA3dOMst3KNMcZ42cxp71XvTpe3tKMhYksN8/edit" TargetMode="External"/><Relationship Id="rId721" Type="http://schemas.openxmlformats.org/officeDocument/2006/relationships/hyperlink" Target="https://docs.google.com/spreadsheets/d/1_2CNBES8nIYbHQusNB5GWqUCMVnT3BGVbsPgLxWwUCw/edit" TargetMode="External"/><Relationship Id="rId720" Type="http://schemas.openxmlformats.org/officeDocument/2006/relationships/hyperlink" Target="https://docs.google.com/spreadsheets/d/1_2CNBES8nIYbHQusNB5GWqUCMVnT3BGVbsPgLxWwUCw/edit" TargetMode="External"/><Relationship Id="rId606" Type="http://schemas.openxmlformats.org/officeDocument/2006/relationships/hyperlink" Target="https://docs.google.com/spreadsheets/d/1P0ilCSyqA3dOMst3KNMcZ42cxp71XvTpe3tKMhYksN8/edit" TargetMode="External"/><Relationship Id="rId605" Type="http://schemas.openxmlformats.org/officeDocument/2006/relationships/hyperlink" Target="https://docs.google.com/spreadsheets/d/1P0ilCSyqA3dOMst3KNMcZ42cxp71XvTpe3tKMhYksN8/edit" TargetMode="External"/><Relationship Id="rId604" Type="http://schemas.openxmlformats.org/officeDocument/2006/relationships/hyperlink" Target="https://docs.google.com/spreadsheets/d/1P0ilCSyqA3dOMst3KNMcZ42cxp71XvTpe3tKMhYksN8/edit" TargetMode="External"/><Relationship Id="rId603" Type="http://schemas.openxmlformats.org/officeDocument/2006/relationships/hyperlink" Target="https://docs.google.com/spreadsheets/d/1P0ilCSyqA3dOMst3KNMcZ42cxp71XvTpe3tKMhYksN8/edit" TargetMode="External"/><Relationship Id="rId724" Type="http://schemas.openxmlformats.org/officeDocument/2006/relationships/drawing" Target="../drawings/drawing6.xml"/><Relationship Id="rId69" Type="http://schemas.openxmlformats.org/officeDocument/2006/relationships/hyperlink" Target="https://docs.google.com/spreadsheets/d/1w54z4NbyEbyjjJVyXvIK7OhyvnYLbtg7H9uK4YAXpNU/edit" TargetMode="External"/><Relationship Id="rId51" Type="http://schemas.openxmlformats.org/officeDocument/2006/relationships/hyperlink" Target="https://docs.google.com/spreadsheets/d/1w54z4NbyEbyjjJVyXvIK7OhyvnYLbtg7H9uK4YAXpNU/edit" TargetMode="External"/><Relationship Id="rId50" Type="http://schemas.openxmlformats.org/officeDocument/2006/relationships/hyperlink" Target="https://docs.google.com/spreadsheets/d/1w54z4NbyEbyjjJVyXvIK7OhyvnYLbtg7H9uK4YAXpNU/edit" TargetMode="External"/><Relationship Id="rId53" Type="http://schemas.openxmlformats.org/officeDocument/2006/relationships/hyperlink" Target="https://docs.google.com/spreadsheets/d/1w54z4NbyEbyjjJVyXvIK7OhyvnYLbtg7H9uK4YAXpNU/edit" TargetMode="External"/><Relationship Id="rId52" Type="http://schemas.openxmlformats.org/officeDocument/2006/relationships/hyperlink" Target="https://docs.google.com/spreadsheets/d/1w54z4NbyEbyjjJVyXvIK7OhyvnYLbtg7H9uK4YAXpNU/edit" TargetMode="External"/><Relationship Id="rId55" Type="http://schemas.openxmlformats.org/officeDocument/2006/relationships/hyperlink" Target="https://docs.google.com/spreadsheets/d/1w54z4NbyEbyjjJVyXvIK7OhyvnYLbtg7H9uK4YAXpNU/edit" TargetMode="External"/><Relationship Id="rId54" Type="http://schemas.openxmlformats.org/officeDocument/2006/relationships/hyperlink" Target="https://docs.google.com/spreadsheets/d/1w54z4NbyEbyjjJVyXvIK7OhyvnYLbtg7H9uK4YAXpNU/edit" TargetMode="External"/><Relationship Id="rId57" Type="http://schemas.openxmlformats.org/officeDocument/2006/relationships/hyperlink" Target="https://docs.google.com/spreadsheets/d/1w54z4NbyEbyjjJVyXvIK7OhyvnYLbtg7H9uK4YAXpNU/edit" TargetMode="External"/><Relationship Id="rId56" Type="http://schemas.openxmlformats.org/officeDocument/2006/relationships/hyperlink" Target="https://docs.google.com/spreadsheets/d/1w54z4NbyEbyjjJVyXvIK7OhyvnYLbtg7H9uK4YAXpNU/edit" TargetMode="External"/><Relationship Id="rId719" Type="http://schemas.openxmlformats.org/officeDocument/2006/relationships/hyperlink" Target="https://docs.google.com/spreadsheets/d/1_2CNBES8nIYbHQusNB5GWqUCMVnT3BGVbsPgLxWwUCw/edit" TargetMode="External"/><Relationship Id="rId718" Type="http://schemas.openxmlformats.org/officeDocument/2006/relationships/hyperlink" Target="https://docs.google.com/spreadsheets/d/1_2CNBES8nIYbHQusNB5GWqUCMVnT3BGVbsPgLxWwUCw/edit" TargetMode="External"/><Relationship Id="rId717" Type="http://schemas.openxmlformats.org/officeDocument/2006/relationships/hyperlink" Target="https://docs.google.com/spreadsheets/d/1_2CNBES8nIYbHQusNB5GWqUCMVnT3BGVbsPgLxWwUCw/edit" TargetMode="External"/><Relationship Id="rId712" Type="http://schemas.openxmlformats.org/officeDocument/2006/relationships/hyperlink" Target="https://docs.google.com/spreadsheets/d/1_2CNBES8nIYbHQusNB5GWqUCMVnT3BGVbsPgLxWwUCw/edit" TargetMode="External"/><Relationship Id="rId711" Type="http://schemas.openxmlformats.org/officeDocument/2006/relationships/hyperlink" Target="https://docs.google.com/spreadsheets/d/1_2CNBES8nIYbHQusNB5GWqUCMVnT3BGVbsPgLxWwUCw/edit" TargetMode="External"/><Relationship Id="rId710" Type="http://schemas.openxmlformats.org/officeDocument/2006/relationships/hyperlink" Target="https://docs.google.com/spreadsheets/d/15oR4AzHb3aObQVH2-iOM0BUe860L_hQgGGLP9Y6meI0/edit" TargetMode="External"/><Relationship Id="rId716" Type="http://schemas.openxmlformats.org/officeDocument/2006/relationships/hyperlink" Target="https://docs.google.com/spreadsheets/d/1_2CNBES8nIYbHQusNB5GWqUCMVnT3BGVbsPgLxWwUCw/edit" TargetMode="External"/><Relationship Id="rId715" Type="http://schemas.openxmlformats.org/officeDocument/2006/relationships/hyperlink" Target="https://docs.google.com/spreadsheets/d/1_2CNBES8nIYbHQusNB5GWqUCMVnT3BGVbsPgLxWwUCw/edit" TargetMode="External"/><Relationship Id="rId714" Type="http://schemas.openxmlformats.org/officeDocument/2006/relationships/hyperlink" Target="https://docs.google.com/spreadsheets/d/1_2CNBES8nIYbHQusNB5GWqUCMVnT3BGVbsPgLxWwUCw/edit" TargetMode="External"/><Relationship Id="rId713" Type="http://schemas.openxmlformats.org/officeDocument/2006/relationships/hyperlink" Target="https://docs.google.com/spreadsheets/d/1_2CNBES8nIYbHQusNB5GWqUCMVnT3BGVbsPgLxWwUCw/edit" TargetMode="External"/><Relationship Id="rId59" Type="http://schemas.openxmlformats.org/officeDocument/2006/relationships/hyperlink" Target="https://docs.google.com/spreadsheets/d/1w54z4NbyEbyjjJVyXvIK7OhyvnYLbtg7H9uK4YAXpNU/edit" TargetMode="External"/><Relationship Id="rId58" Type="http://schemas.openxmlformats.org/officeDocument/2006/relationships/hyperlink" Target="https://docs.google.com/spreadsheets/d/1w54z4NbyEbyjjJVyXvIK7OhyvnYLbtg7H9uK4YAXpNU/edit" TargetMode="External"/><Relationship Id="rId590" Type="http://schemas.openxmlformats.org/officeDocument/2006/relationships/hyperlink" Target="https://docs.google.com/spreadsheets/d/1P0ilCSyqA3dOMst3KNMcZ42cxp71XvTpe3tKMhYksN8/edit" TargetMode="External"/><Relationship Id="rId107" Type="http://schemas.openxmlformats.org/officeDocument/2006/relationships/hyperlink" Target="https://docs.google.com/spreadsheets/d/1P0ilCSyqA3dOMst3KNMcZ42cxp71XvTpe3tKMhYksN8/edit" TargetMode="External"/><Relationship Id="rId228" Type="http://schemas.openxmlformats.org/officeDocument/2006/relationships/hyperlink" Target="https://docs.google.com/spreadsheets/d/1vCOoengzj4u-lf-Olvw85ysitfzOfclGKPXAtoEPy0A/edit" TargetMode="External"/><Relationship Id="rId349" Type="http://schemas.openxmlformats.org/officeDocument/2006/relationships/hyperlink" Target="https://docs.google.com/spreadsheets/d/1vCOoengzj4u-lf-Olvw85ysitfzOfclGKPXAtoEPy0A/edit" TargetMode="External"/><Relationship Id="rId106" Type="http://schemas.openxmlformats.org/officeDocument/2006/relationships/hyperlink" Target="https://docs.google.com/spreadsheets/d/1P0ilCSyqA3dOMst3KNMcZ42cxp71XvTpe3tKMhYksN8/edit" TargetMode="External"/><Relationship Id="rId227" Type="http://schemas.openxmlformats.org/officeDocument/2006/relationships/hyperlink" Target="https://docs.google.com/spreadsheets/d/1vCOoengzj4u-lf-Olvw85ysitfzOfclGKPXAtoEPy0A/edit" TargetMode="External"/><Relationship Id="rId348" Type="http://schemas.openxmlformats.org/officeDocument/2006/relationships/hyperlink" Target="https://docs.google.com/spreadsheets/d/1vCOoengzj4u-lf-Olvw85ysitfzOfclGKPXAtoEPy0A/edit" TargetMode="External"/><Relationship Id="rId469" Type="http://schemas.openxmlformats.org/officeDocument/2006/relationships/hyperlink" Target="https://docs.google.com/spreadsheets/d/1P0ilCSyqA3dOMst3KNMcZ42cxp71XvTpe3tKMhYksN8/edit" TargetMode="External"/><Relationship Id="rId105" Type="http://schemas.openxmlformats.org/officeDocument/2006/relationships/hyperlink" Target="https://docs.google.com/spreadsheets/d/1P0ilCSyqA3dOMst3KNMcZ42cxp71XvTpe3tKMhYksN8/edit" TargetMode="External"/><Relationship Id="rId226" Type="http://schemas.openxmlformats.org/officeDocument/2006/relationships/hyperlink" Target="https://docs.google.com/spreadsheets/d/1vCOoengzj4u-lf-Olvw85ysitfzOfclGKPXAtoEPy0A/edit" TargetMode="External"/><Relationship Id="rId347" Type="http://schemas.openxmlformats.org/officeDocument/2006/relationships/hyperlink" Target="https://docs.google.com/spreadsheets/d/1vCOoengzj4u-lf-Olvw85ysitfzOfclGKPXAtoEPy0A/edit" TargetMode="External"/><Relationship Id="rId468" Type="http://schemas.openxmlformats.org/officeDocument/2006/relationships/hyperlink" Target="https://docs.google.com/spreadsheets/d/1P0ilCSyqA3dOMst3KNMcZ42cxp71XvTpe3tKMhYksN8/edit" TargetMode="External"/><Relationship Id="rId589" Type="http://schemas.openxmlformats.org/officeDocument/2006/relationships/hyperlink" Target="https://docs.google.com/spreadsheets/d/1P0ilCSyqA3dOMst3KNMcZ42cxp71XvTpe3tKMhYksN8/edit" TargetMode="External"/><Relationship Id="rId104" Type="http://schemas.openxmlformats.org/officeDocument/2006/relationships/hyperlink" Target="https://docs.google.com/spreadsheets/d/1P0ilCSyqA3dOMst3KNMcZ42cxp71XvTpe3tKMhYksN8/edit" TargetMode="External"/><Relationship Id="rId225" Type="http://schemas.openxmlformats.org/officeDocument/2006/relationships/hyperlink" Target="https://docs.google.com/spreadsheets/d/1vCOoengzj4u-lf-Olvw85ysitfzOfclGKPXAtoEPy0A/edit" TargetMode="External"/><Relationship Id="rId346" Type="http://schemas.openxmlformats.org/officeDocument/2006/relationships/hyperlink" Target="https://docs.google.com/spreadsheets/d/1vCOoengzj4u-lf-Olvw85ysitfzOfclGKPXAtoEPy0A/edit" TargetMode="External"/><Relationship Id="rId467" Type="http://schemas.openxmlformats.org/officeDocument/2006/relationships/hyperlink" Target="https://docs.google.com/spreadsheets/d/1P0ilCSyqA3dOMst3KNMcZ42cxp71XvTpe3tKMhYksN8/edit" TargetMode="External"/><Relationship Id="rId588" Type="http://schemas.openxmlformats.org/officeDocument/2006/relationships/hyperlink" Target="https://docs.google.com/spreadsheets/d/1P0ilCSyqA3dOMst3KNMcZ42cxp71XvTpe3tKMhYksN8/edit" TargetMode="External"/><Relationship Id="rId109" Type="http://schemas.openxmlformats.org/officeDocument/2006/relationships/hyperlink" Target="https://docs.google.com/spreadsheets/d/1vCOoengzj4u-lf-Olvw85ysitfzOfclGKPXAtoEPy0A/edit" TargetMode="External"/><Relationship Id="rId108" Type="http://schemas.openxmlformats.org/officeDocument/2006/relationships/hyperlink" Target="https://docs.google.com/spreadsheets/d/1vCOoengzj4u-lf-Olvw85ysitfzOfclGKPXAtoEPy0A/edit" TargetMode="External"/><Relationship Id="rId229" Type="http://schemas.openxmlformats.org/officeDocument/2006/relationships/hyperlink" Target="https://docs.google.com/spreadsheets/d/1vCOoengzj4u-lf-Olvw85ysitfzOfclGKPXAtoEPy0A/edit" TargetMode="External"/><Relationship Id="rId220" Type="http://schemas.openxmlformats.org/officeDocument/2006/relationships/hyperlink" Target="https://docs.google.com/spreadsheets/d/1vCOoengzj4u-lf-Olvw85ysitfzOfclGKPXAtoEPy0A/edit" TargetMode="External"/><Relationship Id="rId341" Type="http://schemas.openxmlformats.org/officeDocument/2006/relationships/hyperlink" Target="https://docs.google.com/spreadsheets/d/1vCOoengzj4u-lf-Olvw85ysitfzOfclGKPXAtoEPy0A/edit" TargetMode="External"/><Relationship Id="rId462" Type="http://schemas.openxmlformats.org/officeDocument/2006/relationships/hyperlink" Target="https://docs.google.com/spreadsheets/d/1P0ilCSyqA3dOMst3KNMcZ42cxp71XvTpe3tKMhYksN8/edit" TargetMode="External"/><Relationship Id="rId583" Type="http://schemas.openxmlformats.org/officeDocument/2006/relationships/hyperlink" Target="https://docs.google.com/spreadsheets/d/1P0ilCSyqA3dOMst3KNMcZ42cxp71XvTpe3tKMhYksN8/edit" TargetMode="External"/><Relationship Id="rId340" Type="http://schemas.openxmlformats.org/officeDocument/2006/relationships/hyperlink" Target="https://docs.google.com/spreadsheets/d/1vCOoengzj4u-lf-Olvw85ysitfzOfclGKPXAtoEPy0A/edit" TargetMode="External"/><Relationship Id="rId461" Type="http://schemas.openxmlformats.org/officeDocument/2006/relationships/hyperlink" Target="https://docs.google.com/spreadsheets/d/1P0ilCSyqA3dOMst3KNMcZ42cxp71XvTpe3tKMhYksN8/edit" TargetMode="External"/><Relationship Id="rId582" Type="http://schemas.openxmlformats.org/officeDocument/2006/relationships/hyperlink" Target="https://docs.google.com/spreadsheets/d/1P0ilCSyqA3dOMst3KNMcZ42cxp71XvTpe3tKMhYksN8/edit" TargetMode="External"/><Relationship Id="rId460" Type="http://schemas.openxmlformats.org/officeDocument/2006/relationships/hyperlink" Target="https://docs.google.com/spreadsheets/d/1P0ilCSyqA3dOMst3KNMcZ42cxp71XvTpe3tKMhYksN8/edit" TargetMode="External"/><Relationship Id="rId581" Type="http://schemas.openxmlformats.org/officeDocument/2006/relationships/hyperlink" Target="https://docs.google.com/spreadsheets/d/1P0ilCSyqA3dOMst3KNMcZ42cxp71XvTpe3tKMhYksN8/edit" TargetMode="External"/><Relationship Id="rId580" Type="http://schemas.openxmlformats.org/officeDocument/2006/relationships/hyperlink" Target="https://docs.google.com/spreadsheets/d/1P0ilCSyqA3dOMst3KNMcZ42cxp71XvTpe3tKMhYksN8/edit" TargetMode="External"/><Relationship Id="rId103" Type="http://schemas.openxmlformats.org/officeDocument/2006/relationships/hyperlink" Target="https://docs.google.com/spreadsheets/d/1P0ilCSyqA3dOMst3KNMcZ42cxp71XvTpe3tKMhYksN8/edit" TargetMode="External"/><Relationship Id="rId224" Type="http://schemas.openxmlformats.org/officeDocument/2006/relationships/hyperlink" Target="https://docs.google.com/spreadsheets/d/1vCOoengzj4u-lf-Olvw85ysitfzOfclGKPXAtoEPy0A/edit" TargetMode="External"/><Relationship Id="rId345" Type="http://schemas.openxmlformats.org/officeDocument/2006/relationships/hyperlink" Target="https://docs.google.com/spreadsheets/d/1vCOoengzj4u-lf-Olvw85ysitfzOfclGKPXAtoEPy0A/edit" TargetMode="External"/><Relationship Id="rId466" Type="http://schemas.openxmlformats.org/officeDocument/2006/relationships/hyperlink" Target="https://docs.google.com/spreadsheets/d/1P0ilCSyqA3dOMst3KNMcZ42cxp71XvTpe3tKMhYksN8/edit" TargetMode="External"/><Relationship Id="rId587" Type="http://schemas.openxmlformats.org/officeDocument/2006/relationships/hyperlink" Target="https://docs.google.com/spreadsheets/d/1P0ilCSyqA3dOMst3KNMcZ42cxp71XvTpe3tKMhYksN8/edit" TargetMode="External"/><Relationship Id="rId102" Type="http://schemas.openxmlformats.org/officeDocument/2006/relationships/hyperlink" Target="https://docs.google.com/spreadsheets/d/1P0ilCSyqA3dOMst3KNMcZ42cxp71XvTpe3tKMhYksN8/edit" TargetMode="External"/><Relationship Id="rId223" Type="http://schemas.openxmlformats.org/officeDocument/2006/relationships/hyperlink" Target="https://docs.google.com/spreadsheets/d/1vCOoengzj4u-lf-Olvw85ysitfzOfclGKPXAtoEPy0A/edit" TargetMode="External"/><Relationship Id="rId344" Type="http://schemas.openxmlformats.org/officeDocument/2006/relationships/hyperlink" Target="https://docs.google.com/spreadsheets/d/1vCOoengzj4u-lf-Olvw85ysitfzOfclGKPXAtoEPy0A/edit" TargetMode="External"/><Relationship Id="rId465" Type="http://schemas.openxmlformats.org/officeDocument/2006/relationships/hyperlink" Target="https://docs.google.com/spreadsheets/d/1P0ilCSyqA3dOMst3KNMcZ42cxp71XvTpe3tKMhYksN8/edit" TargetMode="External"/><Relationship Id="rId586" Type="http://schemas.openxmlformats.org/officeDocument/2006/relationships/hyperlink" Target="https://docs.google.com/spreadsheets/d/1P0ilCSyqA3dOMst3KNMcZ42cxp71XvTpe3tKMhYksN8/edit" TargetMode="External"/><Relationship Id="rId101" Type="http://schemas.openxmlformats.org/officeDocument/2006/relationships/hyperlink" Target="https://docs.google.com/spreadsheets/d/1P0ilCSyqA3dOMst3KNMcZ42cxp71XvTpe3tKMhYksN8/edit" TargetMode="External"/><Relationship Id="rId222" Type="http://schemas.openxmlformats.org/officeDocument/2006/relationships/hyperlink" Target="https://docs.google.com/spreadsheets/d/1vCOoengzj4u-lf-Olvw85ysitfzOfclGKPXAtoEPy0A/edit" TargetMode="External"/><Relationship Id="rId343" Type="http://schemas.openxmlformats.org/officeDocument/2006/relationships/hyperlink" Target="https://docs.google.com/spreadsheets/d/1vCOoengzj4u-lf-Olvw85ysitfzOfclGKPXAtoEPy0A/edit" TargetMode="External"/><Relationship Id="rId464" Type="http://schemas.openxmlformats.org/officeDocument/2006/relationships/hyperlink" Target="https://docs.google.com/spreadsheets/d/1P0ilCSyqA3dOMst3KNMcZ42cxp71XvTpe3tKMhYksN8/edit" TargetMode="External"/><Relationship Id="rId585" Type="http://schemas.openxmlformats.org/officeDocument/2006/relationships/hyperlink" Target="https://docs.google.com/spreadsheets/d/1P0ilCSyqA3dOMst3KNMcZ42cxp71XvTpe3tKMhYksN8/edit" TargetMode="External"/><Relationship Id="rId100" Type="http://schemas.openxmlformats.org/officeDocument/2006/relationships/hyperlink" Target="https://docs.google.com/spreadsheets/d/1P0ilCSyqA3dOMst3KNMcZ42cxp71XvTpe3tKMhYksN8/edit" TargetMode="External"/><Relationship Id="rId221" Type="http://schemas.openxmlformats.org/officeDocument/2006/relationships/hyperlink" Target="https://docs.google.com/spreadsheets/d/1vCOoengzj4u-lf-Olvw85ysitfzOfclGKPXAtoEPy0A/edit" TargetMode="External"/><Relationship Id="rId342" Type="http://schemas.openxmlformats.org/officeDocument/2006/relationships/hyperlink" Target="https://docs.google.com/spreadsheets/d/1vCOoengzj4u-lf-Olvw85ysitfzOfclGKPXAtoEPy0A/edit" TargetMode="External"/><Relationship Id="rId463" Type="http://schemas.openxmlformats.org/officeDocument/2006/relationships/hyperlink" Target="https://docs.google.com/spreadsheets/d/1P0ilCSyqA3dOMst3KNMcZ42cxp71XvTpe3tKMhYksN8/edit" TargetMode="External"/><Relationship Id="rId584" Type="http://schemas.openxmlformats.org/officeDocument/2006/relationships/hyperlink" Target="https://docs.google.com/spreadsheets/d/1P0ilCSyqA3dOMst3KNMcZ42cxp71XvTpe3tKMhYksN8/edit" TargetMode="External"/><Relationship Id="rId217" Type="http://schemas.openxmlformats.org/officeDocument/2006/relationships/hyperlink" Target="https://docs.google.com/spreadsheets/d/1vCOoengzj4u-lf-Olvw85ysitfzOfclGKPXAtoEPy0A/edit" TargetMode="External"/><Relationship Id="rId338" Type="http://schemas.openxmlformats.org/officeDocument/2006/relationships/hyperlink" Target="https://docs.google.com/spreadsheets/d/1vCOoengzj4u-lf-Olvw85ysitfzOfclGKPXAtoEPy0A/edit" TargetMode="External"/><Relationship Id="rId459" Type="http://schemas.openxmlformats.org/officeDocument/2006/relationships/hyperlink" Target="https://docs.google.com/spreadsheets/d/1P0ilCSyqA3dOMst3KNMcZ42cxp71XvTpe3tKMhYksN8/edit" TargetMode="External"/><Relationship Id="rId216" Type="http://schemas.openxmlformats.org/officeDocument/2006/relationships/hyperlink" Target="https://docs.google.com/spreadsheets/d/1vCOoengzj4u-lf-Olvw85ysitfzOfclGKPXAtoEPy0A/edit" TargetMode="External"/><Relationship Id="rId337" Type="http://schemas.openxmlformats.org/officeDocument/2006/relationships/hyperlink" Target="https://docs.google.com/spreadsheets/d/1vCOoengzj4u-lf-Olvw85ysitfzOfclGKPXAtoEPy0A/edit" TargetMode="External"/><Relationship Id="rId458" Type="http://schemas.openxmlformats.org/officeDocument/2006/relationships/hyperlink" Target="https://docs.google.com/spreadsheets/d/1P0ilCSyqA3dOMst3KNMcZ42cxp71XvTpe3tKMhYksN8/edit" TargetMode="External"/><Relationship Id="rId579" Type="http://schemas.openxmlformats.org/officeDocument/2006/relationships/hyperlink" Target="https://docs.google.com/spreadsheets/d/1P0ilCSyqA3dOMst3KNMcZ42cxp71XvTpe3tKMhYksN8/edit" TargetMode="External"/><Relationship Id="rId215" Type="http://schemas.openxmlformats.org/officeDocument/2006/relationships/hyperlink" Target="https://docs.google.com/spreadsheets/d/1vCOoengzj4u-lf-Olvw85ysitfzOfclGKPXAtoEPy0A/edit" TargetMode="External"/><Relationship Id="rId336" Type="http://schemas.openxmlformats.org/officeDocument/2006/relationships/hyperlink" Target="https://docs.google.com/spreadsheets/d/1vCOoengzj4u-lf-Olvw85ysitfzOfclGKPXAtoEPy0A/edit" TargetMode="External"/><Relationship Id="rId457" Type="http://schemas.openxmlformats.org/officeDocument/2006/relationships/hyperlink" Target="https://docs.google.com/spreadsheets/d/1P0ilCSyqA3dOMst3KNMcZ42cxp71XvTpe3tKMhYksN8/edit" TargetMode="External"/><Relationship Id="rId578" Type="http://schemas.openxmlformats.org/officeDocument/2006/relationships/hyperlink" Target="https://docs.google.com/spreadsheets/d/1P0ilCSyqA3dOMst3KNMcZ42cxp71XvTpe3tKMhYksN8/edit" TargetMode="External"/><Relationship Id="rId699" Type="http://schemas.openxmlformats.org/officeDocument/2006/relationships/hyperlink" Target="https://docs.google.com/spreadsheets/d/1d_dnULuhyFhAz_vzHPOr4a1463PBw6xMA3MZaClxQ5Q/edit" TargetMode="External"/><Relationship Id="rId214" Type="http://schemas.openxmlformats.org/officeDocument/2006/relationships/hyperlink" Target="https://docs.google.com/spreadsheets/d/1vCOoengzj4u-lf-Olvw85ysitfzOfclGKPXAtoEPy0A/edit" TargetMode="External"/><Relationship Id="rId335" Type="http://schemas.openxmlformats.org/officeDocument/2006/relationships/hyperlink" Target="https://docs.google.com/spreadsheets/d/1vCOoengzj4u-lf-Olvw85ysitfzOfclGKPXAtoEPy0A/edit" TargetMode="External"/><Relationship Id="rId456" Type="http://schemas.openxmlformats.org/officeDocument/2006/relationships/hyperlink" Target="https://docs.google.com/spreadsheets/d/1P0ilCSyqA3dOMst3KNMcZ42cxp71XvTpe3tKMhYksN8/edit" TargetMode="External"/><Relationship Id="rId577" Type="http://schemas.openxmlformats.org/officeDocument/2006/relationships/hyperlink" Target="https://docs.google.com/spreadsheets/d/1P0ilCSyqA3dOMst3KNMcZ42cxp71XvTpe3tKMhYksN8/edit" TargetMode="External"/><Relationship Id="rId698" Type="http://schemas.openxmlformats.org/officeDocument/2006/relationships/hyperlink" Target="https://docs.google.com/spreadsheets/d/1d_dnULuhyFhAz_vzHPOr4a1463PBw6xMA3MZaClxQ5Q/edit" TargetMode="External"/><Relationship Id="rId219" Type="http://schemas.openxmlformats.org/officeDocument/2006/relationships/hyperlink" Target="https://docs.google.com/spreadsheets/d/1vCOoengzj4u-lf-Olvw85ysitfzOfclGKPXAtoEPy0A/edit" TargetMode="External"/><Relationship Id="rId218" Type="http://schemas.openxmlformats.org/officeDocument/2006/relationships/hyperlink" Target="https://docs.google.com/spreadsheets/d/1vCOoengzj4u-lf-Olvw85ysitfzOfclGKPXAtoEPy0A/edit" TargetMode="External"/><Relationship Id="rId339" Type="http://schemas.openxmlformats.org/officeDocument/2006/relationships/hyperlink" Target="https://docs.google.com/spreadsheets/d/1vCOoengzj4u-lf-Olvw85ysitfzOfclGKPXAtoEPy0A/edit" TargetMode="External"/><Relationship Id="rId330" Type="http://schemas.openxmlformats.org/officeDocument/2006/relationships/hyperlink" Target="https://docs.google.com/spreadsheets/d/1vCOoengzj4u-lf-Olvw85ysitfzOfclGKPXAtoEPy0A/edit" TargetMode="External"/><Relationship Id="rId451" Type="http://schemas.openxmlformats.org/officeDocument/2006/relationships/hyperlink" Target="https://docs.google.com/spreadsheets/d/1P0ilCSyqA3dOMst3KNMcZ42cxp71XvTpe3tKMhYksN8/edit" TargetMode="External"/><Relationship Id="rId572" Type="http://schemas.openxmlformats.org/officeDocument/2006/relationships/hyperlink" Target="https://docs.google.com/spreadsheets/d/1P0ilCSyqA3dOMst3KNMcZ42cxp71XvTpe3tKMhYksN8/edit" TargetMode="External"/><Relationship Id="rId693" Type="http://schemas.openxmlformats.org/officeDocument/2006/relationships/hyperlink" Target="https://docs.google.com/spreadsheets/d/1d_dnULuhyFhAz_vzHPOr4a1463PBw6xMA3MZaClxQ5Q/edit" TargetMode="External"/><Relationship Id="rId450" Type="http://schemas.openxmlformats.org/officeDocument/2006/relationships/hyperlink" Target="https://docs.google.com/spreadsheets/d/1P0ilCSyqA3dOMst3KNMcZ42cxp71XvTpe3tKMhYksN8/edit" TargetMode="External"/><Relationship Id="rId571" Type="http://schemas.openxmlformats.org/officeDocument/2006/relationships/hyperlink" Target="https://docs.google.com/spreadsheets/d/1P0ilCSyqA3dOMst3KNMcZ42cxp71XvTpe3tKMhYksN8/edit" TargetMode="External"/><Relationship Id="rId692" Type="http://schemas.openxmlformats.org/officeDocument/2006/relationships/hyperlink" Target="https://docs.google.com/spreadsheets/d/1d_dnULuhyFhAz_vzHPOr4a1463PBw6xMA3MZaClxQ5Q/edit" TargetMode="External"/><Relationship Id="rId570" Type="http://schemas.openxmlformats.org/officeDocument/2006/relationships/hyperlink" Target="https://docs.google.com/spreadsheets/d/1P0ilCSyqA3dOMst3KNMcZ42cxp71XvTpe3tKMhYksN8/edit" TargetMode="External"/><Relationship Id="rId691" Type="http://schemas.openxmlformats.org/officeDocument/2006/relationships/hyperlink" Target="https://docs.google.com/spreadsheets/d/1d_dnULuhyFhAz_vzHPOr4a1463PBw6xMA3MZaClxQ5Q/edit" TargetMode="External"/><Relationship Id="rId690" Type="http://schemas.openxmlformats.org/officeDocument/2006/relationships/hyperlink" Target="https://docs.google.com/spreadsheets/d/1d_dnULuhyFhAz_vzHPOr4a1463PBw6xMA3MZaClxQ5Q/edit" TargetMode="External"/><Relationship Id="rId213" Type="http://schemas.openxmlformats.org/officeDocument/2006/relationships/hyperlink" Target="https://docs.google.com/spreadsheets/d/1vCOoengzj4u-lf-Olvw85ysitfzOfclGKPXAtoEPy0A/edit" TargetMode="External"/><Relationship Id="rId334" Type="http://schemas.openxmlformats.org/officeDocument/2006/relationships/hyperlink" Target="https://docs.google.com/spreadsheets/d/1vCOoengzj4u-lf-Olvw85ysitfzOfclGKPXAtoEPy0A/edit" TargetMode="External"/><Relationship Id="rId455" Type="http://schemas.openxmlformats.org/officeDocument/2006/relationships/hyperlink" Target="https://docs.google.com/spreadsheets/d/1P0ilCSyqA3dOMst3KNMcZ42cxp71XvTpe3tKMhYksN8/edit" TargetMode="External"/><Relationship Id="rId576" Type="http://schemas.openxmlformats.org/officeDocument/2006/relationships/hyperlink" Target="https://docs.google.com/spreadsheets/d/1P0ilCSyqA3dOMst3KNMcZ42cxp71XvTpe3tKMhYksN8/edit" TargetMode="External"/><Relationship Id="rId697" Type="http://schemas.openxmlformats.org/officeDocument/2006/relationships/hyperlink" Target="https://docs.google.com/spreadsheets/d/1d_dnULuhyFhAz_vzHPOr4a1463PBw6xMA3MZaClxQ5Q/edit" TargetMode="External"/><Relationship Id="rId212" Type="http://schemas.openxmlformats.org/officeDocument/2006/relationships/hyperlink" Target="https://docs.google.com/spreadsheets/d/1vCOoengzj4u-lf-Olvw85ysitfzOfclGKPXAtoEPy0A/edit" TargetMode="External"/><Relationship Id="rId333" Type="http://schemas.openxmlformats.org/officeDocument/2006/relationships/hyperlink" Target="https://docs.google.com/spreadsheets/d/1vCOoengzj4u-lf-Olvw85ysitfzOfclGKPXAtoEPy0A/edit" TargetMode="External"/><Relationship Id="rId454" Type="http://schemas.openxmlformats.org/officeDocument/2006/relationships/hyperlink" Target="https://docs.google.com/spreadsheets/d/1P0ilCSyqA3dOMst3KNMcZ42cxp71XvTpe3tKMhYksN8/edit" TargetMode="External"/><Relationship Id="rId575" Type="http://schemas.openxmlformats.org/officeDocument/2006/relationships/hyperlink" Target="https://docs.google.com/spreadsheets/d/1P0ilCSyqA3dOMst3KNMcZ42cxp71XvTpe3tKMhYksN8/edit" TargetMode="External"/><Relationship Id="rId696" Type="http://schemas.openxmlformats.org/officeDocument/2006/relationships/hyperlink" Target="https://docs.google.com/spreadsheets/d/1d_dnULuhyFhAz_vzHPOr4a1463PBw6xMA3MZaClxQ5Q/edit" TargetMode="External"/><Relationship Id="rId211" Type="http://schemas.openxmlformats.org/officeDocument/2006/relationships/hyperlink" Target="https://docs.google.com/spreadsheets/d/1vCOoengzj4u-lf-Olvw85ysitfzOfclGKPXAtoEPy0A/edit" TargetMode="External"/><Relationship Id="rId332" Type="http://schemas.openxmlformats.org/officeDocument/2006/relationships/hyperlink" Target="https://docs.google.com/spreadsheets/d/1vCOoengzj4u-lf-Olvw85ysitfzOfclGKPXAtoEPy0A/edit" TargetMode="External"/><Relationship Id="rId453" Type="http://schemas.openxmlformats.org/officeDocument/2006/relationships/hyperlink" Target="https://docs.google.com/spreadsheets/d/1P0ilCSyqA3dOMst3KNMcZ42cxp71XvTpe3tKMhYksN8/edit" TargetMode="External"/><Relationship Id="rId574" Type="http://schemas.openxmlformats.org/officeDocument/2006/relationships/hyperlink" Target="https://docs.google.com/spreadsheets/d/1P0ilCSyqA3dOMst3KNMcZ42cxp71XvTpe3tKMhYksN8/edit" TargetMode="External"/><Relationship Id="rId695" Type="http://schemas.openxmlformats.org/officeDocument/2006/relationships/hyperlink" Target="https://docs.google.com/spreadsheets/d/1d_dnULuhyFhAz_vzHPOr4a1463PBw6xMA3MZaClxQ5Q/edit" TargetMode="External"/><Relationship Id="rId210" Type="http://schemas.openxmlformats.org/officeDocument/2006/relationships/hyperlink" Target="https://docs.google.com/spreadsheets/d/1vCOoengzj4u-lf-Olvw85ysitfzOfclGKPXAtoEPy0A/edit" TargetMode="External"/><Relationship Id="rId331" Type="http://schemas.openxmlformats.org/officeDocument/2006/relationships/hyperlink" Target="https://docs.google.com/spreadsheets/d/1vCOoengzj4u-lf-Olvw85ysitfzOfclGKPXAtoEPy0A/edit" TargetMode="External"/><Relationship Id="rId452" Type="http://schemas.openxmlformats.org/officeDocument/2006/relationships/hyperlink" Target="https://docs.google.com/spreadsheets/d/1P0ilCSyqA3dOMst3KNMcZ42cxp71XvTpe3tKMhYksN8/edit" TargetMode="External"/><Relationship Id="rId573" Type="http://schemas.openxmlformats.org/officeDocument/2006/relationships/hyperlink" Target="https://docs.google.com/spreadsheets/d/1P0ilCSyqA3dOMst3KNMcZ42cxp71XvTpe3tKMhYksN8/edit" TargetMode="External"/><Relationship Id="rId694" Type="http://schemas.openxmlformats.org/officeDocument/2006/relationships/hyperlink" Target="https://docs.google.com/spreadsheets/d/1d_dnULuhyFhAz_vzHPOr4a1463PBw6xMA3MZaClxQ5Q/edit" TargetMode="External"/><Relationship Id="rId370" Type="http://schemas.openxmlformats.org/officeDocument/2006/relationships/hyperlink" Target="https://docs.google.com/spreadsheets/d/1P0ilCSyqA3dOMst3KNMcZ42cxp71XvTpe3tKMhYksN8/edit" TargetMode="External"/><Relationship Id="rId491" Type="http://schemas.openxmlformats.org/officeDocument/2006/relationships/hyperlink" Target="https://docs.google.com/spreadsheets/d/1P0ilCSyqA3dOMst3KNMcZ42cxp71XvTpe3tKMhYksN8/edit" TargetMode="External"/><Relationship Id="rId490" Type="http://schemas.openxmlformats.org/officeDocument/2006/relationships/hyperlink" Target="https://docs.google.com/spreadsheets/d/1P0ilCSyqA3dOMst3KNMcZ42cxp71XvTpe3tKMhYksN8/edit" TargetMode="External"/><Relationship Id="rId129" Type="http://schemas.openxmlformats.org/officeDocument/2006/relationships/hyperlink" Target="https://docs.google.com/spreadsheets/d/1vCOoengzj4u-lf-Olvw85ysitfzOfclGKPXAtoEPy0A/edit" TargetMode="External"/><Relationship Id="rId128" Type="http://schemas.openxmlformats.org/officeDocument/2006/relationships/hyperlink" Target="https://docs.google.com/spreadsheets/d/1vCOoengzj4u-lf-Olvw85ysitfzOfclGKPXAtoEPy0A/edit" TargetMode="External"/><Relationship Id="rId249" Type="http://schemas.openxmlformats.org/officeDocument/2006/relationships/hyperlink" Target="https://docs.google.com/spreadsheets/d/1vCOoengzj4u-lf-Olvw85ysitfzOfclGKPXAtoEPy0A/edit" TargetMode="External"/><Relationship Id="rId127" Type="http://schemas.openxmlformats.org/officeDocument/2006/relationships/hyperlink" Target="https://docs.google.com/spreadsheets/d/1vCOoengzj4u-lf-Olvw85ysitfzOfclGKPXAtoEPy0A/edit" TargetMode="External"/><Relationship Id="rId248" Type="http://schemas.openxmlformats.org/officeDocument/2006/relationships/hyperlink" Target="https://docs.google.com/spreadsheets/d/1vCOoengzj4u-lf-Olvw85ysitfzOfclGKPXAtoEPy0A/edit" TargetMode="External"/><Relationship Id="rId369" Type="http://schemas.openxmlformats.org/officeDocument/2006/relationships/hyperlink" Target="https://docs.google.com/spreadsheets/d/1P0ilCSyqA3dOMst3KNMcZ42cxp71XvTpe3tKMhYksN8/edit" TargetMode="External"/><Relationship Id="rId126" Type="http://schemas.openxmlformats.org/officeDocument/2006/relationships/hyperlink" Target="https://docs.google.com/spreadsheets/d/1vCOoengzj4u-lf-Olvw85ysitfzOfclGKPXAtoEPy0A/edit" TargetMode="External"/><Relationship Id="rId247" Type="http://schemas.openxmlformats.org/officeDocument/2006/relationships/hyperlink" Target="https://docs.google.com/spreadsheets/d/1vCOoengzj4u-lf-Olvw85ysitfzOfclGKPXAtoEPy0A/edit" TargetMode="External"/><Relationship Id="rId368" Type="http://schemas.openxmlformats.org/officeDocument/2006/relationships/hyperlink" Target="https://docs.google.com/spreadsheets/d/1P0ilCSyqA3dOMst3KNMcZ42cxp71XvTpe3tKMhYksN8/edit" TargetMode="External"/><Relationship Id="rId489" Type="http://schemas.openxmlformats.org/officeDocument/2006/relationships/hyperlink" Target="https://docs.google.com/spreadsheets/d/1P0ilCSyqA3dOMst3KNMcZ42cxp71XvTpe3tKMhYksN8/edit" TargetMode="External"/><Relationship Id="rId121" Type="http://schemas.openxmlformats.org/officeDocument/2006/relationships/hyperlink" Target="https://docs.google.com/spreadsheets/d/1vCOoengzj4u-lf-Olvw85ysitfzOfclGKPXAtoEPy0A/edit" TargetMode="External"/><Relationship Id="rId242" Type="http://schemas.openxmlformats.org/officeDocument/2006/relationships/hyperlink" Target="https://docs.google.com/spreadsheets/d/1vCOoengzj4u-lf-Olvw85ysitfzOfclGKPXAtoEPy0A/edit" TargetMode="External"/><Relationship Id="rId363" Type="http://schemas.openxmlformats.org/officeDocument/2006/relationships/hyperlink" Target="https://docs.google.com/spreadsheets/d/1P0ilCSyqA3dOMst3KNMcZ42cxp71XvTpe3tKMhYksN8/edit" TargetMode="External"/><Relationship Id="rId484" Type="http://schemas.openxmlformats.org/officeDocument/2006/relationships/hyperlink" Target="https://docs.google.com/spreadsheets/d/1P0ilCSyqA3dOMst3KNMcZ42cxp71XvTpe3tKMhYksN8/edit" TargetMode="External"/><Relationship Id="rId120" Type="http://schemas.openxmlformats.org/officeDocument/2006/relationships/hyperlink" Target="https://docs.google.com/spreadsheets/d/1vCOoengzj4u-lf-Olvw85ysitfzOfclGKPXAtoEPy0A/edit" TargetMode="External"/><Relationship Id="rId241" Type="http://schemas.openxmlformats.org/officeDocument/2006/relationships/hyperlink" Target="https://docs.google.com/spreadsheets/d/1vCOoengzj4u-lf-Olvw85ysitfzOfclGKPXAtoEPy0A/edit" TargetMode="External"/><Relationship Id="rId362" Type="http://schemas.openxmlformats.org/officeDocument/2006/relationships/hyperlink" Target="https://docs.google.com/spreadsheets/d/1P0ilCSyqA3dOMst3KNMcZ42cxp71XvTpe3tKMhYksN8/edit" TargetMode="External"/><Relationship Id="rId483" Type="http://schemas.openxmlformats.org/officeDocument/2006/relationships/hyperlink" Target="https://docs.google.com/spreadsheets/d/1P0ilCSyqA3dOMst3KNMcZ42cxp71XvTpe3tKMhYksN8/edit" TargetMode="External"/><Relationship Id="rId240" Type="http://schemas.openxmlformats.org/officeDocument/2006/relationships/hyperlink" Target="https://docs.google.com/spreadsheets/d/1vCOoengzj4u-lf-Olvw85ysitfzOfclGKPXAtoEPy0A/edit" TargetMode="External"/><Relationship Id="rId361" Type="http://schemas.openxmlformats.org/officeDocument/2006/relationships/hyperlink" Target="https://docs.google.com/spreadsheets/d/1P0ilCSyqA3dOMst3KNMcZ42cxp71XvTpe3tKMhYksN8/edit" TargetMode="External"/><Relationship Id="rId482" Type="http://schemas.openxmlformats.org/officeDocument/2006/relationships/hyperlink" Target="https://docs.google.com/spreadsheets/d/1P0ilCSyqA3dOMst3KNMcZ42cxp71XvTpe3tKMhYksN8/edit" TargetMode="External"/><Relationship Id="rId360" Type="http://schemas.openxmlformats.org/officeDocument/2006/relationships/hyperlink" Target="https://docs.google.com/spreadsheets/d/1P0ilCSyqA3dOMst3KNMcZ42cxp71XvTpe3tKMhYksN8/edit" TargetMode="External"/><Relationship Id="rId481" Type="http://schemas.openxmlformats.org/officeDocument/2006/relationships/hyperlink" Target="https://docs.google.com/spreadsheets/d/1P0ilCSyqA3dOMst3KNMcZ42cxp71XvTpe3tKMhYksN8/edit" TargetMode="External"/><Relationship Id="rId125" Type="http://schemas.openxmlformats.org/officeDocument/2006/relationships/hyperlink" Target="https://docs.google.com/spreadsheets/d/1vCOoengzj4u-lf-Olvw85ysitfzOfclGKPXAtoEPy0A/edit" TargetMode="External"/><Relationship Id="rId246" Type="http://schemas.openxmlformats.org/officeDocument/2006/relationships/hyperlink" Target="https://docs.google.com/spreadsheets/d/1vCOoengzj4u-lf-Olvw85ysitfzOfclGKPXAtoEPy0A/edit" TargetMode="External"/><Relationship Id="rId367" Type="http://schemas.openxmlformats.org/officeDocument/2006/relationships/hyperlink" Target="https://docs.google.com/spreadsheets/d/1P0ilCSyqA3dOMst3KNMcZ42cxp71XvTpe3tKMhYksN8/edit" TargetMode="External"/><Relationship Id="rId488" Type="http://schemas.openxmlformats.org/officeDocument/2006/relationships/hyperlink" Target="https://docs.google.com/spreadsheets/d/1P0ilCSyqA3dOMst3KNMcZ42cxp71XvTpe3tKMhYksN8/edit" TargetMode="External"/><Relationship Id="rId124" Type="http://schemas.openxmlformats.org/officeDocument/2006/relationships/hyperlink" Target="https://docs.google.com/spreadsheets/d/1vCOoengzj4u-lf-Olvw85ysitfzOfclGKPXAtoEPy0A/edit" TargetMode="External"/><Relationship Id="rId245" Type="http://schemas.openxmlformats.org/officeDocument/2006/relationships/hyperlink" Target="https://docs.google.com/spreadsheets/d/1vCOoengzj4u-lf-Olvw85ysitfzOfclGKPXAtoEPy0A/edit" TargetMode="External"/><Relationship Id="rId366" Type="http://schemas.openxmlformats.org/officeDocument/2006/relationships/hyperlink" Target="https://docs.google.com/spreadsheets/d/1P0ilCSyqA3dOMst3KNMcZ42cxp71XvTpe3tKMhYksN8/edit" TargetMode="External"/><Relationship Id="rId487" Type="http://schemas.openxmlformats.org/officeDocument/2006/relationships/hyperlink" Target="https://docs.google.com/spreadsheets/d/1P0ilCSyqA3dOMst3KNMcZ42cxp71XvTpe3tKMhYksN8/edit" TargetMode="External"/><Relationship Id="rId123" Type="http://schemas.openxmlformats.org/officeDocument/2006/relationships/hyperlink" Target="https://docs.google.com/spreadsheets/d/1vCOoengzj4u-lf-Olvw85ysitfzOfclGKPXAtoEPy0A/edit" TargetMode="External"/><Relationship Id="rId244" Type="http://schemas.openxmlformats.org/officeDocument/2006/relationships/hyperlink" Target="https://docs.google.com/spreadsheets/d/1vCOoengzj4u-lf-Olvw85ysitfzOfclGKPXAtoEPy0A/edit" TargetMode="External"/><Relationship Id="rId365" Type="http://schemas.openxmlformats.org/officeDocument/2006/relationships/hyperlink" Target="https://docs.google.com/spreadsheets/d/1P0ilCSyqA3dOMst3KNMcZ42cxp71XvTpe3tKMhYksN8/edit" TargetMode="External"/><Relationship Id="rId486" Type="http://schemas.openxmlformats.org/officeDocument/2006/relationships/hyperlink" Target="https://docs.google.com/spreadsheets/d/1P0ilCSyqA3dOMst3KNMcZ42cxp71XvTpe3tKMhYksN8/edit" TargetMode="External"/><Relationship Id="rId122" Type="http://schemas.openxmlformats.org/officeDocument/2006/relationships/hyperlink" Target="https://docs.google.com/spreadsheets/d/1vCOoengzj4u-lf-Olvw85ysitfzOfclGKPXAtoEPy0A/edit" TargetMode="External"/><Relationship Id="rId243" Type="http://schemas.openxmlformats.org/officeDocument/2006/relationships/hyperlink" Target="https://docs.google.com/spreadsheets/d/1vCOoengzj4u-lf-Olvw85ysitfzOfclGKPXAtoEPy0A/edit" TargetMode="External"/><Relationship Id="rId364" Type="http://schemas.openxmlformats.org/officeDocument/2006/relationships/hyperlink" Target="https://docs.google.com/spreadsheets/d/1P0ilCSyqA3dOMst3KNMcZ42cxp71XvTpe3tKMhYksN8/edit" TargetMode="External"/><Relationship Id="rId485" Type="http://schemas.openxmlformats.org/officeDocument/2006/relationships/hyperlink" Target="https://docs.google.com/spreadsheets/d/1P0ilCSyqA3dOMst3KNMcZ42cxp71XvTpe3tKMhYksN8/edit" TargetMode="External"/><Relationship Id="rId95" Type="http://schemas.openxmlformats.org/officeDocument/2006/relationships/hyperlink" Target="https://docs.google.com/spreadsheets/d/1P0ilCSyqA3dOMst3KNMcZ42cxp71XvTpe3tKMhYksN8/edit" TargetMode="External"/><Relationship Id="rId94" Type="http://schemas.openxmlformats.org/officeDocument/2006/relationships/hyperlink" Target="https://docs.google.com/spreadsheets/d/1P0ilCSyqA3dOMst3KNMcZ42cxp71XvTpe3tKMhYksN8/edit" TargetMode="External"/><Relationship Id="rId97" Type="http://schemas.openxmlformats.org/officeDocument/2006/relationships/hyperlink" Target="https://docs.google.com/spreadsheets/d/1P0ilCSyqA3dOMst3KNMcZ42cxp71XvTpe3tKMhYksN8/edit" TargetMode="External"/><Relationship Id="rId96" Type="http://schemas.openxmlformats.org/officeDocument/2006/relationships/hyperlink" Target="https://docs.google.com/spreadsheets/d/1P0ilCSyqA3dOMst3KNMcZ42cxp71XvTpe3tKMhYksN8/edit" TargetMode="External"/><Relationship Id="rId99" Type="http://schemas.openxmlformats.org/officeDocument/2006/relationships/hyperlink" Target="https://docs.google.com/spreadsheets/d/1P0ilCSyqA3dOMst3KNMcZ42cxp71XvTpe3tKMhYksN8/edit" TargetMode="External"/><Relationship Id="rId480" Type="http://schemas.openxmlformats.org/officeDocument/2006/relationships/hyperlink" Target="https://docs.google.com/spreadsheets/d/1P0ilCSyqA3dOMst3KNMcZ42cxp71XvTpe3tKMhYksN8/edit" TargetMode="External"/><Relationship Id="rId98" Type="http://schemas.openxmlformats.org/officeDocument/2006/relationships/hyperlink" Target="https://docs.google.com/spreadsheets/d/1P0ilCSyqA3dOMst3KNMcZ42cxp71XvTpe3tKMhYksN8/edit" TargetMode="External"/><Relationship Id="rId91" Type="http://schemas.openxmlformats.org/officeDocument/2006/relationships/hyperlink" Target="https://docs.google.com/spreadsheets/d/1P0ilCSyqA3dOMst3KNMcZ42cxp71XvTpe3tKMhYksN8/edit" TargetMode="External"/><Relationship Id="rId90" Type="http://schemas.openxmlformats.org/officeDocument/2006/relationships/hyperlink" Target="https://docs.google.com/spreadsheets/d/1P0ilCSyqA3dOMst3KNMcZ42cxp71XvTpe3tKMhYksN8/edit" TargetMode="External"/><Relationship Id="rId93" Type="http://schemas.openxmlformats.org/officeDocument/2006/relationships/hyperlink" Target="https://docs.google.com/spreadsheets/d/1P0ilCSyqA3dOMst3KNMcZ42cxp71XvTpe3tKMhYksN8/edit" TargetMode="External"/><Relationship Id="rId92" Type="http://schemas.openxmlformats.org/officeDocument/2006/relationships/hyperlink" Target="https://docs.google.com/spreadsheets/d/1P0ilCSyqA3dOMst3KNMcZ42cxp71XvTpe3tKMhYksN8/edit" TargetMode="External"/><Relationship Id="rId118" Type="http://schemas.openxmlformats.org/officeDocument/2006/relationships/hyperlink" Target="https://docs.google.com/spreadsheets/d/1vCOoengzj4u-lf-Olvw85ysitfzOfclGKPXAtoEPy0A/edit" TargetMode="External"/><Relationship Id="rId239" Type="http://schemas.openxmlformats.org/officeDocument/2006/relationships/hyperlink" Target="https://docs.google.com/spreadsheets/d/1vCOoengzj4u-lf-Olvw85ysitfzOfclGKPXAtoEPy0A/edit" TargetMode="External"/><Relationship Id="rId117" Type="http://schemas.openxmlformats.org/officeDocument/2006/relationships/hyperlink" Target="https://docs.google.com/spreadsheets/d/1vCOoengzj4u-lf-Olvw85ysitfzOfclGKPXAtoEPy0A/edit" TargetMode="External"/><Relationship Id="rId238" Type="http://schemas.openxmlformats.org/officeDocument/2006/relationships/hyperlink" Target="https://docs.google.com/spreadsheets/d/1vCOoengzj4u-lf-Olvw85ysitfzOfclGKPXAtoEPy0A/edit" TargetMode="External"/><Relationship Id="rId359" Type="http://schemas.openxmlformats.org/officeDocument/2006/relationships/hyperlink" Target="https://docs.google.com/spreadsheets/d/1P0ilCSyqA3dOMst3KNMcZ42cxp71XvTpe3tKMhYksN8/edit" TargetMode="External"/><Relationship Id="rId116" Type="http://schemas.openxmlformats.org/officeDocument/2006/relationships/hyperlink" Target="https://docs.google.com/spreadsheets/d/1vCOoengzj4u-lf-Olvw85ysitfzOfclGKPXAtoEPy0A/edit" TargetMode="External"/><Relationship Id="rId237" Type="http://schemas.openxmlformats.org/officeDocument/2006/relationships/hyperlink" Target="https://docs.google.com/spreadsheets/d/1vCOoengzj4u-lf-Olvw85ysitfzOfclGKPXAtoEPy0A/edit" TargetMode="External"/><Relationship Id="rId358" Type="http://schemas.openxmlformats.org/officeDocument/2006/relationships/hyperlink" Target="https://docs.google.com/spreadsheets/d/1P0ilCSyqA3dOMst3KNMcZ42cxp71XvTpe3tKMhYksN8/edit" TargetMode="External"/><Relationship Id="rId479" Type="http://schemas.openxmlformats.org/officeDocument/2006/relationships/hyperlink" Target="https://docs.google.com/spreadsheets/d/1P0ilCSyqA3dOMst3KNMcZ42cxp71XvTpe3tKMhYksN8/edit" TargetMode="External"/><Relationship Id="rId115" Type="http://schemas.openxmlformats.org/officeDocument/2006/relationships/hyperlink" Target="https://docs.google.com/spreadsheets/d/1vCOoengzj4u-lf-Olvw85ysitfzOfclGKPXAtoEPy0A/edit" TargetMode="External"/><Relationship Id="rId236" Type="http://schemas.openxmlformats.org/officeDocument/2006/relationships/hyperlink" Target="https://docs.google.com/spreadsheets/d/1vCOoengzj4u-lf-Olvw85ysitfzOfclGKPXAtoEPy0A/edit" TargetMode="External"/><Relationship Id="rId357" Type="http://schemas.openxmlformats.org/officeDocument/2006/relationships/hyperlink" Target="https://docs.google.com/spreadsheets/d/1P0ilCSyqA3dOMst3KNMcZ42cxp71XvTpe3tKMhYksN8/edit" TargetMode="External"/><Relationship Id="rId478" Type="http://schemas.openxmlformats.org/officeDocument/2006/relationships/hyperlink" Target="https://docs.google.com/spreadsheets/d/1P0ilCSyqA3dOMst3KNMcZ42cxp71XvTpe3tKMhYksN8/edit" TargetMode="External"/><Relationship Id="rId599" Type="http://schemas.openxmlformats.org/officeDocument/2006/relationships/hyperlink" Target="https://docs.google.com/spreadsheets/d/1P0ilCSyqA3dOMst3KNMcZ42cxp71XvTpe3tKMhYksN8/edit" TargetMode="External"/><Relationship Id="rId119" Type="http://schemas.openxmlformats.org/officeDocument/2006/relationships/hyperlink" Target="https://docs.google.com/spreadsheets/d/1vCOoengzj4u-lf-Olvw85ysitfzOfclGKPXAtoEPy0A/edit" TargetMode="External"/><Relationship Id="rId110" Type="http://schemas.openxmlformats.org/officeDocument/2006/relationships/hyperlink" Target="https://docs.google.com/spreadsheets/d/1vCOoengzj4u-lf-Olvw85ysitfzOfclGKPXAtoEPy0A/edit" TargetMode="External"/><Relationship Id="rId231" Type="http://schemas.openxmlformats.org/officeDocument/2006/relationships/hyperlink" Target="https://docs.google.com/spreadsheets/d/1vCOoengzj4u-lf-Olvw85ysitfzOfclGKPXAtoEPy0A/edit" TargetMode="External"/><Relationship Id="rId352" Type="http://schemas.openxmlformats.org/officeDocument/2006/relationships/hyperlink" Target="https://docs.google.com/spreadsheets/d/1P0ilCSyqA3dOMst3KNMcZ42cxp71XvTpe3tKMhYksN8/edit" TargetMode="External"/><Relationship Id="rId473" Type="http://schemas.openxmlformats.org/officeDocument/2006/relationships/hyperlink" Target="https://docs.google.com/spreadsheets/d/1P0ilCSyqA3dOMst3KNMcZ42cxp71XvTpe3tKMhYksN8/edit" TargetMode="External"/><Relationship Id="rId594" Type="http://schemas.openxmlformats.org/officeDocument/2006/relationships/hyperlink" Target="https://docs.google.com/spreadsheets/d/1P0ilCSyqA3dOMst3KNMcZ42cxp71XvTpe3tKMhYksN8/edit" TargetMode="External"/><Relationship Id="rId230" Type="http://schemas.openxmlformats.org/officeDocument/2006/relationships/hyperlink" Target="https://docs.google.com/spreadsheets/d/1vCOoengzj4u-lf-Olvw85ysitfzOfclGKPXAtoEPy0A/edit" TargetMode="External"/><Relationship Id="rId351" Type="http://schemas.openxmlformats.org/officeDocument/2006/relationships/hyperlink" Target="https://docs.google.com/spreadsheets/d/1P0ilCSyqA3dOMst3KNMcZ42cxp71XvTpe3tKMhYksN8/edit" TargetMode="External"/><Relationship Id="rId472" Type="http://schemas.openxmlformats.org/officeDocument/2006/relationships/hyperlink" Target="https://docs.google.com/spreadsheets/d/1P0ilCSyqA3dOMst3KNMcZ42cxp71XvTpe3tKMhYksN8/edit" TargetMode="External"/><Relationship Id="rId593" Type="http://schemas.openxmlformats.org/officeDocument/2006/relationships/hyperlink" Target="https://docs.google.com/spreadsheets/d/1P0ilCSyqA3dOMst3KNMcZ42cxp71XvTpe3tKMhYksN8/edit" TargetMode="External"/><Relationship Id="rId350" Type="http://schemas.openxmlformats.org/officeDocument/2006/relationships/hyperlink" Target="https://docs.google.com/spreadsheets/d/1P0ilCSyqA3dOMst3KNMcZ42cxp71XvTpe3tKMhYksN8/edit" TargetMode="External"/><Relationship Id="rId471" Type="http://schemas.openxmlformats.org/officeDocument/2006/relationships/hyperlink" Target="https://docs.google.com/spreadsheets/d/1P0ilCSyqA3dOMst3KNMcZ42cxp71XvTpe3tKMhYksN8/edit" TargetMode="External"/><Relationship Id="rId592" Type="http://schemas.openxmlformats.org/officeDocument/2006/relationships/hyperlink" Target="https://docs.google.com/spreadsheets/d/1P0ilCSyqA3dOMst3KNMcZ42cxp71XvTpe3tKMhYksN8/edit" TargetMode="External"/><Relationship Id="rId470" Type="http://schemas.openxmlformats.org/officeDocument/2006/relationships/hyperlink" Target="https://docs.google.com/spreadsheets/d/1P0ilCSyqA3dOMst3KNMcZ42cxp71XvTpe3tKMhYksN8/edit" TargetMode="External"/><Relationship Id="rId591" Type="http://schemas.openxmlformats.org/officeDocument/2006/relationships/hyperlink" Target="https://docs.google.com/spreadsheets/d/1P0ilCSyqA3dOMst3KNMcZ42cxp71XvTpe3tKMhYksN8/edit" TargetMode="External"/><Relationship Id="rId114" Type="http://schemas.openxmlformats.org/officeDocument/2006/relationships/hyperlink" Target="https://docs.google.com/spreadsheets/d/1vCOoengzj4u-lf-Olvw85ysitfzOfclGKPXAtoEPy0A/edit" TargetMode="External"/><Relationship Id="rId235" Type="http://schemas.openxmlformats.org/officeDocument/2006/relationships/hyperlink" Target="https://docs.google.com/spreadsheets/d/1vCOoengzj4u-lf-Olvw85ysitfzOfclGKPXAtoEPy0A/edit" TargetMode="External"/><Relationship Id="rId356" Type="http://schemas.openxmlformats.org/officeDocument/2006/relationships/hyperlink" Target="https://docs.google.com/spreadsheets/d/1P0ilCSyqA3dOMst3KNMcZ42cxp71XvTpe3tKMhYksN8/edit" TargetMode="External"/><Relationship Id="rId477" Type="http://schemas.openxmlformats.org/officeDocument/2006/relationships/hyperlink" Target="https://docs.google.com/spreadsheets/d/1P0ilCSyqA3dOMst3KNMcZ42cxp71XvTpe3tKMhYksN8/edit" TargetMode="External"/><Relationship Id="rId598" Type="http://schemas.openxmlformats.org/officeDocument/2006/relationships/hyperlink" Target="https://docs.google.com/spreadsheets/d/1P0ilCSyqA3dOMst3KNMcZ42cxp71XvTpe3tKMhYksN8/edit" TargetMode="External"/><Relationship Id="rId113" Type="http://schemas.openxmlformats.org/officeDocument/2006/relationships/hyperlink" Target="https://docs.google.com/spreadsheets/d/1vCOoengzj4u-lf-Olvw85ysitfzOfclGKPXAtoEPy0A/edit" TargetMode="External"/><Relationship Id="rId234" Type="http://schemas.openxmlformats.org/officeDocument/2006/relationships/hyperlink" Target="https://docs.google.com/spreadsheets/d/1vCOoengzj4u-lf-Olvw85ysitfzOfclGKPXAtoEPy0A/edit" TargetMode="External"/><Relationship Id="rId355" Type="http://schemas.openxmlformats.org/officeDocument/2006/relationships/hyperlink" Target="https://docs.google.com/spreadsheets/d/1P0ilCSyqA3dOMst3KNMcZ42cxp71XvTpe3tKMhYksN8/edit" TargetMode="External"/><Relationship Id="rId476" Type="http://schemas.openxmlformats.org/officeDocument/2006/relationships/hyperlink" Target="https://docs.google.com/spreadsheets/d/1P0ilCSyqA3dOMst3KNMcZ42cxp71XvTpe3tKMhYksN8/edit" TargetMode="External"/><Relationship Id="rId597" Type="http://schemas.openxmlformats.org/officeDocument/2006/relationships/hyperlink" Target="https://docs.google.com/spreadsheets/d/1P0ilCSyqA3dOMst3KNMcZ42cxp71XvTpe3tKMhYksN8/edit" TargetMode="External"/><Relationship Id="rId112" Type="http://schemas.openxmlformats.org/officeDocument/2006/relationships/hyperlink" Target="https://docs.google.com/spreadsheets/d/1vCOoengzj4u-lf-Olvw85ysitfzOfclGKPXAtoEPy0A/edit" TargetMode="External"/><Relationship Id="rId233" Type="http://schemas.openxmlformats.org/officeDocument/2006/relationships/hyperlink" Target="https://docs.google.com/spreadsheets/d/1vCOoengzj4u-lf-Olvw85ysitfzOfclGKPXAtoEPy0A/edit" TargetMode="External"/><Relationship Id="rId354" Type="http://schemas.openxmlformats.org/officeDocument/2006/relationships/hyperlink" Target="https://docs.google.com/spreadsheets/d/1P0ilCSyqA3dOMst3KNMcZ42cxp71XvTpe3tKMhYksN8/edit" TargetMode="External"/><Relationship Id="rId475" Type="http://schemas.openxmlformats.org/officeDocument/2006/relationships/hyperlink" Target="https://docs.google.com/spreadsheets/d/1P0ilCSyqA3dOMst3KNMcZ42cxp71XvTpe3tKMhYksN8/edit" TargetMode="External"/><Relationship Id="rId596" Type="http://schemas.openxmlformats.org/officeDocument/2006/relationships/hyperlink" Target="https://docs.google.com/spreadsheets/d/1P0ilCSyqA3dOMst3KNMcZ42cxp71XvTpe3tKMhYksN8/edit" TargetMode="External"/><Relationship Id="rId111" Type="http://schemas.openxmlformats.org/officeDocument/2006/relationships/hyperlink" Target="https://docs.google.com/spreadsheets/d/1vCOoengzj4u-lf-Olvw85ysitfzOfclGKPXAtoEPy0A/edit" TargetMode="External"/><Relationship Id="rId232" Type="http://schemas.openxmlformats.org/officeDocument/2006/relationships/hyperlink" Target="https://docs.google.com/spreadsheets/d/1vCOoengzj4u-lf-Olvw85ysitfzOfclGKPXAtoEPy0A/edit" TargetMode="External"/><Relationship Id="rId353" Type="http://schemas.openxmlformats.org/officeDocument/2006/relationships/hyperlink" Target="https://docs.google.com/spreadsheets/d/1P0ilCSyqA3dOMst3KNMcZ42cxp71XvTpe3tKMhYksN8/edit" TargetMode="External"/><Relationship Id="rId474" Type="http://schemas.openxmlformats.org/officeDocument/2006/relationships/hyperlink" Target="https://docs.google.com/spreadsheets/d/1P0ilCSyqA3dOMst3KNMcZ42cxp71XvTpe3tKMhYksN8/edit" TargetMode="External"/><Relationship Id="rId595" Type="http://schemas.openxmlformats.org/officeDocument/2006/relationships/hyperlink" Target="https://docs.google.com/spreadsheets/d/1P0ilCSyqA3dOMst3KNMcZ42cxp71XvTpe3tKMhYksN8/edit" TargetMode="External"/><Relationship Id="rId305" Type="http://schemas.openxmlformats.org/officeDocument/2006/relationships/hyperlink" Target="https://docs.google.com/spreadsheets/d/1vCOoengzj4u-lf-Olvw85ysitfzOfclGKPXAtoEPy0A/edit" TargetMode="External"/><Relationship Id="rId426" Type="http://schemas.openxmlformats.org/officeDocument/2006/relationships/hyperlink" Target="https://docs.google.com/spreadsheets/d/1P0ilCSyqA3dOMst3KNMcZ42cxp71XvTpe3tKMhYksN8/edit" TargetMode="External"/><Relationship Id="rId547" Type="http://schemas.openxmlformats.org/officeDocument/2006/relationships/hyperlink" Target="https://docs.google.com/spreadsheets/d/1P0ilCSyqA3dOMst3KNMcZ42cxp71XvTpe3tKMhYksN8/edit" TargetMode="External"/><Relationship Id="rId668" Type="http://schemas.openxmlformats.org/officeDocument/2006/relationships/hyperlink" Target="https://docs.google.com/spreadsheets/d/1P0ilCSyqA3dOMst3KNMcZ42cxp71XvTpe3tKMhYksN8/edit" TargetMode="External"/><Relationship Id="rId304" Type="http://schemas.openxmlformats.org/officeDocument/2006/relationships/hyperlink" Target="https://docs.google.com/spreadsheets/d/1vCOoengzj4u-lf-Olvw85ysitfzOfclGKPXAtoEPy0A/edit" TargetMode="External"/><Relationship Id="rId425" Type="http://schemas.openxmlformats.org/officeDocument/2006/relationships/hyperlink" Target="https://docs.google.com/spreadsheets/d/1P0ilCSyqA3dOMst3KNMcZ42cxp71XvTpe3tKMhYksN8/edit" TargetMode="External"/><Relationship Id="rId546" Type="http://schemas.openxmlformats.org/officeDocument/2006/relationships/hyperlink" Target="https://docs.google.com/spreadsheets/d/1P0ilCSyqA3dOMst3KNMcZ42cxp71XvTpe3tKMhYksN8/edit" TargetMode="External"/><Relationship Id="rId667" Type="http://schemas.openxmlformats.org/officeDocument/2006/relationships/hyperlink" Target="https://docs.google.com/spreadsheets/d/1P0ilCSyqA3dOMst3KNMcZ42cxp71XvTpe3tKMhYksN8/edit" TargetMode="External"/><Relationship Id="rId303" Type="http://schemas.openxmlformats.org/officeDocument/2006/relationships/hyperlink" Target="https://docs.google.com/spreadsheets/d/1vCOoengzj4u-lf-Olvw85ysitfzOfclGKPXAtoEPy0A/edit" TargetMode="External"/><Relationship Id="rId424" Type="http://schemas.openxmlformats.org/officeDocument/2006/relationships/hyperlink" Target="https://docs.google.com/spreadsheets/d/1P0ilCSyqA3dOMst3KNMcZ42cxp71XvTpe3tKMhYksN8/edit" TargetMode="External"/><Relationship Id="rId545" Type="http://schemas.openxmlformats.org/officeDocument/2006/relationships/hyperlink" Target="https://docs.google.com/spreadsheets/d/1P0ilCSyqA3dOMst3KNMcZ42cxp71XvTpe3tKMhYksN8/edit" TargetMode="External"/><Relationship Id="rId666" Type="http://schemas.openxmlformats.org/officeDocument/2006/relationships/hyperlink" Target="https://docs.google.com/spreadsheets/d/1P0ilCSyqA3dOMst3KNMcZ42cxp71XvTpe3tKMhYksN8/edit" TargetMode="External"/><Relationship Id="rId302" Type="http://schemas.openxmlformats.org/officeDocument/2006/relationships/hyperlink" Target="https://docs.google.com/spreadsheets/d/1vCOoengzj4u-lf-Olvw85ysitfzOfclGKPXAtoEPy0A/edit" TargetMode="External"/><Relationship Id="rId423" Type="http://schemas.openxmlformats.org/officeDocument/2006/relationships/hyperlink" Target="https://docs.google.com/spreadsheets/d/1P0ilCSyqA3dOMst3KNMcZ42cxp71XvTpe3tKMhYksN8/edit" TargetMode="External"/><Relationship Id="rId544" Type="http://schemas.openxmlformats.org/officeDocument/2006/relationships/hyperlink" Target="https://docs.google.com/spreadsheets/d/1P0ilCSyqA3dOMst3KNMcZ42cxp71XvTpe3tKMhYksN8/edit" TargetMode="External"/><Relationship Id="rId665" Type="http://schemas.openxmlformats.org/officeDocument/2006/relationships/hyperlink" Target="https://docs.google.com/spreadsheets/d/1P0ilCSyqA3dOMst3KNMcZ42cxp71XvTpe3tKMhYksN8/edit" TargetMode="External"/><Relationship Id="rId309" Type="http://schemas.openxmlformats.org/officeDocument/2006/relationships/hyperlink" Target="https://docs.google.com/spreadsheets/d/1vCOoengzj4u-lf-Olvw85ysitfzOfclGKPXAtoEPy0A/edit" TargetMode="External"/><Relationship Id="rId308" Type="http://schemas.openxmlformats.org/officeDocument/2006/relationships/hyperlink" Target="https://docs.google.com/spreadsheets/d/1vCOoengzj4u-lf-Olvw85ysitfzOfclGKPXAtoEPy0A/edit" TargetMode="External"/><Relationship Id="rId429" Type="http://schemas.openxmlformats.org/officeDocument/2006/relationships/hyperlink" Target="https://docs.google.com/spreadsheets/d/1P0ilCSyqA3dOMst3KNMcZ42cxp71XvTpe3tKMhYksN8/edit" TargetMode="External"/><Relationship Id="rId307" Type="http://schemas.openxmlformats.org/officeDocument/2006/relationships/hyperlink" Target="https://docs.google.com/spreadsheets/d/1vCOoengzj4u-lf-Olvw85ysitfzOfclGKPXAtoEPy0A/edit" TargetMode="External"/><Relationship Id="rId428" Type="http://schemas.openxmlformats.org/officeDocument/2006/relationships/hyperlink" Target="https://docs.google.com/spreadsheets/d/1P0ilCSyqA3dOMst3KNMcZ42cxp71XvTpe3tKMhYksN8/edit" TargetMode="External"/><Relationship Id="rId549" Type="http://schemas.openxmlformats.org/officeDocument/2006/relationships/hyperlink" Target="https://docs.google.com/spreadsheets/d/1P0ilCSyqA3dOMst3KNMcZ42cxp71XvTpe3tKMhYksN8/edit" TargetMode="External"/><Relationship Id="rId306" Type="http://schemas.openxmlformats.org/officeDocument/2006/relationships/hyperlink" Target="https://docs.google.com/spreadsheets/d/1vCOoengzj4u-lf-Olvw85ysitfzOfclGKPXAtoEPy0A/edit" TargetMode="External"/><Relationship Id="rId427" Type="http://schemas.openxmlformats.org/officeDocument/2006/relationships/hyperlink" Target="https://docs.google.com/spreadsheets/d/1P0ilCSyqA3dOMst3KNMcZ42cxp71XvTpe3tKMhYksN8/edit" TargetMode="External"/><Relationship Id="rId548" Type="http://schemas.openxmlformats.org/officeDocument/2006/relationships/hyperlink" Target="https://docs.google.com/spreadsheets/d/1P0ilCSyqA3dOMst3KNMcZ42cxp71XvTpe3tKMhYksN8/edit" TargetMode="External"/><Relationship Id="rId669" Type="http://schemas.openxmlformats.org/officeDocument/2006/relationships/hyperlink" Target="https://docs.google.com/spreadsheets/d/1d_dnULuhyFhAz_vzHPOr4a1463PBw6xMA3MZaClxQ5Q/edit" TargetMode="External"/><Relationship Id="rId660" Type="http://schemas.openxmlformats.org/officeDocument/2006/relationships/hyperlink" Target="https://docs.google.com/spreadsheets/d/1P0ilCSyqA3dOMst3KNMcZ42cxp71XvTpe3tKMhYksN8/edit" TargetMode="External"/><Relationship Id="rId301" Type="http://schemas.openxmlformats.org/officeDocument/2006/relationships/hyperlink" Target="https://docs.google.com/spreadsheets/d/1vCOoengzj4u-lf-Olvw85ysitfzOfclGKPXAtoEPy0A/edit" TargetMode="External"/><Relationship Id="rId422" Type="http://schemas.openxmlformats.org/officeDocument/2006/relationships/hyperlink" Target="https://docs.google.com/spreadsheets/d/1P0ilCSyqA3dOMst3KNMcZ42cxp71XvTpe3tKMhYksN8/edit" TargetMode="External"/><Relationship Id="rId543" Type="http://schemas.openxmlformats.org/officeDocument/2006/relationships/hyperlink" Target="https://docs.google.com/spreadsheets/d/1P0ilCSyqA3dOMst3KNMcZ42cxp71XvTpe3tKMhYksN8/edit" TargetMode="External"/><Relationship Id="rId664" Type="http://schemas.openxmlformats.org/officeDocument/2006/relationships/hyperlink" Target="https://docs.google.com/spreadsheets/d/1P0ilCSyqA3dOMst3KNMcZ42cxp71XvTpe3tKMhYksN8/edit" TargetMode="External"/><Relationship Id="rId300" Type="http://schemas.openxmlformats.org/officeDocument/2006/relationships/hyperlink" Target="https://docs.google.com/spreadsheets/d/1vCOoengzj4u-lf-Olvw85ysitfzOfclGKPXAtoEPy0A/edit" TargetMode="External"/><Relationship Id="rId421" Type="http://schemas.openxmlformats.org/officeDocument/2006/relationships/hyperlink" Target="https://docs.google.com/spreadsheets/d/1P0ilCSyqA3dOMst3KNMcZ42cxp71XvTpe3tKMhYksN8/edit" TargetMode="External"/><Relationship Id="rId542" Type="http://schemas.openxmlformats.org/officeDocument/2006/relationships/hyperlink" Target="https://docs.google.com/spreadsheets/d/1P0ilCSyqA3dOMst3KNMcZ42cxp71XvTpe3tKMhYksN8/edit" TargetMode="External"/><Relationship Id="rId663" Type="http://schemas.openxmlformats.org/officeDocument/2006/relationships/hyperlink" Target="https://docs.google.com/spreadsheets/d/1P0ilCSyqA3dOMst3KNMcZ42cxp71XvTpe3tKMhYksN8/edit" TargetMode="External"/><Relationship Id="rId420" Type="http://schemas.openxmlformats.org/officeDocument/2006/relationships/hyperlink" Target="https://docs.google.com/spreadsheets/d/1P0ilCSyqA3dOMst3KNMcZ42cxp71XvTpe3tKMhYksN8/edit" TargetMode="External"/><Relationship Id="rId541" Type="http://schemas.openxmlformats.org/officeDocument/2006/relationships/hyperlink" Target="https://docs.google.com/spreadsheets/d/1P0ilCSyqA3dOMst3KNMcZ42cxp71XvTpe3tKMhYksN8/edit" TargetMode="External"/><Relationship Id="rId662" Type="http://schemas.openxmlformats.org/officeDocument/2006/relationships/hyperlink" Target="https://docs.google.com/spreadsheets/d/1P0ilCSyqA3dOMst3KNMcZ42cxp71XvTpe3tKMhYksN8/edit" TargetMode="External"/><Relationship Id="rId540" Type="http://schemas.openxmlformats.org/officeDocument/2006/relationships/hyperlink" Target="https://docs.google.com/spreadsheets/d/1P0ilCSyqA3dOMst3KNMcZ42cxp71XvTpe3tKMhYksN8/edit" TargetMode="External"/><Relationship Id="rId661" Type="http://schemas.openxmlformats.org/officeDocument/2006/relationships/hyperlink" Target="https://docs.google.com/spreadsheets/d/1P0ilCSyqA3dOMst3KNMcZ42cxp71XvTpe3tKMhYksN8/edit" TargetMode="External"/><Relationship Id="rId415" Type="http://schemas.openxmlformats.org/officeDocument/2006/relationships/hyperlink" Target="https://docs.google.com/spreadsheets/d/1P0ilCSyqA3dOMst3KNMcZ42cxp71XvTpe3tKMhYksN8/edit" TargetMode="External"/><Relationship Id="rId536" Type="http://schemas.openxmlformats.org/officeDocument/2006/relationships/hyperlink" Target="https://docs.google.com/spreadsheets/d/1P0ilCSyqA3dOMst3KNMcZ42cxp71XvTpe3tKMhYksN8/edit" TargetMode="External"/><Relationship Id="rId657" Type="http://schemas.openxmlformats.org/officeDocument/2006/relationships/hyperlink" Target="https://docs.google.com/spreadsheets/d/1P0ilCSyqA3dOMst3KNMcZ42cxp71XvTpe3tKMhYksN8/edit" TargetMode="External"/><Relationship Id="rId414" Type="http://schemas.openxmlformats.org/officeDocument/2006/relationships/hyperlink" Target="https://docs.google.com/spreadsheets/d/1P0ilCSyqA3dOMst3KNMcZ42cxp71XvTpe3tKMhYksN8/edit" TargetMode="External"/><Relationship Id="rId535" Type="http://schemas.openxmlformats.org/officeDocument/2006/relationships/hyperlink" Target="https://docs.google.com/spreadsheets/d/1P0ilCSyqA3dOMst3KNMcZ42cxp71XvTpe3tKMhYksN8/edit" TargetMode="External"/><Relationship Id="rId656" Type="http://schemas.openxmlformats.org/officeDocument/2006/relationships/hyperlink" Target="https://docs.google.com/spreadsheets/d/1P0ilCSyqA3dOMst3KNMcZ42cxp71XvTpe3tKMhYksN8/edit" TargetMode="External"/><Relationship Id="rId413" Type="http://schemas.openxmlformats.org/officeDocument/2006/relationships/hyperlink" Target="https://docs.google.com/spreadsheets/d/1P0ilCSyqA3dOMst3KNMcZ42cxp71XvTpe3tKMhYksN8/edit" TargetMode="External"/><Relationship Id="rId534" Type="http://schemas.openxmlformats.org/officeDocument/2006/relationships/hyperlink" Target="https://docs.google.com/spreadsheets/d/1P0ilCSyqA3dOMst3KNMcZ42cxp71XvTpe3tKMhYksN8/edit" TargetMode="External"/><Relationship Id="rId655" Type="http://schemas.openxmlformats.org/officeDocument/2006/relationships/hyperlink" Target="https://docs.google.com/spreadsheets/d/1P0ilCSyqA3dOMst3KNMcZ42cxp71XvTpe3tKMhYksN8/edit" TargetMode="External"/><Relationship Id="rId412" Type="http://schemas.openxmlformats.org/officeDocument/2006/relationships/hyperlink" Target="https://docs.google.com/spreadsheets/d/1P0ilCSyqA3dOMst3KNMcZ42cxp71XvTpe3tKMhYksN8/edit" TargetMode="External"/><Relationship Id="rId533" Type="http://schemas.openxmlformats.org/officeDocument/2006/relationships/hyperlink" Target="https://docs.google.com/spreadsheets/d/1P0ilCSyqA3dOMst3KNMcZ42cxp71XvTpe3tKMhYksN8/edit" TargetMode="External"/><Relationship Id="rId654" Type="http://schemas.openxmlformats.org/officeDocument/2006/relationships/hyperlink" Target="https://docs.google.com/spreadsheets/d/1P0ilCSyqA3dOMst3KNMcZ42cxp71XvTpe3tKMhYksN8/edit" TargetMode="External"/><Relationship Id="rId419" Type="http://schemas.openxmlformats.org/officeDocument/2006/relationships/hyperlink" Target="https://docs.google.com/spreadsheets/d/1P0ilCSyqA3dOMst3KNMcZ42cxp71XvTpe3tKMhYksN8/edit" TargetMode="External"/><Relationship Id="rId418" Type="http://schemas.openxmlformats.org/officeDocument/2006/relationships/hyperlink" Target="https://docs.google.com/spreadsheets/d/1P0ilCSyqA3dOMst3KNMcZ42cxp71XvTpe3tKMhYksN8/edit" TargetMode="External"/><Relationship Id="rId539" Type="http://schemas.openxmlformats.org/officeDocument/2006/relationships/hyperlink" Target="https://docs.google.com/spreadsheets/d/1P0ilCSyqA3dOMst3KNMcZ42cxp71XvTpe3tKMhYksN8/edit" TargetMode="External"/><Relationship Id="rId417" Type="http://schemas.openxmlformats.org/officeDocument/2006/relationships/hyperlink" Target="https://docs.google.com/spreadsheets/d/1P0ilCSyqA3dOMst3KNMcZ42cxp71XvTpe3tKMhYksN8/edit" TargetMode="External"/><Relationship Id="rId538" Type="http://schemas.openxmlformats.org/officeDocument/2006/relationships/hyperlink" Target="https://docs.google.com/spreadsheets/d/1P0ilCSyqA3dOMst3KNMcZ42cxp71XvTpe3tKMhYksN8/edit" TargetMode="External"/><Relationship Id="rId659" Type="http://schemas.openxmlformats.org/officeDocument/2006/relationships/hyperlink" Target="https://docs.google.com/spreadsheets/d/1P0ilCSyqA3dOMst3KNMcZ42cxp71XvTpe3tKMhYksN8/edit" TargetMode="External"/><Relationship Id="rId416" Type="http://schemas.openxmlformats.org/officeDocument/2006/relationships/hyperlink" Target="https://docs.google.com/spreadsheets/d/1P0ilCSyqA3dOMst3KNMcZ42cxp71XvTpe3tKMhYksN8/edit" TargetMode="External"/><Relationship Id="rId537" Type="http://schemas.openxmlformats.org/officeDocument/2006/relationships/hyperlink" Target="https://docs.google.com/spreadsheets/d/1P0ilCSyqA3dOMst3KNMcZ42cxp71XvTpe3tKMhYksN8/edit" TargetMode="External"/><Relationship Id="rId658" Type="http://schemas.openxmlformats.org/officeDocument/2006/relationships/hyperlink" Target="https://docs.google.com/spreadsheets/d/1P0ilCSyqA3dOMst3KNMcZ42cxp71XvTpe3tKMhYksN8/edit" TargetMode="External"/><Relationship Id="rId411" Type="http://schemas.openxmlformats.org/officeDocument/2006/relationships/hyperlink" Target="https://docs.google.com/spreadsheets/d/1P0ilCSyqA3dOMst3KNMcZ42cxp71XvTpe3tKMhYksN8/edit" TargetMode="External"/><Relationship Id="rId532" Type="http://schemas.openxmlformats.org/officeDocument/2006/relationships/hyperlink" Target="https://docs.google.com/spreadsheets/d/1P0ilCSyqA3dOMst3KNMcZ42cxp71XvTpe3tKMhYksN8/edit" TargetMode="External"/><Relationship Id="rId653" Type="http://schemas.openxmlformats.org/officeDocument/2006/relationships/hyperlink" Target="https://docs.google.com/spreadsheets/d/1P0ilCSyqA3dOMst3KNMcZ42cxp71XvTpe3tKMhYksN8/edit" TargetMode="External"/><Relationship Id="rId410" Type="http://schemas.openxmlformats.org/officeDocument/2006/relationships/hyperlink" Target="https://docs.google.com/spreadsheets/d/1P0ilCSyqA3dOMst3KNMcZ42cxp71XvTpe3tKMhYksN8/edit" TargetMode="External"/><Relationship Id="rId531" Type="http://schemas.openxmlformats.org/officeDocument/2006/relationships/hyperlink" Target="https://docs.google.com/spreadsheets/d/1P0ilCSyqA3dOMst3KNMcZ42cxp71XvTpe3tKMhYksN8/edit" TargetMode="External"/><Relationship Id="rId652" Type="http://schemas.openxmlformats.org/officeDocument/2006/relationships/hyperlink" Target="https://docs.google.com/spreadsheets/d/1P0ilCSyqA3dOMst3KNMcZ42cxp71XvTpe3tKMhYksN8/edit" TargetMode="External"/><Relationship Id="rId530" Type="http://schemas.openxmlformats.org/officeDocument/2006/relationships/hyperlink" Target="https://docs.google.com/spreadsheets/d/1P0ilCSyqA3dOMst3KNMcZ42cxp71XvTpe3tKMhYksN8/edit" TargetMode="External"/><Relationship Id="rId651" Type="http://schemas.openxmlformats.org/officeDocument/2006/relationships/hyperlink" Target="https://docs.google.com/spreadsheets/d/1P0ilCSyqA3dOMst3KNMcZ42cxp71XvTpe3tKMhYksN8/edit" TargetMode="External"/><Relationship Id="rId650" Type="http://schemas.openxmlformats.org/officeDocument/2006/relationships/hyperlink" Target="https://docs.google.com/spreadsheets/d/1P0ilCSyqA3dOMst3KNMcZ42cxp71XvTpe3tKMhYksN8/edit" TargetMode="External"/><Relationship Id="rId206" Type="http://schemas.openxmlformats.org/officeDocument/2006/relationships/hyperlink" Target="https://docs.google.com/spreadsheets/d/1vCOoengzj4u-lf-Olvw85ysitfzOfclGKPXAtoEPy0A/edit" TargetMode="External"/><Relationship Id="rId327" Type="http://schemas.openxmlformats.org/officeDocument/2006/relationships/hyperlink" Target="https://docs.google.com/spreadsheets/d/1vCOoengzj4u-lf-Olvw85ysitfzOfclGKPXAtoEPy0A/edit" TargetMode="External"/><Relationship Id="rId448" Type="http://schemas.openxmlformats.org/officeDocument/2006/relationships/hyperlink" Target="https://docs.google.com/spreadsheets/d/1P0ilCSyqA3dOMst3KNMcZ42cxp71XvTpe3tKMhYksN8/edit" TargetMode="External"/><Relationship Id="rId569" Type="http://schemas.openxmlformats.org/officeDocument/2006/relationships/hyperlink" Target="https://docs.google.com/spreadsheets/d/1P0ilCSyqA3dOMst3KNMcZ42cxp71XvTpe3tKMhYksN8/edit" TargetMode="External"/><Relationship Id="rId205" Type="http://schemas.openxmlformats.org/officeDocument/2006/relationships/hyperlink" Target="https://docs.google.com/spreadsheets/d/1vCOoengzj4u-lf-Olvw85ysitfzOfclGKPXAtoEPy0A/edit" TargetMode="External"/><Relationship Id="rId326" Type="http://schemas.openxmlformats.org/officeDocument/2006/relationships/hyperlink" Target="https://docs.google.com/spreadsheets/d/1vCOoengzj4u-lf-Olvw85ysitfzOfclGKPXAtoEPy0A/edit" TargetMode="External"/><Relationship Id="rId447" Type="http://schemas.openxmlformats.org/officeDocument/2006/relationships/hyperlink" Target="https://docs.google.com/spreadsheets/d/1P0ilCSyqA3dOMst3KNMcZ42cxp71XvTpe3tKMhYksN8/edit" TargetMode="External"/><Relationship Id="rId568" Type="http://schemas.openxmlformats.org/officeDocument/2006/relationships/hyperlink" Target="https://docs.google.com/spreadsheets/d/1P0ilCSyqA3dOMst3KNMcZ42cxp71XvTpe3tKMhYksN8/edit" TargetMode="External"/><Relationship Id="rId689" Type="http://schemas.openxmlformats.org/officeDocument/2006/relationships/hyperlink" Target="https://docs.google.com/spreadsheets/d/1d_dnULuhyFhAz_vzHPOr4a1463PBw6xMA3MZaClxQ5Q/edit" TargetMode="External"/><Relationship Id="rId204" Type="http://schemas.openxmlformats.org/officeDocument/2006/relationships/hyperlink" Target="https://docs.google.com/spreadsheets/d/1vCOoengzj4u-lf-Olvw85ysitfzOfclGKPXAtoEPy0A/edit" TargetMode="External"/><Relationship Id="rId325" Type="http://schemas.openxmlformats.org/officeDocument/2006/relationships/hyperlink" Target="https://docs.google.com/spreadsheets/d/1vCOoengzj4u-lf-Olvw85ysitfzOfclGKPXAtoEPy0A/edit" TargetMode="External"/><Relationship Id="rId446" Type="http://schemas.openxmlformats.org/officeDocument/2006/relationships/hyperlink" Target="https://docs.google.com/spreadsheets/d/1P0ilCSyqA3dOMst3KNMcZ42cxp71XvTpe3tKMhYksN8/edit" TargetMode="External"/><Relationship Id="rId567" Type="http://schemas.openxmlformats.org/officeDocument/2006/relationships/hyperlink" Target="https://docs.google.com/spreadsheets/d/1P0ilCSyqA3dOMst3KNMcZ42cxp71XvTpe3tKMhYksN8/edit" TargetMode="External"/><Relationship Id="rId688" Type="http://schemas.openxmlformats.org/officeDocument/2006/relationships/hyperlink" Target="https://docs.google.com/spreadsheets/d/1d_dnULuhyFhAz_vzHPOr4a1463PBw6xMA3MZaClxQ5Q/edit" TargetMode="External"/><Relationship Id="rId203" Type="http://schemas.openxmlformats.org/officeDocument/2006/relationships/hyperlink" Target="https://docs.google.com/spreadsheets/d/1vCOoengzj4u-lf-Olvw85ysitfzOfclGKPXAtoEPy0A/edit" TargetMode="External"/><Relationship Id="rId324" Type="http://schemas.openxmlformats.org/officeDocument/2006/relationships/hyperlink" Target="https://docs.google.com/spreadsheets/d/1vCOoengzj4u-lf-Olvw85ysitfzOfclGKPXAtoEPy0A/edit" TargetMode="External"/><Relationship Id="rId445" Type="http://schemas.openxmlformats.org/officeDocument/2006/relationships/hyperlink" Target="https://docs.google.com/spreadsheets/d/1P0ilCSyqA3dOMst3KNMcZ42cxp71XvTpe3tKMhYksN8/edit" TargetMode="External"/><Relationship Id="rId566" Type="http://schemas.openxmlformats.org/officeDocument/2006/relationships/hyperlink" Target="https://docs.google.com/spreadsheets/d/1P0ilCSyqA3dOMst3KNMcZ42cxp71XvTpe3tKMhYksN8/edit" TargetMode="External"/><Relationship Id="rId687" Type="http://schemas.openxmlformats.org/officeDocument/2006/relationships/hyperlink" Target="https://docs.google.com/spreadsheets/d/1d_dnULuhyFhAz_vzHPOr4a1463PBw6xMA3MZaClxQ5Q/edit" TargetMode="External"/><Relationship Id="rId209" Type="http://schemas.openxmlformats.org/officeDocument/2006/relationships/hyperlink" Target="https://docs.google.com/spreadsheets/d/1vCOoengzj4u-lf-Olvw85ysitfzOfclGKPXAtoEPy0A/edit" TargetMode="External"/><Relationship Id="rId208" Type="http://schemas.openxmlformats.org/officeDocument/2006/relationships/hyperlink" Target="https://docs.google.com/spreadsheets/d/1vCOoengzj4u-lf-Olvw85ysitfzOfclGKPXAtoEPy0A/edit" TargetMode="External"/><Relationship Id="rId329" Type="http://schemas.openxmlformats.org/officeDocument/2006/relationships/hyperlink" Target="https://docs.google.com/spreadsheets/d/1vCOoengzj4u-lf-Olvw85ysitfzOfclGKPXAtoEPy0A/edit" TargetMode="External"/><Relationship Id="rId207" Type="http://schemas.openxmlformats.org/officeDocument/2006/relationships/hyperlink" Target="https://docs.google.com/spreadsheets/d/1vCOoengzj4u-lf-Olvw85ysitfzOfclGKPXAtoEPy0A/edit" TargetMode="External"/><Relationship Id="rId328" Type="http://schemas.openxmlformats.org/officeDocument/2006/relationships/hyperlink" Target="https://docs.google.com/spreadsheets/d/1vCOoengzj4u-lf-Olvw85ysitfzOfclGKPXAtoEPy0A/edit" TargetMode="External"/><Relationship Id="rId449" Type="http://schemas.openxmlformats.org/officeDocument/2006/relationships/hyperlink" Target="https://docs.google.com/spreadsheets/d/1P0ilCSyqA3dOMst3KNMcZ42cxp71XvTpe3tKMhYksN8/edit" TargetMode="External"/><Relationship Id="rId440" Type="http://schemas.openxmlformats.org/officeDocument/2006/relationships/hyperlink" Target="https://docs.google.com/spreadsheets/d/1P0ilCSyqA3dOMst3KNMcZ42cxp71XvTpe3tKMhYksN8/edit" TargetMode="External"/><Relationship Id="rId561" Type="http://schemas.openxmlformats.org/officeDocument/2006/relationships/hyperlink" Target="https://docs.google.com/spreadsheets/d/1P0ilCSyqA3dOMst3KNMcZ42cxp71XvTpe3tKMhYksN8/edit" TargetMode="External"/><Relationship Id="rId682" Type="http://schemas.openxmlformats.org/officeDocument/2006/relationships/hyperlink" Target="https://docs.google.com/spreadsheets/d/1d_dnULuhyFhAz_vzHPOr4a1463PBw6xMA3MZaClxQ5Q/edit" TargetMode="External"/><Relationship Id="rId560" Type="http://schemas.openxmlformats.org/officeDocument/2006/relationships/hyperlink" Target="https://docs.google.com/spreadsheets/d/1P0ilCSyqA3dOMst3KNMcZ42cxp71XvTpe3tKMhYksN8/edit" TargetMode="External"/><Relationship Id="rId681" Type="http://schemas.openxmlformats.org/officeDocument/2006/relationships/hyperlink" Target="https://docs.google.com/spreadsheets/d/1d_dnULuhyFhAz_vzHPOr4a1463PBw6xMA3MZaClxQ5Q/edit" TargetMode="External"/><Relationship Id="rId680" Type="http://schemas.openxmlformats.org/officeDocument/2006/relationships/hyperlink" Target="https://docs.google.com/spreadsheets/d/1d_dnULuhyFhAz_vzHPOr4a1463PBw6xMA3MZaClxQ5Q/edit" TargetMode="External"/><Relationship Id="rId202" Type="http://schemas.openxmlformats.org/officeDocument/2006/relationships/hyperlink" Target="https://docs.google.com/spreadsheets/d/1vCOoengzj4u-lf-Olvw85ysitfzOfclGKPXAtoEPy0A/edit" TargetMode="External"/><Relationship Id="rId323" Type="http://schemas.openxmlformats.org/officeDocument/2006/relationships/hyperlink" Target="https://docs.google.com/spreadsheets/d/1vCOoengzj4u-lf-Olvw85ysitfzOfclGKPXAtoEPy0A/edit" TargetMode="External"/><Relationship Id="rId444" Type="http://schemas.openxmlformats.org/officeDocument/2006/relationships/hyperlink" Target="https://docs.google.com/spreadsheets/d/1P0ilCSyqA3dOMst3KNMcZ42cxp71XvTpe3tKMhYksN8/edit" TargetMode="External"/><Relationship Id="rId565" Type="http://schemas.openxmlformats.org/officeDocument/2006/relationships/hyperlink" Target="https://docs.google.com/spreadsheets/d/1P0ilCSyqA3dOMst3KNMcZ42cxp71XvTpe3tKMhYksN8/edit" TargetMode="External"/><Relationship Id="rId686" Type="http://schemas.openxmlformats.org/officeDocument/2006/relationships/hyperlink" Target="https://docs.google.com/spreadsheets/d/1d_dnULuhyFhAz_vzHPOr4a1463PBw6xMA3MZaClxQ5Q/edit" TargetMode="External"/><Relationship Id="rId201" Type="http://schemas.openxmlformats.org/officeDocument/2006/relationships/hyperlink" Target="https://docs.google.com/spreadsheets/d/1vCOoengzj4u-lf-Olvw85ysitfzOfclGKPXAtoEPy0A/edit" TargetMode="External"/><Relationship Id="rId322" Type="http://schemas.openxmlformats.org/officeDocument/2006/relationships/hyperlink" Target="https://docs.google.com/spreadsheets/d/1vCOoengzj4u-lf-Olvw85ysitfzOfclGKPXAtoEPy0A/edit" TargetMode="External"/><Relationship Id="rId443" Type="http://schemas.openxmlformats.org/officeDocument/2006/relationships/hyperlink" Target="https://docs.google.com/spreadsheets/d/1P0ilCSyqA3dOMst3KNMcZ42cxp71XvTpe3tKMhYksN8/edit" TargetMode="External"/><Relationship Id="rId564" Type="http://schemas.openxmlformats.org/officeDocument/2006/relationships/hyperlink" Target="https://docs.google.com/spreadsheets/d/1P0ilCSyqA3dOMst3KNMcZ42cxp71XvTpe3tKMhYksN8/edit" TargetMode="External"/><Relationship Id="rId685" Type="http://schemas.openxmlformats.org/officeDocument/2006/relationships/hyperlink" Target="https://docs.google.com/spreadsheets/d/1d_dnULuhyFhAz_vzHPOr4a1463PBw6xMA3MZaClxQ5Q/edit" TargetMode="External"/><Relationship Id="rId200" Type="http://schemas.openxmlformats.org/officeDocument/2006/relationships/hyperlink" Target="https://docs.google.com/spreadsheets/d/1vCOoengzj4u-lf-Olvw85ysitfzOfclGKPXAtoEPy0A/edit" TargetMode="External"/><Relationship Id="rId321" Type="http://schemas.openxmlformats.org/officeDocument/2006/relationships/hyperlink" Target="https://docs.google.com/spreadsheets/d/1vCOoengzj4u-lf-Olvw85ysitfzOfclGKPXAtoEPy0A/edit" TargetMode="External"/><Relationship Id="rId442" Type="http://schemas.openxmlformats.org/officeDocument/2006/relationships/hyperlink" Target="https://docs.google.com/spreadsheets/d/1P0ilCSyqA3dOMst3KNMcZ42cxp71XvTpe3tKMhYksN8/edit" TargetMode="External"/><Relationship Id="rId563" Type="http://schemas.openxmlformats.org/officeDocument/2006/relationships/hyperlink" Target="https://docs.google.com/spreadsheets/d/1P0ilCSyqA3dOMst3KNMcZ42cxp71XvTpe3tKMhYksN8/edit" TargetMode="External"/><Relationship Id="rId684" Type="http://schemas.openxmlformats.org/officeDocument/2006/relationships/hyperlink" Target="https://docs.google.com/spreadsheets/d/1d_dnULuhyFhAz_vzHPOr4a1463PBw6xMA3MZaClxQ5Q/edit" TargetMode="External"/><Relationship Id="rId320" Type="http://schemas.openxmlformats.org/officeDocument/2006/relationships/hyperlink" Target="https://docs.google.com/spreadsheets/d/1vCOoengzj4u-lf-Olvw85ysitfzOfclGKPXAtoEPy0A/edit" TargetMode="External"/><Relationship Id="rId441" Type="http://schemas.openxmlformats.org/officeDocument/2006/relationships/hyperlink" Target="https://docs.google.com/spreadsheets/d/1P0ilCSyqA3dOMst3KNMcZ42cxp71XvTpe3tKMhYksN8/edit" TargetMode="External"/><Relationship Id="rId562" Type="http://schemas.openxmlformats.org/officeDocument/2006/relationships/hyperlink" Target="https://docs.google.com/spreadsheets/d/1P0ilCSyqA3dOMst3KNMcZ42cxp71XvTpe3tKMhYksN8/edit" TargetMode="External"/><Relationship Id="rId683" Type="http://schemas.openxmlformats.org/officeDocument/2006/relationships/hyperlink" Target="https://docs.google.com/spreadsheets/d/1d_dnULuhyFhAz_vzHPOr4a1463PBw6xMA3MZaClxQ5Q/edit" TargetMode="External"/><Relationship Id="rId316" Type="http://schemas.openxmlformats.org/officeDocument/2006/relationships/hyperlink" Target="https://docs.google.com/spreadsheets/d/1vCOoengzj4u-lf-Olvw85ysitfzOfclGKPXAtoEPy0A/edit" TargetMode="External"/><Relationship Id="rId437" Type="http://schemas.openxmlformats.org/officeDocument/2006/relationships/hyperlink" Target="https://docs.google.com/spreadsheets/d/1P0ilCSyqA3dOMst3KNMcZ42cxp71XvTpe3tKMhYksN8/edit" TargetMode="External"/><Relationship Id="rId558" Type="http://schemas.openxmlformats.org/officeDocument/2006/relationships/hyperlink" Target="https://docs.google.com/spreadsheets/d/1P0ilCSyqA3dOMst3KNMcZ42cxp71XvTpe3tKMhYksN8/edit" TargetMode="External"/><Relationship Id="rId679" Type="http://schemas.openxmlformats.org/officeDocument/2006/relationships/hyperlink" Target="https://docs.google.com/spreadsheets/d/1d_dnULuhyFhAz_vzHPOr4a1463PBw6xMA3MZaClxQ5Q/edit" TargetMode="External"/><Relationship Id="rId315" Type="http://schemas.openxmlformats.org/officeDocument/2006/relationships/hyperlink" Target="https://docs.google.com/spreadsheets/d/1vCOoengzj4u-lf-Olvw85ysitfzOfclGKPXAtoEPy0A/edit" TargetMode="External"/><Relationship Id="rId436" Type="http://schemas.openxmlformats.org/officeDocument/2006/relationships/hyperlink" Target="https://docs.google.com/spreadsheets/d/1P0ilCSyqA3dOMst3KNMcZ42cxp71XvTpe3tKMhYksN8/edit" TargetMode="External"/><Relationship Id="rId557" Type="http://schemas.openxmlformats.org/officeDocument/2006/relationships/hyperlink" Target="https://docs.google.com/spreadsheets/d/1P0ilCSyqA3dOMst3KNMcZ42cxp71XvTpe3tKMhYksN8/edit" TargetMode="External"/><Relationship Id="rId678" Type="http://schemas.openxmlformats.org/officeDocument/2006/relationships/hyperlink" Target="https://docs.google.com/spreadsheets/d/1d_dnULuhyFhAz_vzHPOr4a1463PBw6xMA3MZaClxQ5Q/edit" TargetMode="External"/><Relationship Id="rId314" Type="http://schemas.openxmlformats.org/officeDocument/2006/relationships/hyperlink" Target="https://docs.google.com/spreadsheets/d/1vCOoengzj4u-lf-Olvw85ysitfzOfclGKPXAtoEPy0A/edit" TargetMode="External"/><Relationship Id="rId435" Type="http://schemas.openxmlformats.org/officeDocument/2006/relationships/hyperlink" Target="https://docs.google.com/spreadsheets/d/1P0ilCSyqA3dOMst3KNMcZ42cxp71XvTpe3tKMhYksN8/edit" TargetMode="External"/><Relationship Id="rId556" Type="http://schemas.openxmlformats.org/officeDocument/2006/relationships/hyperlink" Target="https://docs.google.com/spreadsheets/d/1P0ilCSyqA3dOMst3KNMcZ42cxp71XvTpe3tKMhYksN8/edit" TargetMode="External"/><Relationship Id="rId677" Type="http://schemas.openxmlformats.org/officeDocument/2006/relationships/hyperlink" Target="https://docs.google.com/spreadsheets/d/1d_dnULuhyFhAz_vzHPOr4a1463PBw6xMA3MZaClxQ5Q/edit" TargetMode="External"/><Relationship Id="rId313" Type="http://schemas.openxmlformats.org/officeDocument/2006/relationships/hyperlink" Target="https://docs.google.com/spreadsheets/d/1vCOoengzj4u-lf-Olvw85ysitfzOfclGKPXAtoEPy0A/edit" TargetMode="External"/><Relationship Id="rId434" Type="http://schemas.openxmlformats.org/officeDocument/2006/relationships/hyperlink" Target="https://docs.google.com/spreadsheets/d/1P0ilCSyqA3dOMst3KNMcZ42cxp71XvTpe3tKMhYksN8/edit" TargetMode="External"/><Relationship Id="rId555" Type="http://schemas.openxmlformats.org/officeDocument/2006/relationships/hyperlink" Target="https://docs.google.com/spreadsheets/d/1P0ilCSyqA3dOMst3KNMcZ42cxp71XvTpe3tKMhYksN8/edit" TargetMode="External"/><Relationship Id="rId676" Type="http://schemas.openxmlformats.org/officeDocument/2006/relationships/hyperlink" Target="https://docs.google.com/spreadsheets/d/1d_dnULuhyFhAz_vzHPOr4a1463PBw6xMA3MZaClxQ5Q/edit" TargetMode="External"/><Relationship Id="rId319" Type="http://schemas.openxmlformats.org/officeDocument/2006/relationships/hyperlink" Target="https://docs.google.com/spreadsheets/d/1vCOoengzj4u-lf-Olvw85ysitfzOfclGKPXAtoEPy0A/edit" TargetMode="External"/><Relationship Id="rId318" Type="http://schemas.openxmlformats.org/officeDocument/2006/relationships/hyperlink" Target="https://docs.google.com/spreadsheets/d/1vCOoengzj4u-lf-Olvw85ysitfzOfclGKPXAtoEPy0A/edit" TargetMode="External"/><Relationship Id="rId439" Type="http://schemas.openxmlformats.org/officeDocument/2006/relationships/hyperlink" Target="https://docs.google.com/spreadsheets/d/1P0ilCSyqA3dOMst3KNMcZ42cxp71XvTpe3tKMhYksN8/edit" TargetMode="External"/><Relationship Id="rId317" Type="http://schemas.openxmlformats.org/officeDocument/2006/relationships/hyperlink" Target="https://docs.google.com/spreadsheets/d/1vCOoengzj4u-lf-Olvw85ysitfzOfclGKPXAtoEPy0A/edit" TargetMode="External"/><Relationship Id="rId438" Type="http://schemas.openxmlformats.org/officeDocument/2006/relationships/hyperlink" Target="https://docs.google.com/spreadsheets/d/1P0ilCSyqA3dOMst3KNMcZ42cxp71XvTpe3tKMhYksN8/edit" TargetMode="External"/><Relationship Id="rId559" Type="http://schemas.openxmlformats.org/officeDocument/2006/relationships/hyperlink" Target="https://docs.google.com/spreadsheets/d/1P0ilCSyqA3dOMst3KNMcZ42cxp71XvTpe3tKMhYksN8/edit" TargetMode="External"/><Relationship Id="rId550" Type="http://schemas.openxmlformats.org/officeDocument/2006/relationships/hyperlink" Target="https://docs.google.com/spreadsheets/d/1P0ilCSyqA3dOMst3KNMcZ42cxp71XvTpe3tKMhYksN8/edit" TargetMode="External"/><Relationship Id="rId671" Type="http://schemas.openxmlformats.org/officeDocument/2006/relationships/hyperlink" Target="https://docs.google.com/spreadsheets/d/1d_dnULuhyFhAz_vzHPOr4a1463PBw6xMA3MZaClxQ5Q/edit" TargetMode="External"/><Relationship Id="rId670" Type="http://schemas.openxmlformats.org/officeDocument/2006/relationships/hyperlink" Target="https://docs.google.com/spreadsheets/d/1d_dnULuhyFhAz_vzHPOr4a1463PBw6xMA3MZaClxQ5Q/edit" TargetMode="External"/><Relationship Id="rId312" Type="http://schemas.openxmlformats.org/officeDocument/2006/relationships/hyperlink" Target="https://docs.google.com/spreadsheets/d/1vCOoengzj4u-lf-Olvw85ysitfzOfclGKPXAtoEPy0A/edit" TargetMode="External"/><Relationship Id="rId433" Type="http://schemas.openxmlformats.org/officeDocument/2006/relationships/hyperlink" Target="https://docs.google.com/spreadsheets/d/1P0ilCSyqA3dOMst3KNMcZ42cxp71XvTpe3tKMhYksN8/edit" TargetMode="External"/><Relationship Id="rId554" Type="http://schemas.openxmlformats.org/officeDocument/2006/relationships/hyperlink" Target="https://docs.google.com/spreadsheets/d/1P0ilCSyqA3dOMst3KNMcZ42cxp71XvTpe3tKMhYksN8/edit" TargetMode="External"/><Relationship Id="rId675" Type="http://schemas.openxmlformats.org/officeDocument/2006/relationships/hyperlink" Target="https://docs.google.com/spreadsheets/d/1d_dnULuhyFhAz_vzHPOr4a1463PBw6xMA3MZaClxQ5Q/edit" TargetMode="External"/><Relationship Id="rId311" Type="http://schemas.openxmlformats.org/officeDocument/2006/relationships/hyperlink" Target="https://docs.google.com/spreadsheets/d/1vCOoengzj4u-lf-Olvw85ysitfzOfclGKPXAtoEPy0A/edit" TargetMode="External"/><Relationship Id="rId432" Type="http://schemas.openxmlformats.org/officeDocument/2006/relationships/hyperlink" Target="https://docs.google.com/spreadsheets/d/1P0ilCSyqA3dOMst3KNMcZ42cxp71XvTpe3tKMhYksN8/edit" TargetMode="External"/><Relationship Id="rId553" Type="http://schemas.openxmlformats.org/officeDocument/2006/relationships/hyperlink" Target="https://docs.google.com/spreadsheets/d/1P0ilCSyqA3dOMst3KNMcZ42cxp71XvTpe3tKMhYksN8/edit" TargetMode="External"/><Relationship Id="rId674" Type="http://schemas.openxmlformats.org/officeDocument/2006/relationships/hyperlink" Target="https://docs.google.com/spreadsheets/d/1d_dnULuhyFhAz_vzHPOr4a1463PBw6xMA3MZaClxQ5Q/edit" TargetMode="External"/><Relationship Id="rId310" Type="http://schemas.openxmlformats.org/officeDocument/2006/relationships/hyperlink" Target="https://docs.google.com/spreadsheets/d/1vCOoengzj4u-lf-Olvw85ysitfzOfclGKPXAtoEPy0A/edit" TargetMode="External"/><Relationship Id="rId431" Type="http://schemas.openxmlformats.org/officeDocument/2006/relationships/hyperlink" Target="https://docs.google.com/spreadsheets/d/1P0ilCSyqA3dOMst3KNMcZ42cxp71XvTpe3tKMhYksN8/edit" TargetMode="External"/><Relationship Id="rId552" Type="http://schemas.openxmlformats.org/officeDocument/2006/relationships/hyperlink" Target="https://docs.google.com/spreadsheets/d/1P0ilCSyqA3dOMst3KNMcZ42cxp71XvTpe3tKMhYksN8/edit" TargetMode="External"/><Relationship Id="rId673" Type="http://schemas.openxmlformats.org/officeDocument/2006/relationships/hyperlink" Target="https://docs.google.com/spreadsheets/d/1d_dnULuhyFhAz_vzHPOr4a1463PBw6xMA3MZaClxQ5Q/edit" TargetMode="External"/><Relationship Id="rId430" Type="http://schemas.openxmlformats.org/officeDocument/2006/relationships/hyperlink" Target="https://docs.google.com/spreadsheets/d/1P0ilCSyqA3dOMst3KNMcZ42cxp71XvTpe3tKMhYksN8/edit" TargetMode="External"/><Relationship Id="rId551" Type="http://schemas.openxmlformats.org/officeDocument/2006/relationships/hyperlink" Target="https://docs.google.com/spreadsheets/d/1P0ilCSyqA3dOMst3KNMcZ42cxp71XvTpe3tKMhYksN8/edit" TargetMode="External"/><Relationship Id="rId672" Type="http://schemas.openxmlformats.org/officeDocument/2006/relationships/hyperlink" Target="https://docs.google.com/spreadsheets/d/1d_dnULuhyFhAz_vzHPOr4a1463PBw6xMA3MZaClxQ5Q/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4.88"/>
    <col customWidth="1" min="2" max="2" width="27.63"/>
    <col customWidth="1" min="3" max="14" width="11.75"/>
    <col customWidth="1" min="15" max="15" width="11.88"/>
    <col customWidth="1" min="16" max="16" width="14.0"/>
    <col customWidth="1" min="17" max="17" width="13.0"/>
  </cols>
  <sheetData>
    <row r="1" ht="21.0" customHeight="1">
      <c r="A1" s="1"/>
      <c r="B1" s="2">
        <v>2023.0</v>
      </c>
      <c r="C1" s="3" t="s">
        <v>0</v>
      </c>
      <c r="Q1" s="4"/>
    </row>
    <row r="2">
      <c r="A2" s="5" t="s">
        <v>1</v>
      </c>
      <c r="B2" s="5" t="s">
        <v>2</v>
      </c>
      <c r="C2" s="6" t="s">
        <v>3</v>
      </c>
      <c r="D2" s="6" t="s">
        <v>4</v>
      </c>
      <c r="E2" s="6" t="s">
        <v>5</v>
      </c>
      <c r="F2" s="6" t="s">
        <v>6</v>
      </c>
      <c r="G2" s="6" t="s">
        <v>7</v>
      </c>
      <c r="H2" s="6" t="s">
        <v>8</v>
      </c>
      <c r="I2" s="6" t="s">
        <v>9</v>
      </c>
      <c r="J2" s="6" t="s">
        <v>10</v>
      </c>
      <c r="K2" s="6" t="s">
        <v>11</v>
      </c>
      <c r="L2" s="6" t="s">
        <v>12</v>
      </c>
      <c r="M2" s="6" t="s">
        <v>13</v>
      </c>
      <c r="N2" s="6" t="s">
        <v>14</v>
      </c>
      <c r="O2" s="6" t="s">
        <v>15</v>
      </c>
      <c r="P2" s="7" t="s">
        <v>16</v>
      </c>
      <c r="Q2" s="5" t="s">
        <v>17</v>
      </c>
    </row>
    <row r="3" ht="25.5" customHeight="1">
      <c r="A3" s="8" t="s">
        <v>18</v>
      </c>
      <c r="B3" s="9" t="s">
        <v>19</v>
      </c>
      <c r="C3" s="10">
        <f t="shared" ref="C3:N3" si="1">sum(C4:C5)</f>
        <v>18.4</v>
      </c>
      <c r="D3" s="10">
        <f t="shared" si="1"/>
        <v>24.3</v>
      </c>
      <c r="E3" s="10">
        <f t="shared" si="1"/>
        <v>303.55</v>
      </c>
      <c r="F3" s="10">
        <f t="shared" si="1"/>
        <v>1041.289</v>
      </c>
      <c r="G3" s="10">
        <f t="shared" si="1"/>
        <v>692.1</v>
      </c>
      <c r="H3" s="10">
        <f t="shared" si="1"/>
        <v>15.8</v>
      </c>
      <c r="I3" s="10">
        <f t="shared" si="1"/>
        <v>42.45</v>
      </c>
      <c r="J3" s="10">
        <f t="shared" si="1"/>
        <v>24.75</v>
      </c>
      <c r="K3" s="10">
        <f t="shared" si="1"/>
        <v>457</v>
      </c>
      <c r="L3" s="10">
        <f t="shared" si="1"/>
        <v>747.159</v>
      </c>
      <c r="M3" s="10">
        <f t="shared" si="1"/>
        <v>49</v>
      </c>
      <c r="N3" s="10">
        <f t="shared" si="1"/>
        <v>51.4</v>
      </c>
      <c r="O3" s="10">
        <f t="shared" ref="O3:O14" si="2">sum(C3:N3)</f>
        <v>3467.198</v>
      </c>
      <c r="P3" s="10">
        <f>SUM(P4:P5)</f>
        <v>2900</v>
      </c>
      <c r="Q3" s="11">
        <f t="shared" ref="Q3:Q16" si="3">O3/P3</f>
        <v>1.195585517</v>
      </c>
    </row>
    <row r="4" ht="25.5" customHeight="1">
      <c r="A4" s="12"/>
      <c r="B4" s="13" t="str">
        <f>hyperlink("https://docs.google.com/spreadsheets/d/1w54z4NbyEbyjjJVyXvIK7OhyvnYLbtg7H9uK4YAXpNU/edit#gid=0","- Trung tâm PMXD")</f>
        <v>- Trung tâm PMXD</v>
      </c>
      <c r="C4" s="14">
        <v>4.0</v>
      </c>
      <c r="D4" s="14">
        <v>22.3</v>
      </c>
      <c r="E4" s="14">
        <v>293.1</v>
      </c>
      <c r="F4" s="14">
        <v>1032.539</v>
      </c>
      <c r="G4" s="14">
        <v>685.3</v>
      </c>
      <c r="H4" s="14">
        <v>7.8</v>
      </c>
      <c r="I4" s="14">
        <v>27.3</v>
      </c>
      <c r="J4" s="14">
        <v>12.0</v>
      </c>
      <c r="K4" s="14">
        <v>447.0</v>
      </c>
      <c r="L4" s="14">
        <v>745.659</v>
      </c>
      <c r="M4" s="14">
        <v>33.8</v>
      </c>
      <c r="N4" s="14">
        <v>39.0</v>
      </c>
      <c r="O4" s="15">
        <f t="shared" si="2"/>
        <v>3349.798</v>
      </c>
      <c r="P4" s="14">
        <v>2600.0</v>
      </c>
      <c r="Q4" s="16">
        <f t="shared" si="3"/>
        <v>1.288383846</v>
      </c>
    </row>
    <row r="5" ht="25.5" customHeight="1">
      <c r="A5" s="12"/>
      <c r="B5" s="13" t="str">
        <f>hyperlink("https://docs.google.com/spreadsheets/d/1P0ilCSyqA3dOMst3KNMcZ42cxp71XvTpe3tKMhYksN8/edit#gid=2074483897","- Chi nhánh")</f>
        <v>- Chi nhánh</v>
      </c>
      <c r="C5" s="17">
        <v>14.4</v>
      </c>
      <c r="D5" s="14">
        <v>2.0</v>
      </c>
      <c r="E5" s="14">
        <v>10.45</v>
      </c>
      <c r="F5" s="14">
        <v>8.75</v>
      </c>
      <c r="G5" s="14">
        <v>6.8</v>
      </c>
      <c r="H5" s="14">
        <v>8.0</v>
      </c>
      <c r="I5" s="14">
        <v>15.15</v>
      </c>
      <c r="J5" s="14">
        <v>12.75</v>
      </c>
      <c r="K5" s="14">
        <v>10.0</v>
      </c>
      <c r="L5" s="14">
        <v>1.5</v>
      </c>
      <c r="M5" s="14">
        <v>15.2</v>
      </c>
      <c r="N5" s="14">
        <v>12.4</v>
      </c>
      <c r="O5" s="15">
        <f t="shared" si="2"/>
        <v>117.4</v>
      </c>
      <c r="P5" s="14">
        <v>300.0</v>
      </c>
      <c r="Q5" s="16">
        <f t="shared" si="3"/>
        <v>0.3913333333</v>
      </c>
    </row>
    <row r="6" ht="25.5" customHeight="1">
      <c r="A6" s="8" t="s">
        <v>20</v>
      </c>
      <c r="B6" s="9" t="s">
        <v>21</v>
      </c>
      <c r="C6" s="10">
        <f t="shared" ref="C6:N6" si="4">SUM(C7:C8)</f>
        <v>11141.8704</v>
      </c>
      <c r="D6" s="10">
        <f t="shared" si="4"/>
        <v>4449.9044</v>
      </c>
      <c r="E6" s="10">
        <f t="shared" si="4"/>
        <v>6862.7008</v>
      </c>
      <c r="F6" s="10">
        <f t="shared" si="4"/>
        <v>3969.1376</v>
      </c>
      <c r="G6" s="10">
        <f t="shared" si="4"/>
        <v>13220.95417</v>
      </c>
      <c r="H6" s="10">
        <f t="shared" si="4"/>
        <v>5686.356272</v>
      </c>
      <c r="I6" s="10">
        <f t="shared" si="4"/>
        <v>5404.89479</v>
      </c>
      <c r="J6" s="10">
        <f t="shared" si="4"/>
        <v>9946.7327</v>
      </c>
      <c r="K6" s="10">
        <f t="shared" si="4"/>
        <v>16999.8662</v>
      </c>
      <c r="L6" s="10">
        <f t="shared" si="4"/>
        <v>4451.52595</v>
      </c>
      <c r="M6" s="10">
        <f t="shared" si="4"/>
        <v>10501.52472</v>
      </c>
      <c r="N6" s="10">
        <f t="shared" si="4"/>
        <v>11714.54573</v>
      </c>
      <c r="O6" s="10">
        <f t="shared" si="2"/>
        <v>104350.0137</v>
      </c>
      <c r="P6" s="10">
        <f>P8+P7</f>
        <v>67000</v>
      </c>
      <c r="Q6" s="11">
        <f t="shared" si="3"/>
        <v>1.557462891</v>
      </c>
    </row>
    <row r="7" ht="25.5" customHeight="1">
      <c r="A7" s="12"/>
      <c r="B7" s="13" t="str">
        <f>hyperlink("https://docs.google.com/spreadsheets/d/1vCOoengzj4u-lf-Olvw85ysitfzOfclGKPXAtoEPy0A/edit#gid=663001998","- Trung tâm DCS")</f>
        <v>- Trung tâm DCS</v>
      </c>
      <c r="C7" s="14">
        <v>9685.523</v>
      </c>
      <c r="D7" s="14">
        <v>1880.838</v>
      </c>
      <c r="E7" s="14">
        <v>3351.417</v>
      </c>
      <c r="F7" s="14">
        <v>1907.985</v>
      </c>
      <c r="G7" s="14">
        <v>8056.94324</v>
      </c>
      <c r="H7" s="14">
        <v>2855.0532</v>
      </c>
      <c r="I7" s="14">
        <v>1569.616</v>
      </c>
      <c r="J7" s="14">
        <v>7299.0959</v>
      </c>
      <c r="K7" s="14">
        <v>15528.049</v>
      </c>
      <c r="L7" s="14">
        <v>2349.481</v>
      </c>
      <c r="M7" s="14">
        <v>4238.95214</v>
      </c>
      <c r="N7" s="14">
        <v>9274.11655</v>
      </c>
      <c r="O7" s="15">
        <f t="shared" si="2"/>
        <v>67997.07003</v>
      </c>
      <c r="P7" s="14">
        <v>32000.0</v>
      </c>
      <c r="Q7" s="16">
        <f t="shared" si="3"/>
        <v>2.124908438</v>
      </c>
    </row>
    <row r="8" ht="25.5" customHeight="1">
      <c r="A8" s="12"/>
      <c r="B8" s="13" t="str">
        <f>hyperlink("https://docs.google.com/spreadsheets/d/1P0ilCSyqA3dOMst3KNMcZ42cxp71XvTpe3tKMhYksN8/edit#gid=1340171929","- Chi nhánh")</f>
        <v>- Chi nhánh</v>
      </c>
      <c r="C8" s="14">
        <v>1456.3474</v>
      </c>
      <c r="D8" s="14">
        <v>2569.0664</v>
      </c>
      <c r="E8" s="14">
        <v>3511.2838</v>
      </c>
      <c r="F8" s="18">
        <v>2061.1526</v>
      </c>
      <c r="G8" s="19">
        <v>5164.01093</v>
      </c>
      <c r="H8" s="19">
        <v>2831.303072</v>
      </c>
      <c r="I8" s="19">
        <v>3835.27879</v>
      </c>
      <c r="J8" s="19">
        <v>2647.6368</v>
      </c>
      <c r="K8" s="19">
        <v>1471.8172</v>
      </c>
      <c r="L8" s="19">
        <v>2102.04495</v>
      </c>
      <c r="M8" s="19">
        <v>6262.572577777778</v>
      </c>
      <c r="N8" s="19">
        <v>2440.42918</v>
      </c>
      <c r="O8" s="15">
        <f t="shared" si="2"/>
        <v>36352.9437</v>
      </c>
      <c r="P8" s="14">
        <v>35000.0</v>
      </c>
      <c r="Q8" s="16">
        <f t="shared" si="3"/>
        <v>1.038655534</v>
      </c>
    </row>
    <row r="9" ht="25.5" customHeight="1">
      <c r="A9" s="8" t="s">
        <v>22</v>
      </c>
      <c r="B9" s="20" t="str">
        <f>hyperlink("https://docs.google.com/spreadsheets/d/1d_dnULuhyFhAz_vzHPOr4a1463PBw6xMA3MZaClxQ5Q/edit#gid=0","Trung tâm STC")</f>
        <v>Trung tâm STC</v>
      </c>
      <c r="C9" s="21">
        <v>330.0</v>
      </c>
      <c r="D9" s="21">
        <v>917.62</v>
      </c>
      <c r="E9" s="21">
        <v>12937.9625</v>
      </c>
      <c r="F9" s="21"/>
      <c r="G9" s="21">
        <v>0.0</v>
      </c>
      <c r="H9" s="21">
        <v>2379.407068</v>
      </c>
      <c r="I9" s="21">
        <v>270.721</v>
      </c>
      <c r="J9" s="21">
        <v>2629.784</v>
      </c>
      <c r="K9" s="21">
        <v>2637.5</v>
      </c>
      <c r="L9" s="21">
        <v>1976.15225</v>
      </c>
      <c r="M9" s="21">
        <v>3975.407</v>
      </c>
      <c r="N9" s="21">
        <v>1280.21425</v>
      </c>
      <c r="O9" s="10">
        <f t="shared" si="2"/>
        <v>29334.76807</v>
      </c>
      <c r="P9" s="21">
        <f>29000*3.8/4</f>
        <v>27550</v>
      </c>
      <c r="Q9" s="11">
        <f t="shared" si="3"/>
        <v>1.06478287</v>
      </c>
    </row>
    <row r="10" ht="25.5" customHeight="1">
      <c r="A10" s="22" t="s">
        <v>23</v>
      </c>
      <c r="B10" s="23" t="str">
        <f>hyperlink("https://docs.google.com/spreadsheets/d/15oR4AzHb3aObQVH2-iOM0BUe860L_hQgGGLP9Y6meI0/edit#gid=0","Trung tâm TVDA")</f>
        <v>Trung tâm TVDA</v>
      </c>
      <c r="C10" s="21">
        <v>0.0</v>
      </c>
      <c r="D10" s="21">
        <v>0.0</v>
      </c>
      <c r="E10" s="21">
        <v>328.763733</v>
      </c>
      <c r="F10" s="21">
        <v>0.0</v>
      </c>
      <c r="G10" s="21">
        <v>0.0</v>
      </c>
      <c r="H10" s="21">
        <v>0.0</v>
      </c>
      <c r="I10" s="21">
        <v>2.16</v>
      </c>
      <c r="J10" s="21">
        <v>26.028</v>
      </c>
      <c r="K10" s="21">
        <v>11.265</v>
      </c>
      <c r="L10" s="21">
        <v>210.968</v>
      </c>
      <c r="M10" s="21">
        <v>44.16042</v>
      </c>
      <c r="N10" s="21">
        <v>0.0</v>
      </c>
      <c r="O10" s="10">
        <f t="shared" si="2"/>
        <v>623.345153</v>
      </c>
      <c r="P10" s="21">
        <v>1500.0</v>
      </c>
      <c r="Q10" s="11">
        <f t="shared" si="3"/>
        <v>0.4155634353</v>
      </c>
    </row>
    <row r="11" ht="25.5" customHeight="1">
      <c r="A11" s="22" t="s">
        <v>24</v>
      </c>
      <c r="B11" s="23" t="str">
        <f>hyperlink("https://docs.google.com/spreadsheets/d/1hB-HxXul-KU7Tqz0qiYJ2YdQ3FS-235QFmwHQIzdQR0/edit#gid=0","Trung tâm TVXD")</f>
        <v>Trung tâm TVXD</v>
      </c>
      <c r="C11" s="21">
        <v>0.0</v>
      </c>
      <c r="D11" s="21"/>
      <c r="E11" s="21"/>
      <c r="F11" s="21">
        <v>0.0</v>
      </c>
      <c r="G11" s="21">
        <v>0.0</v>
      </c>
      <c r="H11" s="21"/>
      <c r="I11" s="21">
        <v>0.0</v>
      </c>
      <c r="J11" s="21"/>
      <c r="K11" s="21"/>
      <c r="L11" s="21">
        <v>0.0</v>
      </c>
      <c r="M11" s="21">
        <v>0.0</v>
      </c>
      <c r="N11" s="21">
        <v>0.0</v>
      </c>
      <c r="O11" s="10">
        <f t="shared" si="2"/>
        <v>0</v>
      </c>
      <c r="P11" s="21">
        <v>3000.0</v>
      </c>
      <c r="Q11" s="11">
        <f t="shared" si="3"/>
        <v>0</v>
      </c>
    </row>
    <row r="12" ht="25.5" customHeight="1">
      <c r="A12" s="22" t="s">
        <v>23</v>
      </c>
      <c r="B12" s="24" t="str">
        <f>HYPERLINK("https://docs.google.com/spreadsheets/d/1_2CNBES8nIYbHQusNB5GWqUCMVnT3BGVbsPgLxWwUCw/edit#gid=0","Trung tâm TMB")</f>
        <v>Trung tâm TMB</v>
      </c>
      <c r="C12" s="21">
        <v>0.0</v>
      </c>
      <c r="D12" s="21">
        <v>308.0</v>
      </c>
      <c r="E12" s="21">
        <v>5.3</v>
      </c>
      <c r="F12" s="21">
        <v>36.5</v>
      </c>
      <c r="G12" s="21">
        <v>125.0</v>
      </c>
      <c r="H12" s="21">
        <v>0.0</v>
      </c>
      <c r="I12" s="21">
        <v>140.0</v>
      </c>
      <c r="J12" s="21">
        <v>45.8</v>
      </c>
      <c r="K12" s="21">
        <v>60.0</v>
      </c>
      <c r="L12" s="21">
        <v>0.0</v>
      </c>
      <c r="M12" s="21">
        <v>260.22</v>
      </c>
      <c r="N12" s="21">
        <v>0.0</v>
      </c>
      <c r="O12" s="10">
        <f t="shared" si="2"/>
        <v>980.82</v>
      </c>
      <c r="P12" s="21">
        <v>6500.0</v>
      </c>
      <c r="Q12" s="11">
        <f t="shared" si="3"/>
        <v>0.1508953846</v>
      </c>
    </row>
    <row r="13" ht="25.5" customHeight="1">
      <c r="A13" s="22" t="s">
        <v>25</v>
      </c>
      <c r="B13" s="25" t="str">
        <f>HYPERLINK("https://docs.google.com/spreadsheets/d/1zDciZ8Q2y6PpEHkfkC5QQmjwMAmv6-RHvnczqFOvtSQ/edit#gid=0","Các lĩnh vực khác")</f>
        <v>Các lĩnh vực khác</v>
      </c>
      <c r="C13" s="21">
        <v>0.0</v>
      </c>
      <c r="D13" s="21"/>
      <c r="E13" s="10"/>
      <c r="F13" s="10"/>
      <c r="G13" s="21"/>
      <c r="H13" s="10"/>
      <c r="I13" s="10"/>
      <c r="J13" s="10"/>
      <c r="K13" s="10"/>
      <c r="L13" s="10"/>
      <c r="M13" s="10"/>
      <c r="N13" s="21"/>
      <c r="O13" s="10">
        <f t="shared" si="2"/>
        <v>0</v>
      </c>
      <c r="P13" s="21">
        <v>1000.0</v>
      </c>
      <c r="Q13" s="11">
        <f t="shared" si="3"/>
        <v>0</v>
      </c>
    </row>
    <row r="14" ht="25.5" customHeight="1">
      <c r="A14" s="22" t="s">
        <v>26</v>
      </c>
      <c r="B14" s="9" t="s">
        <v>27</v>
      </c>
      <c r="C14" s="26">
        <f t="shared" ref="C14:N14" si="5">SUM(C15:C16)</f>
        <v>11490.2704</v>
      </c>
      <c r="D14" s="27">
        <f t="shared" si="5"/>
        <v>5699.8244</v>
      </c>
      <c r="E14" s="27">
        <f t="shared" si="5"/>
        <v>20438.27703</v>
      </c>
      <c r="F14" s="27">
        <f t="shared" si="5"/>
        <v>5046.9266</v>
      </c>
      <c r="G14" s="27">
        <f t="shared" si="5"/>
        <v>14038.05417</v>
      </c>
      <c r="H14" s="27">
        <f t="shared" si="5"/>
        <v>8081.56334</v>
      </c>
      <c r="I14" s="27">
        <f t="shared" si="5"/>
        <v>5860.22579</v>
      </c>
      <c r="J14" s="27">
        <f t="shared" si="5"/>
        <v>12673.0947</v>
      </c>
      <c r="K14" s="27">
        <f t="shared" si="5"/>
        <v>20165.6312</v>
      </c>
      <c r="L14" s="27">
        <f t="shared" si="5"/>
        <v>7385.8052</v>
      </c>
      <c r="M14" s="27">
        <f t="shared" si="5"/>
        <v>14830.31214</v>
      </c>
      <c r="N14" s="27">
        <f t="shared" si="5"/>
        <v>13046.15998</v>
      </c>
      <c r="O14" s="28">
        <f t="shared" si="2"/>
        <v>138756.145</v>
      </c>
      <c r="P14" s="10">
        <f>P16+P15</f>
        <v>109450</v>
      </c>
      <c r="Q14" s="11">
        <f t="shared" si="3"/>
        <v>1.267758291</v>
      </c>
    </row>
    <row r="15" ht="25.5" customHeight="1">
      <c r="A15" s="29"/>
      <c r="B15" s="30" t="s">
        <v>28</v>
      </c>
      <c r="C15" s="31">
        <f t="shared" ref="C15:N15" si="6">C4+C7+C9+C10+C11+C12+C13</f>
        <v>10019.523</v>
      </c>
      <c r="D15" s="31">
        <f t="shared" si="6"/>
        <v>3128.758</v>
      </c>
      <c r="E15" s="31">
        <f t="shared" si="6"/>
        <v>16916.54323</v>
      </c>
      <c r="F15" s="31">
        <f t="shared" si="6"/>
        <v>2977.024</v>
      </c>
      <c r="G15" s="31">
        <f t="shared" si="6"/>
        <v>8867.24324</v>
      </c>
      <c r="H15" s="31">
        <f t="shared" si="6"/>
        <v>5242.260268</v>
      </c>
      <c r="I15" s="31">
        <f t="shared" si="6"/>
        <v>2009.797</v>
      </c>
      <c r="J15" s="31">
        <f t="shared" si="6"/>
        <v>10012.7079</v>
      </c>
      <c r="K15" s="31">
        <f t="shared" si="6"/>
        <v>18683.814</v>
      </c>
      <c r="L15" s="31">
        <f t="shared" si="6"/>
        <v>5282.26025</v>
      </c>
      <c r="M15" s="31">
        <f t="shared" si="6"/>
        <v>8552.53956</v>
      </c>
      <c r="N15" s="31">
        <f t="shared" si="6"/>
        <v>10593.3308</v>
      </c>
      <c r="O15" s="31">
        <f t="shared" ref="O15:O17" si="8">SUM(C15:N15)</f>
        <v>102285.8013</v>
      </c>
      <c r="P15" s="31">
        <f>P4+P7+P9+P10+P11+P12+P13</f>
        <v>74150</v>
      </c>
      <c r="Q15" s="16">
        <f t="shared" si="3"/>
        <v>1.379444386</v>
      </c>
    </row>
    <row r="16" ht="25.5" customHeight="1">
      <c r="A16" s="29"/>
      <c r="B16" s="30" t="s">
        <v>29</v>
      </c>
      <c r="C16" s="31">
        <f t="shared" ref="C16:N16" si="7">C5+C8</f>
        <v>1470.7474</v>
      </c>
      <c r="D16" s="31">
        <f t="shared" si="7"/>
        <v>2571.0664</v>
      </c>
      <c r="E16" s="31">
        <f t="shared" si="7"/>
        <v>3521.7338</v>
      </c>
      <c r="F16" s="31">
        <f t="shared" si="7"/>
        <v>2069.9026</v>
      </c>
      <c r="G16" s="31">
        <f t="shared" si="7"/>
        <v>5170.81093</v>
      </c>
      <c r="H16" s="31">
        <f t="shared" si="7"/>
        <v>2839.303072</v>
      </c>
      <c r="I16" s="31">
        <f t="shared" si="7"/>
        <v>3850.42879</v>
      </c>
      <c r="J16" s="31">
        <f t="shared" si="7"/>
        <v>2660.3868</v>
      </c>
      <c r="K16" s="31">
        <f t="shared" si="7"/>
        <v>1481.8172</v>
      </c>
      <c r="L16" s="31">
        <f t="shared" si="7"/>
        <v>2103.54495</v>
      </c>
      <c r="M16" s="31">
        <f t="shared" si="7"/>
        <v>6277.772578</v>
      </c>
      <c r="N16" s="31">
        <f t="shared" si="7"/>
        <v>2452.82918</v>
      </c>
      <c r="O16" s="31">
        <f t="shared" si="8"/>
        <v>36470.3437</v>
      </c>
      <c r="P16" s="31">
        <f>P5+P8</f>
        <v>35300</v>
      </c>
      <c r="Q16" s="16">
        <f t="shared" si="3"/>
        <v>1.033154212</v>
      </c>
    </row>
    <row r="17" ht="25.5" customHeight="1">
      <c r="A17" s="32"/>
      <c r="B17" s="33" t="s">
        <v>30</v>
      </c>
      <c r="C17" s="34">
        <f>IFERROR(__xludf.DUMMYFUNCTION("IMPORTRANGE(""1pVVPsJRZuZTfMAbYsuMVtd5oqiAJQKt_FCZMxv4OMEk"", ""Sản lượng ký kết!C14"")"),1952.0050999999999)</f>
        <v>1952.0051</v>
      </c>
      <c r="D17" s="34">
        <f>IFERROR(__xludf.DUMMYFUNCTION("IMPORTRANGE(""1pVVPsJRZuZTfMAbYsuMVtd5oqiAJQKt_FCZMxv4OMEk"", ""Sản lượng ký kết!D14"")"),10282.0078)</f>
        <v>10282.0078</v>
      </c>
      <c r="E17" s="34">
        <f>IFERROR(__xludf.DUMMYFUNCTION("IMPORTRANGE(""1pVVPsJRZuZTfMAbYsuMVtd5oqiAJQKt_FCZMxv4OMEk"", ""Sản lượng ký kết!E14"")"),8027.8570629999995)</f>
        <v>8027.857063</v>
      </c>
      <c r="F17" s="34">
        <f>IFERROR(__xludf.DUMMYFUNCTION("IMPORTRANGE(""1pVVPsJRZuZTfMAbYsuMVtd5oqiAJQKt_FCZMxv4OMEk"", ""Sản lượng ký kết!f14"")"),4496.32245)</f>
        <v>4496.32245</v>
      </c>
      <c r="G17" s="34">
        <f>IFERROR(__xludf.DUMMYFUNCTION("IMPORTRANGE(""1pVVPsJRZuZTfMAbYsuMVtd5oqiAJQKt_FCZMxv4OMEk"", ""Sản lượng ký kết!g14"")"),7986.195795)</f>
        <v>7986.195795</v>
      </c>
      <c r="H17" s="34">
        <f>IFERROR(__xludf.DUMMYFUNCTION("IMPORTRANGE(""1pVVPsJRZuZTfMAbYsuMVtd5oqiAJQKt_FCZMxv4OMEk"", ""Sản lượng ký kết!h14"")"),9755.56469)</f>
        <v>9755.56469</v>
      </c>
      <c r="I17" s="34">
        <f>IFERROR(__xludf.DUMMYFUNCTION("IMPORTRANGE(""1pVVPsJRZuZTfMAbYsuMVtd5oqiAJQKt_FCZMxv4OMEk"", ""Sản lượng ký kết!i14"")"),12048.8342)</f>
        <v>12048.8342</v>
      </c>
      <c r="J17" s="34">
        <f>IFERROR(__xludf.DUMMYFUNCTION("IMPORTRANGE(""1pVVPsJRZuZTfMAbYsuMVtd5oqiAJQKt_FCZMxv4OMEk"", ""Sản lượng ký kết!j14"")"),6463.7398)</f>
        <v>6463.7398</v>
      </c>
      <c r="K17" s="34">
        <f>IFERROR(__xludf.DUMMYFUNCTION("IMPORTRANGE(""1pVVPsJRZuZTfMAbYsuMVtd5oqiAJQKt_FCZMxv4OMEk"", ""Sản lượng ký kết!k14"")"),10128.5694)</f>
        <v>10128.5694</v>
      </c>
      <c r="L17" s="34">
        <f>IFERROR(__xludf.DUMMYFUNCTION("IMPORTRANGE(""1pVVPsJRZuZTfMAbYsuMVtd5oqiAJQKt_FCZMxv4OMEk"", ""Sản lượng ký kết!l14"")"),15853.552585)</f>
        <v>15853.55259</v>
      </c>
      <c r="M17" s="34">
        <f>IFERROR(__xludf.DUMMYFUNCTION("IMPORTRANGE(""1pVVPsJRZuZTfMAbYsuMVtd5oqiAJQKt_FCZMxv4OMEk"", ""Sản lượng ký kết!m14"")"),18714.146304)</f>
        <v>18714.1463</v>
      </c>
      <c r="N17" s="34">
        <f>IFERROR(__xludf.DUMMYFUNCTION("IMPORTRANGE(""1pVVPsJRZuZTfMAbYsuMVtd5oqiAJQKt_FCZMxv4OMEk"", ""Sản lượng ký kết!n14"")"),7567.379999999999)</f>
        <v>7567.38</v>
      </c>
      <c r="O17" s="10">
        <f t="shared" si="8"/>
        <v>113276.1752</v>
      </c>
      <c r="P17" s="35"/>
      <c r="Q17" s="11"/>
    </row>
    <row r="18" ht="25.5" customHeight="1">
      <c r="A18" s="32"/>
      <c r="B18" s="33" t="s">
        <v>31</v>
      </c>
      <c r="C18" s="11">
        <f t="shared" ref="C18:O18" si="9">C14/C17</f>
        <v>5.886393637</v>
      </c>
      <c r="D18" s="11">
        <f t="shared" si="9"/>
        <v>0.5543493558</v>
      </c>
      <c r="E18" s="11">
        <f t="shared" si="9"/>
        <v>2.545919399</v>
      </c>
      <c r="F18" s="11">
        <f t="shared" si="9"/>
        <v>1.122456553</v>
      </c>
      <c r="G18" s="11">
        <f t="shared" si="9"/>
        <v>1.757789883</v>
      </c>
      <c r="H18" s="11">
        <f t="shared" si="9"/>
        <v>0.8284054893</v>
      </c>
      <c r="I18" s="11">
        <f t="shared" si="9"/>
        <v>0.4863728468</v>
      </c>
      <c r="J18" s="11">
        <f t="shared" si="9"/>
        <v>1.960644316</v>
      </c>
      <c r="K18" s="11">
        <f t="shared" si="9"/>
        <v>1.990965397</v>
      </c>
      <c r="L18" s="11">
        <f t="shared" si="9"/>
        <v>0.46587698</v>
      </c>
      <c r="M18" s="11">
        <f t="shared" si="9"/>
        <v>0.7924653306</v>
      </c>
      <c r="N18" s="11">
        <f t="shared" si="9"/>
        <v>1.723999585</v>
      </c>
      <c r="O18" s="11">
        <f t="shared" si="9"/>
        <v>1.224936706</v>
      </c>
      <c r="P18" s="35"/>
      <c r="Q18" s="36"/>
    </row>
    <row r="19" ht="25.5" customHeight="1">
      <c r="A19" s="32"/>
      <c r="B19" s="9" t="s">
        <v>32</v>
      </c>
      <c r="C19" s="11"/>
      <c r="D19" s="11">
        <f t="shared" ref="D19:N19" si="10">sum($C14:D14)/sum($C17:D17)</f>
        <v>1.405106807</v>
      </c>
      <c r="E19" s="11">
        <f t="shared" si="10"/>
        <v>1.857102622</v>
      </c>
      <c r="F19" s="11">
        <f t="shared" si="10"/>
        <v>1.723683931</v>
      </c>
      <c r="G19" s="11">
        <f t="shared" si="10"/>
        <v>1.732002206</v>
      </c>
      <c r="H19" s="11">
        <f t="shared" si="10"/>
        <v>1.524587947</v>
      </c>
      <c r="I19" s="11">
        <f t="shared" si="10"/>
        <v>1.295265129</v>
      </c>
      <c r="J19" s="11">
        <f t="shared" si="10"/>
        <v>1.365756193</v>
      </c>
      <c r="K19" s="11">
        <f t="shared" si="10"/>
        <v>1.454769086</v>
      </c>
      <c r="L19" s="11">
        <f t="shared" si="10"/>
        <v>1.274557392</v>
      </c>
      <c r="M19" s="11">
        <f t="shared" si="10"/>
        <v>1.189210271</v>
      </c>
      <c r="N19" s="11">
        <f t="shared" si="10"/>
        <v>1.224936706</v>
      </c>
      <c r="O19" s="37" t="s">
        <v>33</v>
      </c>
      <c r="P19" s="38">
        <v>70000.0</v>
      </c>
      <c r="Q19" s="37">
        <f>O14/P19</f>
        <v>1.982230642</v>
      </c>
    </row>
  </sheetData>
  <mergeCells count="1">
    <mergeCell ref="C1:P1"/>
  </mergeCells>
  <conditionalFormatting sqref="C18:N19">
    <cfRule type="cellIs" dxfId="0" priority="1" operator="greaterThan">
      <formula>1</formula>
    </cfRule>
  </conditionalFormatting>
  <conditionalFormatting sqref="O18">
    <cfRule type="cellIs" dxfId="0" priority="2" operator="greaterThan">
      <formula>1</formula>
    </cfRule>
  </conditionalFormatting>
  <conditionalFormatting sqref="C18:N19">
    <cfRule type="cellIs" dxfId="1" priority="3" operator="lessThan">
      <formula>1</formula>
    </cfRule>
  </conditionalFormatting>
  <conditionalFormatting sqref="O18">
    <cfRule type="cellIs" dxfId="1" priority="4" operator="lessThan">
      <formula>1</formula>
    </cfRule>
  </conditionalFormatting>
  <printOptions horizontalCentered="1"/>
  <pageMargins bottom="0.75" footer="0.0" header="0.0" left="0.25" right="0.25" top="0.75"/>
  <pageSetup paperSize="9"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4.88"/>
    <col customWidth="1" min="2" max="2" width="26.63"/>
    <col customWidth="1" min="3" max="14" width="11.75"/>
    <col customWidth="1" min="15" max="15" width="11.88"/>
    <col customWidth="1" min="16" max="16" width="14.0"/>
    <col customWidth="1" min="17" max="17" width="13.0"/>
  </cols>
  <sheetData>
    <row r="1" ht="21.0" customHeight="1">
      <c r="A1" s="39"/>
      <c r="B1" s="2">
        <v>2023.0</v>
      </c>
      <c r="C1" s="3" t="s">
        <v>34</v>
      </c>
      <c r="Q1" s="4"/>
    </row>
    <row r="2">
      <c r="A2" s="5" t="s">
        <v>1</v>
      </c>
      <c r="B2" s="5" t="s">
        <v>2</v>
      </c>
      <c r="C2" s="6" t="s">
        <v>3</v>
      </c>
      <c r="D2" s="6" t="s">
        <v>4</v>
      </c>
      <c r="E2" s="6" t="s">
        <v>5</v>
      </c>
      <c r="F2" s="6" t="s">
        <v>6</v>
      </c>
      <c r="G2" s="6" t="s">
        <v>7</v>
      </c>
      <c r="H2" s="6" t="s">
        <v>8</v>
      </c>
      <c r="I2" s="6" t="s">
        <v>9</v>
      </c>
      <c r="J2" s="6" t="s">
        <v>10</v>
      </c>
      <c r="K2" s="6" t="s">
        <v>11</v>
      </c>
      <c r="L2" s="6" t="s">
        <v>12</v>
      </c>
      <c r="M2" s="6" t="s">
        <v>13</v>
      </c>
      <c r="N2" s="6" t="s">
        <v>14</v>
      </c>
      <c r="O2" s="6" t="s">
        <v>15</v>
      </c>
      <c r="P2" s="7" t="s">
        <v>16</v>
      </c>
      <c r="Q2" s="5" t="s">
        <v>17</v>
      </c>
    </row>
    <row r="3" ht="25.5" customHeight="1">
      <c r="A3" s="8" t="s">
        <v>18</v>
      </c>
      <c r="B3" s="9" t="s">
        <v>19</v>
      </c>
      <c r="C3" s="10">
        <f t="shared" ref="C3:N3" si="1">sum(C4:C5)</f>
        <v>10</v>
      </c>
      <c r="D3" s="10">
        <f t="shared" si="1"/>
        <v>43.9</v>
      </c>
      <c r="E3" s="10">
        <f t="shared" si="1"/>
        <v>52.95</v>
      </c>
      <c r="F3" s="10">
        <f t="shared" si="1"/>
        <v>8.75</v>
      </c>
      <c r="G3" s="10">
        <f t="shared" si="1"/>
        <v>15.3</v>
      </c>
      <c r="H3" s="10">
        <f t="shared" si="1"/>
        <v>9.5</v>
      </c>
      <c r="I3" s="10">
        <f t="shared" si="1"/>
        <v>46.65</v>
      </c>
      <c r="J3" s="10">
        <f t="shared" si="1"/>
        <v>21.15</v>
      </c>
      <c r="K3" s="10">
        <f t="shared" si="1"/>
        <v>19.5</v>
      </c>
      <c r="L3" s="10">
        <f t="shared" si="1"/>
        <v>708.314815</v>
      </c>
      <c r="M3" s="10">
        <f t="shared" si="1"/>
        <v>556.207068</v>
      </c>
      <c r="N3" s="10">
        <f t="shared" si="1"/>
        <v>1738.652357</v>
      </c>
      <c r="O3" s="10">
        <f t="shared" ref="O3:O12" si="2">sum(C3:N3)</f>
        <v>3230.87424</v>
      </c>
      <c r="P3" s="10">
        <f>SUM(P4:P5)</f>
        <v>2800</v>
      </c>
      <c r="Q3" s="11">
        <f t="shared" ref="Q3:Q16" si="3">O3/P3</f>
        <v>1.153883657</v>
      </c>
    </row>
    <row r="4" ht="25.5" customHeight="1">
      <c r="A4" s="12"/>
      <c r="B4" s="13" t="str">
        <f>hyperlink("https://docs.google.com/spreadsheets/d/1w54z4NbyEbyjjJVyXvIK7OhyvnYLbtg7H9uK4YAXpNU/edit#gid=0","- Trung tâm PMXD")</f>
        <v>- Trung tâm PMXD</v>
      </c>
      <c r="C4" s="14">
        <v>10.0</v>
      </c>
      <c r="D4" s="14">
        <v>27.5</v>
      </c>
      <c r="E4" s="14">
        <v>42.5</v>
      </c>
      <c r="F4" s="14"/>
      <c r="G4" s="14">
        <v>8.5</v>
      </c>
      <c r="H4" s="14">
        <v>9.5</v>
      </c>
      <c r="I4" s="14">
        <v>23.5</v>
      </c>
      <c r="J4" s="14">
        <v>8.4</v>
      </c>
      <c r="K4" s="14">
        <v>8.0</v>
      </c>
      <c r="L4" s="14">
        <v>708.314815</v>
      </c>
      <c r="M4" s="14">
        <v>541.007068</v>
      </c>
      <c r="N4" s="14">
        <v>1726.252357</v>
      </c>
      <c r="O4" s="15">
        <f t="shared" si="2"/>
        <v>3113.47424</v>
      </c>
      <c r="P4" s="14">
        <v>2500.0</v>
      </c>
      <c r="Q4" s="16">
        <f t="shared" si="3"/>
        <v>1.245389696</v>
      </c>
    </row>
    <row r="5" ht="25.5" customHeight="1">
      <c r="A5" s="12"/>
      <c r="B5" s="13" t="str">
        <f>hyperlink("https://docs.google.com/spreadsheets/d/1P0ilCSyqA3dOMst3KNMcZ42cxp71XvTpe3tKMhYksN8/edit#gid=2074483897","- Chi nhánh")</f>
        <v>- Chi nhánh</v>
      </c>
      <c r="C5" s="17"/>
      <c r="D5" s="14">
        <v>16.4</v>
      </c>
      <c r="E5" s="14">
        <v>10.45</v>
      </c>
      <c r="F5" s="14">
        <v>8.75</v>
      </c>
      <c r="G5" s="14">
        <v>6.8</v>
      </c>
      <c r="H5" s="14"/>
      <c r="I5" s="14">
        <v>23.15</v>
      </c>
      <c r="J5" s="14">
        <v>12.75</v>
      </c>
      <c r="K5" s="14">
        <v>11.5</v>
      </c>
      <c r="L5" s="14"/>
      <c r="M5" s="14">
        <v>15.2</v>
      </c>
      <c r="N5" s="14">
        <v>12.4</v>
      </c>
      <c r="O5" s="15">
        <f t="shared" si="2"/>
        <v>117.4</v>
      </c>
      <c r="P5" s="14">
        <v>300.0</v>
      </c>
      <c r="Q5" s="16">
        <f t="shared" si="3"/>
        <v>0.3913333333</v>
      </c>
    </row>
    <row r="6" ht="25.5" customHeight="1">
      <c r="A6" s="8" t="s">
        <v>20</v>
      </c>
      <c r="B6" s="9" t="s">
        <v>21</v>
      </c>
      <c r="C6" s="10">
        <f t="shared" ref="C6:N6" si="4">SUM(C7:C8)</f>
        <v>951.9737</v>
      </c>
      <c r="D6" s="10">
        <f t="shared" si="4"/>
        <v>4962.0367</v>
      </c>
      <c r="E6" s="10">
        <f t="shared" si="4"/>
        <v>5151.4492</v>
      </c>
      <c r="F6" s="10">
        <f t="shared" si="4"/>
        <v>3746.5291</v>
      </c>
      <c r="G6" s="10">
        <f t="shared" si="4"/>
        <v>5929.47048</v>
      </c>
      <c r="H6" s="10">
        <f t="shared" si="4"/>
        <v>5736.56424</v>
      </c>
      <c r="I6" s="10">
        <f t="shared" si="4"/>
        <v>6067.432822</v>
      </c>
      <c r="J6" s="10">
        <f t="shared" si="4"/>
        <v>5086.561078</v>
      </c>
      <c r="K6" s="10">
        <f t="shared" si="4"/>
        <v>9986.44763</v>
      </c>
      <c r="L6" s="10">
        <f t="shared" si="4"/>
        <v>9740.1887</v>
      </c>
      <c r="M6" s="10">
        <f t="shared" si="4"/>
        <v>11141.84853</v>
      </c>
      <c r="N6" s="10">
        <f t="shared" si="4"/>
        <v>16445.65936</v>
      </c>
      <c r="O6" s="10">
        <f t="shared" si="2"/>
        <v>84946.16154</v>
      </c>
      <c r="P6" s="10">
        <f>P8+P7</f>
        <v>61000</v>
      </c>
      <c r="Q6" s="11">
        <f t="shared" si="3"/>
        <v>1.392560025</v>
      </c>
    </row>
    <row r="7" ht="25.5" customHeight="1">
      <c r="A7" s="12"/>
      <c r="B7" s="13" t="str">
        <f>hyperlink("https://docs.google.com/spreadsheets/d/1vCOoengzj4u-lf-Olvw85ysitfzOfclGKPXAtoEPy0A/edit#gid=663001998","- Trung tâm DCS")</f>
        <v>- Trung tâm DCS</v>
      </c>
      <c r="C7" s="14">
        <v>303.47</v>
      </c>
      <c r="D7" s="14">
        <v>3142.641</v>
      </c>
      <c r="E7" s="14">
        <v>2863.042</v>
      </c>
      <c r="F7" s="14">
        <v>895.629</v>
      </c>
      <c r="G7" s="14">
        <v>2789.8042</v>
      </c>
      <c r="H7" s="14">
        <v>2533.54324</v>
      </c>
      <c r="I7" s="14">
        <v>2742.481</v>
      </c>
      <c r="J7" s="14">
        <v>2252.642018</v>
      </c>
      <c r="K7" s="14">
        <v>6715.881</v>
      </c>
      <c r="L7" s="14">
        <v>5581.3965</v>
      </c>
      <c r="M7" s="14">
        <v>9497.0535</v>
      </c>
      <c r="N7" s="14">
        <v>10312.373383</v>
      </c>
      <c r="O7" s="15">
        <f t="shared" si="2"/>
        <v>49629.95684</v>
      </c>
      <c r="P7" s="14">
        <v>28000.0</v>
      </c>
      <c r="Q7" s="16">
        <f t="shared" si="3"/>
        <v>1.772498459</v>
      </c>
    </row>
    <row r="8" ht="25.5" customHeight="1">
      <c r="A8" s="12"/>
      <c r="B8" s="13" t="str">
        <f>hyperlink("https://docs.google.com/spreadsheets/d/1P0ilCSyqA3dOMst3KNMcZ42cxp71XvTpe3tKMhYksN8/edit#gid=1340171929","- Chi nhánh")</f>
        <v>- Chi nhánh</v>
      </c>
      <c r="C8" s="14">
        <v>648.5037</v>
      </c>
      <c r="D8" s="14">
        <v>1819.3957</v>
      </c>
      <c r="E8" s="14">
        <v>2288.4072</v>
      </c>
      <c r="F8" s="14">
        <v>2850.9001</v>
      </c>
      <c r="G8" s="19">
        <v>3139.66628</v>
      </c>
      <c r="H8" s="19">
        <v>3203.021</v>
      </c>
      <c r="I8" s="19">
        <v>3324.951822</v>
      </c>
      <c r="J8" s="19">
        <v>2833.91906</v>
      </c>
      <c r="K8" s="19">
        <v>3270.56663</v>
      </c>
      <c r="L8" s="19">
        <v>4158.7922</v>
      </c>
      <c r="M8" s="19">
        <v>1644.795028</v>
      </c>
      <c r="N8" s="19">
        <v>6133.28598</v>
      </c>
      <c r="O8" s="15">
        <f t="shared" si="2"/>
        <v>35316.2047</v>
      </c>
      <c r="P8" s="14">
        <v>33000.0</v>
      </c>
      <c r="Q8" s="16">
        <f t="shared" si="3"/>
        <v>1.070188021</v>
      </c>
    </row>
    <row r="9" ht="25.5" customHeight="1">
      <c r="A9" s="8" t="s">
        <v>22</v>
      </c>
      <c r="B9" s="20" t="str">
        <f>hyperlink("https://docs.google.com/spreadsheets/d/1d_dnULuhyFhAz_vzHPOr4a1463PBw6xMA3MZaClxQ5Q/edit#gid=0","Trung tâm STC")</f>
        <v>Trung tâm STC</v>
      </c>
      <c r="C9" s="21">
        <v>240.0</v>
      </c>
      <c r="D9" s="21">
        <v>381.0</v>
      </c>
      <c r="E9" s="21"/>
      <c r="F9" s="21">
        <v>1200.202273</v>
      </c>
      <c r="G9" s="21">
        <v>14286.37654</v>
      </c>
      <c r="H9" s="21">
        <v>515.58408</v>
      </c>
      <c r="I9" s="21">
        <v>246.11</v>
      </c>
      <c r="J9" s="21">
        <v>963.07551</v>
      </c>
      <c r="K9" s="21">
        <v>662.31</v>
      </c>
      <c r="L9" s="21">
        <v>2789.837</v>
      </c>
      <c r="M9" s="21">
        <v>2633.367273</v>
      </c>
      <c r="N9" s="21">
        <v>3007.136</v>
      </c>
      <c r="O9" s="10">
        <f t="shared" si="2"/>
        <v>26924.99868</v>
      </c>
      <c r="P9" s="21">
        <f>27000*3.8/4</f>
        <v>25650</v>
      </c>
      <c r="Q9" s="11">
        <f t="shared" si="3"/>
        <v>1.049707551</v>
      </c>
    </row>
    <row r="10" ht="25.5" customHeight="1">
      <c r="A10" s="22" t="s">
        <v>23</v>
      </c>
      <c r="B10" s="23" t="str">
        <f>hyperlink("https://docs.google.com/spreadsheets/d/15oR4AzHb3aObQVH2-iOM0BUe860L_hQgGGLP9Y6meI0/edit#gid=0","Trung tâm TVDA")</f>
        <v>Trung tâm TVDA</v>
      </c>
      <c r="C10" s="21"/>
      <c r="D10" s="21">
        <v>13.31</v>
      </c>
      <c r="E10" s="21"/>
      <c r="F10" s="21"/>
      <c r="G10" s="21"/>
      <c r="H10" s="21">
        <v>14.265713</v>
      </c>
      <c r="I10" s="21"/>
      <c r="J10" s="21">
        <v>2.0</v>
      </c>
      <c r="K10" s="21">
        <v>6.936111</v>
      </c>
      <c r="L10" s="21"/>
      <c r="M10" s="21">
        <v>87.87037</v>
      </c>
      <c r="N10" s="21">
        <v>525.427586</v>
      </c>
      <c r="O10" s="10">
        <f t="shared" si="2"/>
        <v>649.80978</v>
      </c>
      <c r="P10" s="21">
        <v>1500.0</v>
      </c>
      <c r="Q10" s="11">
        <f t="shared" si="3"/>
        <v>0.43320652</v>
      </c>
    </row>
    <row r="11" ht="25.5" customHeight="1">
      <c r="A11" s="22" t="s">
        <v>24</v>
      </c>
      <c r="B11" s="23" t="str">
        <f>hyperlink("https://docs.google.com/spreadsheets/d/1hB-HxXul-KU7Tqz0qiYJ2YdQ3FS-235QFmwHQIzdQR0/edit#gid=0","Trung tâm TVXD")</f>
        <v>Trung tâm TVXD</v>
      </c>
      <c r="C11" s="21"/>
      <c r="D11" s="21"/>
      <c r="E11" s="21"/>
      <c r="F11" s="21">
        <v>147.467182</v>
      </c>
      <c r="G11" s="21"/>
      <c r="H11" s="21">
        <v>6.913636</v>
      </c>
      <c r="I11" s="21"/>
      <c r="J11" s="21"/>
      <c r="K11" s="10"/>
      <c r="L11" s="21">
        <v>172.545454</v>
      </c>
      <c r="M11" s="21">
        <v>147.330638</v>
      </c>
      <c r="N11" s="21"/>
      <c r="O11" s="10">
        <f t="shared" si="2"/>
        <v>474.25691</v>
      </c>
      <c r="P11" s="21">
        <v>2500.0</v>
      </c>
      <c r="Q11" s="11">
        <f t="shared" si="3"/>
        <v>0.189702764</v>
      </c>
    </row>
    <row r="12" ht="25.5" customHeight="1">
      <c r="A12" s="22" t="s">
        <v>23</v>
      </c>
      <c r="B12" s="24" t="str">
        <f>HYPERLINK("https://docs.google.com/spreadsheets/d/1_2CNBES8nIYbHQusNB5GWqUCMVnT3BGVbsPgLxWwUCw/edit#gid=0","Trung tâm TMB")</f>
        <v>Trung tâm TMB</v>
      </c>
      <c r="C12" s="21"/>
      <c r="D12" s="21">
        <v>6.0</v>
      </c>
      <c r="E12" s="21"/>
      <c r="F12" s="21">
        <v>4.0</v>
      </c>
      <c r="G12" s="21">
        <v>36.5</v>
      </c>
      <c r="H12" s="21">
        <v>304.0</v>
      </c>
      <c r="I12" s="10"/>
      <c r="J12" s="21">
        <v>163.3</v>
      </c>
      <c r="K12" s="21">
        <v>65.0</v>
      </c>
      <c r="L12" s="21"/>
      <c r="M12" s="21"/>
      <c r="N12" s="21">
        <v>498.3</v>
      </c>
      <c r="O12" s="10">
        <f t="shared" si="2"/>
        <v>1077.1</v>
      </c>
      <c r="P12" s="21">
        <v>5500.0</v>
      </c>
      <c r="Q12" s="11">
        <f t="shared" si="3"/>
        <v>0.1958363636</v>
      </c>
    </row>
    <row r="13" ht="25.5" customHeight="1">
      <c r="A13" s="22" t="s">
        <v>25</v>
      </c>
      <c r="B13" s="25" t="str">
        <f>HYPERLINK("https://docs.google.com/spreadsheets/d/1zDciZ8Q2y6PpEHkfkC5QQmjwMAmv6-RHvnczqFOvtSQ/edit#gid=0","Các lĩnh vực khác")</f>
        <v>Các lĩnh vực khác</v>
      </c>
      <c r="C13" s="21"/>
      <c r="D13" s="21"/>
      <c r="E13" s="10"/>
      <c r="F13" s="21"/>
      <c r="G13" s="21"/>
      <c r="H13" s="21"/>
      <c r="I13" s="21"/>
      <c r="J13" s="10"/>
      <c r="K13" s="21"/>
      <c r="L13" s="10"/>
      <c r="M13" s="10"/>
      <c r="N13" s="21"/>
      <c r="O13" s="21">
        <v>0.0</v>
      </c>
      <c r="P13" s="14">
        <v>600.0</v>
      </c>
      <c r="Q13" s="11">
        <f t="shared" si="3"/>
        <v>0</v>
      </c>
    </row>
    <row r="14" ht="25.5" customHeight="1">
      <c r="A14" s="22" t="s">
        <v>26</v>
      </c>
      <c r="B14" s="9" t="s">
        <v>27</v>
      </c>
      <c r="C14" s="10">
        <f t="shared" ref="C14:N14" si="5">SUM(C15:C16)</f>
        <v>1201.9737</v>
      </c>
      <c r="D14" s="10">
        <f t="shared" si="5"/>
        <v>5406.2467</v>
      </c>
      <c r="E14" s="10">
        <f t="shared" si="5"/>
        <v>5204.3992</v>
      </c>
      <c r="F14" s="10">
        <f t="shared" si="5"/>
        <v>5106.948555</v>
      </c>
      <c r="G14" s="10">
        <f t="shared" si="5"/>
        <v>20267.64702</v>
      </c>
      <c r="H14" s="10">
        <f t="shared" si="5"/>
        <v>6586.827669</v>
      </c>
      <c r="I14" s="10">
        <f t="shared" si="5"/>
        <v>6360.192822</v>
      </c>
      <c r="J14" s="10">
        <f t="shared" si="5"/>
        <v>6236.086588</v>
      </c>
      <c r="K14" s="10">
        <f t="shared" si="5"/>
        <v>10740.19374</v>
      </c>
      <c r="L14" s="10">
        <f t="shared" si="5"/>
        <v>13410.88597</v>
      </c>
      <c r="M14" s="10">
        <f t="shared" si="5"/>
        <v>14566.62388</v>
      </c>
      <c r="N14" s="10">
        <f t="shared" si="5"/>
        <v>22215.17531</v>
      </c>
      <c r="O14" s="28">
        <f>sum(C14:N14)</f>
        <v>117303.2011</v>
      </c>
      <c r="P14" s="10">
        <f>P16+P15</f>
        <v>99550</v>
      </c>
      <c r="Q14" s="11">
        <f t="shared" si="3"/>
        <v>1.178334517</v>
      </c>
    </row>
    <row r="15" ht="25.5" customHeight="1">
      <c r="A15" s="29"/>
      <c r="B15" s="30" t="s">
        <v>28</v>
      </c>
      <c r="C15" s="31">
        <f t="shared" ref="C15:N15" si="6">C4+C7+C9+C10+C11+C12+C13</f>
        <v>553.47</v>
      </c>
      <c r="D15" s="31">
        <f t="shared" si="6"/>
        <v>3570.451</v>
      </c>
      <c r="E15" s="31">
        <f t="shared" si="6"/>
        <v>2905.542</v>
      </c>
      <c r="F15" s="31">
        <f t="shared" si="6"/>
        <v>2247.298455</v>
      </c>
      <c r="G15" s="31">
        <f t="shared" si="6"/>
        <v>17121.18074</v>
      </c>
      <c r="H15" s="31">
        <f t="shared" si="6"/>
        <v>3383.806669</v>
      </c>
      <c r="I15" s="31">
        <f t="shared" si="6"/>
        <v>3012.091</v>
      </c>
      <c r="J15" s="31">
        <f t="shared" si="6"/>
        <v>3389.417528</v>
      </c>
      <c r="K15" s="31">
        <f t="shared" si="6"/>
        <v>7458.127111</v>
      </c>
      <c r="L15" s="31">
        <f t="shared" si="6"/>
        <v>9252.093769</v>
      </c>
      <c r="M15" s="31">
        <f t="shared" si="6"/>
        <v>12906.62885</v>
      </c>
      <c r="N15" s="31">
        <f t="shared" si="6"/>
        <v>16069.48933</v>
      </c>
      <c r="O15" s="31">
        <f t="shared" ref="O15:O17" si="8">SUM(C15:N15)</f>
        <v>81869.59645</v>
      </c>
      <c r="P15" s="31">
        <f>P4+P7+P9+P10+P11+P12+P13</f>
        <v>66250</v>
      </c>
      <c r="Q15" s="16">
        <f t="shared" si="3"/>
        <v>1.235767494</v>
      </c>
    </row>
    <row r="16" ht="25.5" customHeight="1">
      <c r="A16" s="29"/>
      <c r="B16" s="30" t="s">
        <v>29</v>
      </c>
      <c r="C16" s="31">
        <f t="shared" ref="C16:N16" si="7">C5+C8</f>
        <v>648.5037</v>
      </c>
      <c r="D16" s="31">
        <f t="shared" si="7"/>
        <v>1835.7957</v>
      </c>
      <c r="E16" s="31">
        <f t="shared" si="7"/>
        <v>2298.8572</v>
      </c>
      <c r="F16" s="31">
        <f t="shared" si="7"/>
        <v>2859.6501</v>
      </c>
      <c r="G16" s="31">
        <f t="shared" si="7"/>
        <v>3146.46628</v>
      </c>
      <c r="H16" s="31">
        <f t="shared" si="7"/>
        <v>3203.021</v>
      </c>
      <c r="I16" s="31">
        <f t="shared" si="7"/>
        <v>3348.101822</v>
      </c>
      <c r="J16" s="31">
        <f t="shared" si="7"/>
        <v>2846.66906</v>
      </c>
      <c r="K16" s="31">
        <f t="shared" si="7"/>
        <v>3282.06663</v>
      </c>
      <c r="L16" s="31">
        <f t="shared" si="7"/>
        <v>4158.7922</v>
      </c>
      <c r="M16" s="31">
        <f t="shared" si="7"/>
        <v>1659.995028</v>
      </c>
      <c r="N16" s="31">
        <f t="shared" si="7"/>
        <v>6145.68598</v>
      </c>
      <c r="O16" s="31">
        <f t="shared" si="8"/>
        <v>35433.6047</v>
      </c>
      <c r="P16" s="31">
        <f>P5+P8</f>
        <v>33300</v>
      </c>
      <c r="Q16" s="16">
        <f t="shared" si="3"/>
        <v>1.064072213</v>
      </c>
    </row>
    <row r="17" ht="25.5" customHeight="1">
      <c r="A17" s="32"/>
      <c r="B17" s="33" t="s">
        <v>30</v>
      </c>
      <c r="C17" s="34">
        <f>IFERROR(__xludf.DUMMYFUNCTION("IMPORTRANGE(""1pVVPsJRZuZTfMAbYsuMVtd5oqiAJQKt_FCZMxv4OMEk"", ""Tổng hợp doanh thu!C14"")"),2003.068225)</f>
        <v>2003.068225</v>
      </c>
      <c r="D17" s="34">
        <f>IFERROR(__xludf.DUMMYFUNCTION("IMPORTRANGE(""1pVVPsJRZuZTfMAbYsuMVtd5oqiAJQKt_FCZMxv4OMEk"", ""Tổng hợp doanh thu!D14"")"),6958.6287)</f>
        <v>6958.6287</v>
      </c>
      <c r="E17" s="34">
        <f>IFERROR(__xludf.DUMMYFUNCTION("IMPORTRANGE(""1pVVPsJRZuZTfMAbYsuMVtd5oqiAJQKt_FCZMxv4OMEk"", ""Tổng hợp doanh thu!E14"")"),12906.04008)</f>
        <v>12906.04008</v>
      </c>
      <c r="F17" s="34">
        <f>IFERROR(__xludf.DUMMYFUNCTION("IMPORTRANGE(""1pVVPsJRZuZTfMAbYsuMVtd5oqiAJQKt_FCZMxv4OMEk"", ""Tổng hợp doanh thu!F14"")"),6338.346294)</f>
        <v>6338.346294</v>
      </c>
      <c r="G17" s="34">
        <f>IFERROR(__xludf.DUMMYFUNCTION("IMPORTRANGE(""1pVVPsJRZuZTfMAbYsuMVtd5oqiAJQKt_FCZMxv4OMEk"", ""Tổng hợp doanh thu!G14"")"),4492.21257)</f>
        <v>4492.21257</v>
      </c>
      <c r="H17" s="34">
        <f>IFERROR(__xludf.DUMMYFUNCTION("IMPORTRANGE(""1pVVPsJRZuZTfMAbYsuMVtd5oqiAJQKt_FCZMxv4OMEk"", ""Tổng hợp doanh thu!H14"")"),6505.181455)</f>
        <v>6505.181455</v>
      </c>
      <c r="I17" s="34">
        <f>IFERROR(__xludf.DUMMYFUNCTION("IMPORTRANGE(""1pVVPsJRZuZTfMAbYsuMVtd5oqiAJQKt_FCZMxv4OMEk"", ""Tổng hợp doanh thu!I14"")"),8380.832808000001)</f>
        <v>8380.832808</v>
      </c>
      <c r="J17" s="34">
        <f>IFERROR(__xludf.DUMMYFUNCTION("IMPORTRANGE(""1pVVPsJRZuZTfMAbYsuMVtd5oqiAJQKt_FCZMxv4OMEk"", ""Tổng hợp doanh thu!J14"")"),5473.4193190000005)</f>
        <v>5473.419319</v>
      </c>
      <c r="K17" s="34">
        <f>IFERROR(__xludf.DUMMYFUNCTION("IMPORTRANGE(""1pVVPsJRZuZTfMAbYsuMVtd5oqiAJQKt_FCZMxv4OMEk"", ""Tổng hợp doanh thu!K14"")"),4044.6675450000002)</f>
        <v>4044.667545</v>
      </c>
      <c r="L17" s="34">
        <f>IFERROR(__xludf.DUMMYFUNCTION("IMPORTRANGE(""1pVVPsJRZuZTfMAbYsuMVtd5oqiAJQKt_FCZMxv4OMEk"", ""Tổng hợp doanh thu!L14"")"),9801.598005)</f>
        <v>9801.598005</v>
      </c>
      <c r="M17" s="34">
        <f>IFERROR(__xludf.DUMMYFUNCTION("IMPORTRANGE(""1pVVPsJRZuZTfMAbYsuMVtd5oqiAJQKt_FCZMxv4OMEk"", ""Tổng hợp doanh thu!M14"")"),6418.566651)</f>
        <v>6418.566651</v>
      </c>
      <c r="N17" s="34">
        <f>IFERROR(__xludf.DUMMYFUNCTION("IMPORTRANGE(""1pVVPsJRZuZTfMAbYsuMVtd5oqiAJQKt_FCZMxv4OMEk"", ""Tổng hợp doanh thu!N14"")"),38801.643201444436)</f>
        <v>38801.6432</v>
      </c>
      <c r="O17" s="10">
        <f t="shared" si="8"/>
        <v>112124.2049</v>
      </c>
      <c r="P17" s="35"/>
      <c r="Q17" s="11"/>
    </row>
    <row r="18" ht="25.5" customHeight="1">
      <c r="A18" s="32"/>
      <c r="B18" s="33" t="s">
        <v>31</v>
      </c>
      <c r="C18" s="11">
        <f t="shared" ref="C18:O18" si="9">C14/C17</f>
        <v>0.6000662808</v>
      </c>
      <c r="D18" s="11">
        <f t="shared" si="9"/>
        <v>0.7769126552</v>
      </c>
      <c r="E18" s="11">
        <f t="shared" si="9"/>
        <v>0.403252986</v>
      </c>
      <c r="F18" s="11">
        <f t="shared" si="9"/>
        <v>0.8057225526</v>
      </c>
      <c r="G18" s="11">
        <f t="shared" si="9"/>
        <v>4.511729288</v>
      </c>
      <c r="H18" s="11">
        <f t="shared" si="9"/>
        <v>1.012550951</v>
      </c>
      <c r="I18" s="11">
        <f t="shared" si="9"/>
        <v>0.7588974709</v>
      </c>
      <c r="J18" s="11">
        <f t="shared" si="9"/>
        <v>1.139340187</v>
      </c>
      <c r="K18" s="11">
        <f t="shared" si="9"/>
        <v>2.655395931</v>
      </c>
      <c r="L18" s="11">
        <f t="shared" si="9"/>
        <v>1.368234645</v>
      </c>
      <c r="M18" s="11">
        <f t="shared" si="9"/>
        <v>2.269451214</v>
      </c>
      <c r="N18" s="11">
        <f t="shared" si="9"/>
        <v>0.5725318175</v>
      </c>
      <c r="O18" s="11">
        <f t="shared" si="9"/>
        <v>1.046189815</v>
      </c>
      <c r="P18" s="35"/>
      <c r="Q18" s="36"/>
    </row>
    <row r="19" ht="25.5" customHeight="1">
      <c r="A19" s="32"/>
      <c r="B19" s="9" t="s">
        <v>32</v>
      </c>
      <c r="C19" s="11"/>
      <c r="D19" s="11">
        <f t="shared" ref="D19:N19" si="10">sum($C14:D14)/sum($C17:D17)</f>
        <v>0.7373849457</v>
      </c>
      <c r="E19" s="11">
        <f t="shared" si="10"/>
        <v>0.540184821</v>
      </c>
      <c r="F19" s="11">
        <f t="shared" si="10"/>
        <v>0.5998552857</v>
      </c>
      <c r="G19" s="11">
        <f t="shared" si="10"/>
        <v>1.137282974</v>
      </c>
      <c r="H19" s="11">
        <f t="shared" si="10"/>
        <v>1.116585717</v>
      </c>
      <c r="I19" s="11">
        <f t="shared" si="10"/>
        <v>1.053587528</v>
      </c>
      <c r="J19" s="11">
        <f t="shared" si="10"/>
        <v>1.062433746</v>
      </c>
      <c r="K19" s="11">
        <f t="shared" si="10"/>
        <v>1.17526618</v>
      </c>
      <c r="L19" s="11">
        <f t="shared" si="10"/>
        <v>1.20353653</v>
      </c>
      <c r="M19" s="11">
        <f t="shared" si="10"/>
        <v>1.296845387</v>
      </c>
      <c r="N19" s="11">
        <f t="shared" si="10"/>
        <v>1.046189815</v>
      </c>
      <c r="O19" s="37" t="s">
        <v>33</v>
      </c>
      <c r="P19" s="38">
        <v>68000.0</v>
      </c>
      <c r="Q19" s="37">
        <f>O14/P19</f>
        <v>1.725047076</v>
      </c>
    </row>
  </sheetData>
  <mergeCells count="1">
    <mergeCell ref="C1:P1"/>
  </mergeCells>
  <conditionalFormatting sqref="C18:N19">
    <cfRule type="cellIs" dxfId="0" priority="1" operator="greaterThan">
      <formula>1</formula>
    </cfRule>
  </conditionalFormatting>
  <conditionalFormatting sqref="O18">
    <cfRule type="cellIs" dxfId="0" priority="2" operator="greaterThan">
      <formula>1</formula>
    </cfRule>
  </conditionalFormatting>
  <conditionalFormatting sqref="C18:N19">
    <cfRule type="cellIs" dxfId="1" priority="3" operator="lessThan">
      <formula>1</formula>
    </cfRule>
  </conditionalFormatting>
  <conditionalFormatting sqref="O18">
    <cfRule type="cellIs" dxfId="1" priority="4" operator="lessThan">
      <formula>1</formula>
    </cfRule>
  </conditionalFormatting>
  <printOptions horizontalCentered="1"/>
  <pageMargins bottom="0.75" footer="0.0" header="0.0" left="0.25" right="0.25" top="0.75"/>
  <pageSetup fitToHeight="0" paperSize="9"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4.88"/>
    <col customWidth="1" min="2" max="2" width="26.5"/>
    <col customWidth="1" min="3" max="14" width="11.75"/>
    <col customWidth="1" min="15" max="15" width="14.13"/>
    <col customWidth="1" min="16" max="16" width="14.0"/>
    <col customWidth="1" min="17" max="17" width="13.0"/>
  </cols>
  <sheetData>
    <row r="1" ht="24.0" customHeight="1">
      <c r="B1" s="2">
        <v>2023.0</v>
      </c>
      <c r="C1" s="3" t="s">
        <v>35</v>
      </c>
      <c r="Q1" s="4"/>
    </row>
    <row r="2" ht="32.2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6" t="s">
        <v>15</v>
      </c>
      <c r="P2" s="6" t="s">
        <v>36</v>
      </c>
      <c r="Q2" s="5" t="s">
        <v>17</v>
      </c>
    </row>
    <row r="3" ht="24.75" customHeight="1">
      <c r="A3" s="8" t="s">
        <v>18</v>
      </c>
      <c r="B3" s="9" t="s">
        <v>19</v>
      </c>
      <c r="C3" s="10">
        <f t="shared" ref="C3:N3" si="1">sum(C4:C5)</f>
        <v>11.92</v>
      </c>
      <c r="D3" s="10">
        <f t="shared" si="1"/>
        <v>23.4</v>
      </c>
      <c r="E3" s="10">
        <f t="shared" si="1"/>
        <v>94.3020454</v>
      </c>
      <c r="F3" s="10">
        <f t="shared" si="1"/>
        <v>604.7407873</v>
      </c>
      <c r="G3" s="10">
        <f t="shared" si="1"/>
        <v>357.0606728</v>
      </c>
      <c r="H3" s="10">
        <f t="shared" si="1"/>
        <v>12.2</v>
      </c>
      <c r="I3" s="10">
        <f t="shared" si="1"/>
        <v>35.6325</v>
      </c>
      <c r="J3" s="10">
        <f t="shared" si="1"/>
        <v>19.0125</v>
      </c>
      <c r="K3" s="10">
        <f t="shared" si="1"/>
        <v>299.4444446</v>
      </c>
      <c r="L3" s="10">
        <f t="shared" si="1"/>
        <v>498.1965741</v>
      </c>
      <c r="M3" s="10">
        <f t="shared" si="1"/>
        <v>42.16</v>
      </c>
      <c r="N3" s="10">
        <f t="shared" si="1"/>
        <v>45.82</v>
      </c>
      <c r="O3" s="10">
        <f t="shared" ref="O3:O14" si="2">sum(C3:N3)</f>
        <v>2043.889524</v>
      </c>
      <c r="P3" s="10">
        <f>SUM(P4:P5)</f>
        <v>2050</v>
      </c>
      <c r="Q3" s="11">
        <f t="shared" ref="Q3:Q16" si="3">O3/P3</f>
        <v>0.9970192801</v>
      </c>
    </row>
    <row r="4" ht="24.75" customHeight="1">
      <c r="A4" s="12"/>
      <c r="B4" s="13" t="str">
        <f>hyperlink("https://docs.google.com/spreadsheets/d/1w54z4NbyEbyjjJVyXvIK7OhyvnYLbtg7H9uK4YAXpNU/edit#gid=0","- Trung tâm PMXD")</f>
        <v>- Trung tâm PMXD</v>
      </c>
      <c r="C4" s="14">
        <v>4.0</v>
      </c>
      <c r="D4" s="14">
        <v>22.3</v>
      </c>
      <c r="E4" s="14">
        <v>88.55454540000001</v>
      </c>
      <c r="F4" s="14">
        <v>599.92828725</v>
      </c>
      <c r="G4" s="14">
        <v>353.32067279999995</v>
      </c>
      <c r="H4" s="14">
        <v>7.8</v>
      </c>
      <c r="I4" s="14">
        <v>27.3</v>
      </c>
      <c r="J4" s="14">
        <v>12.0</v>
      </c>
      <c r="K4" s="14">
        <v>293.94444459999994</v>
      </c>
      <c r="L4" s="14">
        <v>497.3715741</v>
      </c>
      <c r="M4" s="14">
        <v>33.8</v>
      </c>
      <c r="N4" s="14">
        <v>39.0</v>
      </c>
      <c r="O4" s="15">
        <f t="shared" si="2"/>
        <v>1979.319524</v>
      </c>
      <c r="P4" s="14">
        <v>1800.0</v>
      </c>
      <c r="Q4" s="16">
        <f t="shared" si="3"/>
        <v>1.099621958</v>
      </c>
    </row>
    <row r="5" ht="24.75" customHeight="1">
      <c r="A5" s="12"/>
      <c r="B5" s="13" t="str">
        <f>hyperlink("https://docs.google.com/spreadsheets/d/1P0ilCSyqA3dOMst3KNMcZ42cxp71XvTpe3tKMhYksN8/edit#gid=2074483897","- Chi nhánh")</f>
        <v>- Chi nhánh</v>
      </c>
      <c r="C5" s="17">
        <v>7.920000000000001</v>
      </c>
      <c r="D5" s="14">
        <v>1.1</v>
      </c>
      <c r="E5" s="14">
        <v>5.7475</v>
      </c>
      <c r="F5" s="14">
        <v>4.8125</v>
      </c>
      <c r="G5" s="14">
        <v>3.74</v>
      </c>
      <c r="H5" s="14">
        <v>4.4</v>
      </c>
      <c r="I5" s="14">
        <v>8.3325</v>
      </c>
      <c r="J5" s="14">
        <v>7.0125</v>
      </c>
      <c r="K5" s="14">
        <v>5.5</v>
      </c>
      <c r="L5" s="14">
        <v>0.8250000000000001</v>
      </c>
      <c r="M5" s="14">
        <v>8.36</v>
      </c>
      <c r="N5" s="14">
        <v>6.820000000000001</v>
      </c>
      <c r="O5" s="15">
        <f t="shared" si="2"/>
        <v>64.57</v>
      </c>
      <c r="P5" s="14">
        <v>250.0</v>
      </c>
      <c r="Q5" s="16">
        <f t="shared" si="3"/>
        <v>0.25828</v>
      </c>
    </row>
    <row r="6" ht="24.75" customHeight="1">
      <c r="A6" s="8" t="s">
        <v>20</v>
      </c>
      <c r="B6" s="9" t="s">
        <v>21</v>
      </c>
      <c r="C6" s="10">
        <f t="shared" ref="C6:N6" si="4">SUM(C7:C8)</f>
        <v>1601.808579</v>
      </c>
      <c r="D6" s="10">
        <f t="shared" si="4"/>
        <v>744.9966167</v>
      </c>
      <c r="E6" s="10">
        <f t="shared" si="4"/>
        <v>1700.136889</v>
      </c>
      <c r="F6" s="10">
        <f t="shared" si="4"/>
        <v>1025.521009</v>
      </c>
      <c r="G6" s="10">
        <f t="shared" si="4"/>
        <v>1260.965272</v>
      </c>
      <c r="H6" s="10">
        <f t="shared" si="4"/>
        <v>1268.067174</v>
      </c>
      <c r="I6" s="10">
        <f t="shared" si="4"/>
        <v>1082.932183</v>
      </c>
      <c r="J6" s="10">
        <f t="shared" si="4"/>
        <v>1460.224439</v>
      </c>
      <c r="K6" s="10">
        <f t="shared" si="4"/>
        <v>1822.385618</v>
      </c>
      <c r="L6" s="10">
        <f t="shared" si="4"/>
        <v>716.9683534</v>
      </c>
      <c r="M6" s="10">
        <f t="shared" si="4"/>
        <v>3349.349695</v>
      </c>
      <c r="N6" s="10">
        <f t="shared" si="4"/>
        <v>876.7965498</v>
      </c>
      <c r="O6" s="10">
        <f t="shared" si="2"/>
        <v>16910.15238</v>
      </c>
      <c r="P6" s="10">
        <f>P8+P7</f>
        <v>11000</v>
      </c>
      <c r="Q6" s="11">
        <f t="shared" si="3"/>
        <v>1.53728658</v>
      </c>
    </row>
    <row r="7" ht="24.75" customHeight="1">
      <c r="A7" s="12"/>
      <c r="B7" s="13" t="str">
        <f>hyperlink("https://docs.google.com/spreadsheets/d/1vCOoengzj4u-lf-Olvw85ysitfzOfclGKPXAtoEPy0A/edit#gid=663001998","- Trung tâm DCS")</f>
        <v>- Trung tâm DCS</v>
      </c>
      <c r="C7" s="14">
        <v>1442.495826677028</v>
      </c>
      <c r="D7" s="14">
        <v>571.0308309671667</v>
      </c>
      <c r="E7" s="14">
        <v>839.9110568257221</v>
      </c>
      <c r="F7" s="14">
        <v>616.8831857404999</v>
      </c>
      <c r="G7" s="14">
        <v>659.6305801893568</v>
      </c>
      <c r="H7" s="14">
        <v>854.58373898785</v>
      </c>
      <c r="I7" s="14">
        <v>390.82411681866665</v>
      </c>
      <c r="J7" s="14">
        <v>1016.356245481696</v>
      </c>
      <c r="K7" s="14">
        <v>1744.5307915203218</v>
      </c>
      <c r="L7" s="14">
        <v>503.31234239027765</v>
      </c>
      <c r="M7" s="14">
        <v>826.8028995699048</v>
      </c>
      <c r="N7" s="14">
        <v>699.1446197611111</v>
      </c>
      <c r="O7" s="15">
        <f t="shared" si="2"/>
        <v>10165.50623</v>
      </c>
      <c r="P7" s="14">
        <v>5500.0</v>
      </c>
      <c r="Q7" s="16">
        <f t="shared" si="3"/>
        <v>1.848273861</v>
      </c>
    </row>
    <row r="8" ht="24.75" customHeight="1">
      <c r="A8" s="12"/>
      <c r="B8" s="13" t="str">
        <f>hyperlink("https://docs.google.com/spreadsheets/d/1P0ilCSyqA3dOMst3KNMcZ42cxp71XvTpe3tKMhYksN8/edit#gid=1340171929","- Chi nhánh")</f>
        <v>- Chi nhánh</v>
      </c>
      <c r="C8" s="14">
        <v>159.3127524727778</v>
      </c>
      <c r="D8" s="14">
        <v>173.9657857474999</v>
      </c>
      <c r="E8" s="14">
        <v>860.2258321589811</v>
      </c>
      <c r="F8" s="14">
        <v>408.6378227941667</v>
      </c>
      <c r="G8" s="19">
        <v>601.334692016111</v>
      </c>
      <c r="H8" s="19">
        <v>413.48343452999995</v>
      </c>
      <c r="I8" s="19">
        <v>692.1080659012222</v>
      </c>
      <c r="J8" s="19">
        <v>443.8681936444445</v>
      </c>
      <c r="K8" s="19">
        <v>77.854826</v>
      </c>
      <c r="L8" s="19">
        <v>213.65601099999995</v>
      </c>
      <c r="M8" s="19">
        <v>2522.5467955555555</v>
      </c>
      <c r="N8" s="19">
        <v>177.65193000000005</v>
      </c>
      <c r="O8" s="15">
        <f t="shared" si="2"/>
        <v>6744.646142</v>
      </c>
      <c r="P8" s="14">
        <v>5500.0</v>
      </c>
      <c r="Q8" s="16">
        <f t="shared" si="3"/>
        <v>1.226299299</v>
      </c>
    </row>
    <row r="9" ht="24.75" customHeight="1">
      <c r="A9" s="8" t="s">
        <v>22</v>
      </c>
      <c r="B9" s="20" t="str">
        <f>hyperlink("https://docs.google.com/spreadsheets/d/1d_dnULuhyFhAz_vzHPOr4a1463PBw6xMA3MZaClxQ5Q/edit#gid=0","Trung tâm STC")</f>
        <v>Trung tâm STC</v>
      </c>
      <c r="C9" s="21">
        <v>93.197808</v>
      </c>
      <c r="D9" s="21">
        <v>145.4444296519091</v>
      </c>
      <c r="E9" s="21">
        <v>949.6259690444448</v>
      </c>
      <c r="F9" s="21">
        <v>0.0</v>
      </c>
      <c r="G9" s="21">
        <v>31.5715</v>
      </c>
      <c r="H9" s="21">
        <v>137.25268182</v>
      </c>
      <c r="I9" s="21">
        <v>74.7496095</v>
      </c>
      <c r="J9" s="21">
        <v>464.150345</v>
      </c>
      <c r="K9" s="21">
        <v>419.08925</v>
      </c>
      <c r="L9" s="21">
        <v>200.5500384</v>
      </c>
      <c r="M9" s="21">
        <v>1126.591459429394</v>
      </c>
      <c r="N9" s="21">
        <v>270.625722</v>
      </c>
      <c r="O9" s="10">
        <f t="shared" si="2"/>
        <v>3912.848813</v>
      </c>
      <c r="P9" s="21">
        <v>3800.0</v>
      </c>
      <c r="Q9" s="11">
        <f t="shared" si="3"/>
        <v>1.029697056</v>
      </c>
    </row>
    <row r="10" ht="24.75" customHeight="1">
      <c r="A10" s="8" t="s">
        <v>24</v>
      </c>
      <c r="B10" s="23" t="str">
        <f>hyperlink("https://docs.google.com/spreadsheets/d/15oR4AzHb3aObQVH2-iOM0BUe860L_hQgGGLP9Y6meI0/edit#gid=0","Trung tâm TVDA")</f>
        <v>Trung tâm TVDA</v>
      </c>
      <c r="C10" s="21">
        <v>0.0</v>
      </c>
      <c r="D10" s="21">
        <v>0.0</v>
      </c>
      <c r="E10" s="21">
        <v>90.4033638</v>
      </c>
      <c r="F10" s="21">
        <v>0.0</v>
      </c>
      <c r="G10" s="21">
        <v>0.0</v>
      </c>
      <c r="H10" s="21">
        <v>0.0</v>
      </c>
      <c r="I10" s="21">
        <v>2.0</v>
      </c>
      <c r="J10" s="21">
        <v>15.7855</v>
      </c>
      <c r="K10" s="21">
        <v>6.831056</v>
      </c>
      <c r="L10" s="21">
        <v>81.1733035</v>
      </c>
      <c r="M10" s="21">
        <v>27.178278</v>
      </c>
      <c r="N10" s="21">
        <v>0.0</v>
      </c>
      <c r="O10" s="10">
        <f t="shared" si="2"/>
        <v>223.3715013</v>
      </c>
      <c r="P10" s="21">
        <v>1050.0</v>
      </c>
      <c r="Q10" s="11">
        <f t="shared" si="3"/>
        <v>0.2127347631</v>
      </c>
    </row>
    <row r="11" ht="24.75" customHeight="1">
      <c r="A11" s="8" t="s">
        <v>23</v>
      </c>
      <c r="B11" s="23" t="str">
        <f>hyperlink("https://docs.google.com/spreadsheets/d/1hB-HxXul-KU7Tqz0qiYJ2YdQ3FS-235QFmwHQIzdQR0/edit#gid=0","Trung tâm TVXD")</f>
        <v>Trung tâm TVXD</v>
      </c>
      <c r="C11" s="21">
        <v>399.25691</v>
      </c>
      <c r="D11" s="21"/>
      <c r="E11" s="10"/>
      <c r="F11" s="21">
        <v>0.0</v>
      </c>
      <c r="G11" s="21">
        <v>0.0</v>
      </c>
      <c r="H11" s="10"/>
      <c r="I11" s="21">
        <v>0.0</v>
      </c>
      <c r="J11" s="10"/>
      <c r="K11" s="21"/>
      <c r="L11" s="21">
        <v>0.0</v>
      </c>
      <c r="M11" s="21">
        <v>0.0</v>
      </c>
      <c r="N11" s="21">
        <v>0.0</v>
      </c>
      <c r="O11" s="10">
        <f t="shared" si="2"/>
        <v>399.25691</v>
      </c>
      <c r="P11" s="21">
        <v>1500.0</v>
      </c>
      <c r="Q11" s="11">
        <f t="shared" si="3"/>
        <v>0.2661712733</v>
      </c>
    </row>
    <row r="12" ht="25.5" customHeight="1">
      <c r="A12" s="22" t="s">
        <v>23</v>
      </c>
      <c r="B12" s="24" t="str">
        <f>HYPERLINK("https://docs.google.com/spreadsheets/d/1_2CNBES8nIYbHQusNB5GWqUCMVnT3BGVbsPgLxWwUCw/edit#gid=0","Trung tâm TMB")</f>
        <v>Trung tâm TMB</v>
      </c>
      <c r="C12" s="21">
        <v>0.0</v>
      </c>
      <c r="D12" s="21">
        <v>144.85324866666664</v>
      </c>
      <c r="E12" s="21">
        <v>0.0</v>
      </c>
      <c r="F12" s="21">
        <v>10.001921111111116</v>
      </c>
      <c r="G12" s="21">
        <v>53.35289061111112</v>
      </c>
      <c r="H12" s="21">
        <v>0.0</v>
      </c>
      <c r="I12" s="21">
        <v>46.484889555555554</v>
      </c>
      <c r="J12" s="21">
        <v>16.574400000000004</v>
      </c>
      <c r="K12" s="21">
        <v>11.7450375</v>
      </c>
      <c r="L12" s="21">
        <v>0.0</v>
      </c>
      <c r="M12" s="21">
        <v>85.0518888888889</v>
      </c>
      <c r="N12" s="21">
        <v>0.0</v>
      </c>
      <c r="O12" s="10">
        <f t="shared" si="2"/>
        <v>368.0642763</v>
      </c>
      <c r="P12" s="21">
        <v>1500.0</v>
      </c>
      <c r="Q12" s="11">
        <f t="shared" si="3"/>
        <v>0.2453761842</v>
      </c>
    </row>
    <row r="13" ht="24.75" customHeight="1">
      <c r="A13" s="22" t="s">
        <v>25</v>
      </c>
      <c r="B13" s="25" t="str">
        <f>HYPERLINK("https://docs.google.com/spreadsheets/d/1zDciZ8Q2y6PpEHkfkC5QQmjwMAmv6-RHvnczqFOvtSQ/edit#gid=0","Các lĩnh vực khác")</f>
        <v>Các lĩnh vực khác</v>
      </c>
      <c r="C13" s="21">
        <v>0.0</v>
      </c>
      <c r="D13" s="10"/>
      <c r="E13" s="10"/>
      <c r="F13" s="10"/>
      <c r="G13" s="10"/>
      <c r="H13" s="21"/>
      <c r="I13" s="10"/>
      <c r="J13" s="10"/>
      <c r="K13" s="10"/>
      <c r="L13" s="10"/>
      <c r="M13" s="10"/>
      <c r="N13" s="10"/>
      <c r="O13" s="10">
        <f t="shared" si="2"/>
        <v>0</v>
      </c>
      <c r="P13" s="14">
        <v>300.0</v>
      </c>
      <c r="Q13" s="11">
        <f t="shared" si="3"/>
        <v>0</v>
      </c>
    </row>
    <row r="14" ht="24.75" customHeight="1">
      <c r="A14" s="22" t="s">
        <v>26</v>
      </c>
      <c r="B14" s="9" t="s">
        <v>27</v>
      </c>
      <c r="C14" s="40">
        <f t="shared" ref="C14:N14" si="5">SUM(C15:C16)</f>
        <v>2106.183297</v>
      </c>
      <c r="D14" s="41">
        <f t="shared" si="5"/>
        <v>1058.694295</v>
      </c>
      <c r="E14" s="41">
        <f t="shared" si="5"/>
        <v>2834.468267</v>
      </c>
      <c r="F14" s="41">
        <f t="shared" si="5"/>
        <v>1640.263717</v>
      </c>
      <c r="G14" s="41">
        <f t="shared" si="5"/>
        <v>1702.950336</v>
      </c>
      <c r="H14" s="41">
        <f t="shared" si="5"/>
        <v>1417.519855</v>
      </c>
      <c r="I14" s="41">
        <f t="shared" si="5"/>
        <v>1241.799182</v>
      </c>
      <c r="J14" s="41">
        <f t="shared" si="5"/>
        <v>1975.747184</v>
      </c>
      <c r="K14" s="41">
        <f t="shared" si="5"/>
        <v>2559.495406</v>
      </c>
      <c r="L14" s="41">
        <f t="shared" si="5"/>
        <v>1496.888269</v>
      </c>
      <c r="M14" s="41">
        <f t="shared" si="5"/>
        <v>4630.331321</v>
      </c>
      <c r="N14" s="41">
        <f t="shared" si="5"/>
        <v>1193.242272</v>
      </c>
      <c r="O14" s="28">
        <f t="shared" si="2"/>
        <v>23857.5834</v>
      </c>
      <c r="P14" s="10">
        <f>P16+P15</f>
        <v>21200</v>
      </c>
      <c r="Q14" s="11">
        <f t="shared" si="3"/>
        <v>1.125357708</v>
      </c>
    </row>
    <row r="15" ht="24.75" customHeight="1">
      <c r="A15" s="29"/>
      <c r="B15" s="30" t="s">
        <v>28</v>
      </c>
      <c r="C15" s="31">
        <f t="shared" ref="C15:N15" si="6">C4+C7+C9+C10+C11+C12+C13</f>
        <v>1938.950545</v>
      </c>
      <c r="D15" s="31">
        <f t="shared" si="6"/>
        <v>883.6285093</v>
      </c>
      <c r="E15" s="31">
        <f t="shared" si="6"/>
        <v>1968.494935</v>
      </c>
      <c r="F15" s="31">
        <f t="shared" si="6"/>
        <v>1226.813394</v>
      </c>
      <c r="G15" s="31">
        <f t="shared" si="6"/>
        <v>1097.875644</v>
      </c>
      <c r="H15" s="31">
        <f t="shared" si="6"/>
        <v>999.6364208</v>
      </c>
      <c r="I15" s="31">
        <f t="shared" si="6"/>
        <v>541.3586159</v>
      </c>
      <c r="J15" s="31">
        <f t="shared" si="6"/>
        <v>1524.86649</v>
      </c>
      <c r="K15" s="31">
        <f t="shared" si="6"/>
        <v>2476.14058</v>
      </c>
      <c r="L15" s="31">
        <f t="shared" si="6"/>
        <v>1282.407258</v>
      </c>
      <c r="M15" s="31">
        <f t="shared" si="6"/>
        <v>2099.424526</v>
      </c>
      <c r="N15" s="31">
        <f t="shared" si="6"/>
        <v>1008.770342</v>
      </c>
      <c r="O15" s="31">
        <f t="shared" ref="O15:O17" si="8">SUM(C15:N15)</f>
        <v>17048.36726</v>
      </c>
      <c r="P15" s="31">
        <f>P4+P7+P9+P10+P11+P12+P13</f>
        <v>15450</v>
      </c>
      <c r="Q15" s="16">
        <f t="shared" si="3"/>
        <v>1.103454192</v>
      </c>
    </row>
    <row r="16" ht="24.75" customHeight="1">
      <c r="A16" s="29"/>
      <c r="B16" s="30" t="s">
        <v>29</v>
      </c>
      <c r="C16" s="31">
        <f t="shared" ref="C16:N16" si="7">C5+C8</f>
        <v>167.2327525</v>
      </c>
      <c r="D16" s="31">
        <f t="shared" si="7"/>
        <v>175.0657857</v>
      </c>
      <c r="E16" s="31">
        <f t="shared" si="7"/>
        <v>865.9733322</v>
      </c>
      <c r="F16" s="31">
        <f t="shared" si="7"/>
        <v>413.4503228</v>
      </c>
      <c r="G16" s="31">
        <f t="shared" si="7"/>
        <v>605.074692</v>
      </c>
      <c r="H16" s="31">
        <f t="shared" si="7"/>
        <v>417.8834345</v>
      </c>
      <c r="I16" s="31">
        <f t="shared" si="7"/>
        <v>700.4405659</v>
      </c>
      <c r="J16" s="31">
        <f t="shared" si="7"/>
        <v>450.8806936</v>
      </c>
      <c r="K16" s="31">
        <f t="shared" si="7"/>
        <v>83.354826</v>
      </c>
      <c r="L16" s="31">
        <f t="shared" si="7"/>
        <v>214.481011</v>
      </c>
      <c r="M16" s="31">
        <f t="shared" si="7"/>
        <v>2530.906796</v>
      </c>
      <c r="N16" s="31">
        <f t="shared" si="7"/>
        <v>184.47193</v>
      </c>
      <c r="O16" s="31">
        <f t="shared" si="8"/>
        <v>6809.216142</v>
      </c>
      <c r="P16" s="31">
        <f>P5+P8</f>
        <v>5750</v>
      </c>
      <c r="Q16" s="16">
        <f t="shared" si="3"/>
        <v>1.184211503</v>
      </c>
    </row>
    <row r="17" ht="24.75" customHeight="1">
      <c r="A17" s="32"/>
      <c r="B17" s="33" t="s">
        <v>30</v>
      </c>
      <c r="C17" s="34">
        <f>IFERROR(__xludf.DUMMYFUNCTION("IMPORTRANGE(""1pVVPsJRZuZTfMAbYsuMVtd5oqiAJQKt_FCZMxv4OMEk"", ""Lợi nhuận gộp quản trị!C14"")"),262.0113078888889)</f>
        <v>262.0113079</v>
      </c>
      <c r="D17" s="34">
        <f>IFERROR(__xludf.DUMMYFUNCTION("IMPORTRANGE(""1pVVPsJRZuZTfMAbYsuMVtd5oqiAJQKt_FCZMxv4OMEk"", ""Lợi nhuận gộp quản trị!D14"")"),1665.8142580977776)</f>
        <v>1665.814258</v>
      </c>
      <c r="E17" s="34">
        <f>IFERROR(__xludf.DUMMYFUNCTION("IMPORTRANGE(""1pVVPsJRZuZTfMAbYsuMVtd5oqiAJQKt_FCZMxv4OMEk"", ""Lợi nhuận gộp quản trị!E14"")"),2311.5198993892777)</f>
        <v>2311.519899</v>
      </c>
      <c r="F17" s="34">
        <f>IFERROR(__xludf.DUMMYFUNCTION("IMPORTRANGE(""1pVVPsJRZuZTfMAbYsuMVtd5oqiAJQKt_FCZMxv4OMEk"", ""Lợi nhuận gộp quản trị!F14"")"),1255.3343158239645)</f>
        <v>1255.334316</v>
      </c>
      <c r="G17" s="34">
        <f>IFERROR(__xludf.DUMMYFUNCTION("IMPORTRANGE(""1pVVPsJRZuZTfMAbYsuMVtd5oqiAJQKt_FCZMxv4OMEk"", ""Lợi nhuận gộp quản trị!G14"")"),1939.806246096496)</f>
        <v>1939.806246</v>
      </c>
      <c r="H17" s="34">
        <f>IFERROR(__xludf.DUMMYFUNCTION("IMPORTRANGE(""1pVVPsJRZuZTfMAbYsuMVtd5oqiAJQKt_FCZMxv4OMEk"", ""Lợi nhuận gộp quản trị!H14"")"),1481.4140755772223)</f>
        <v>1481.414076</v>
      </c>
      <c r="I17" s="34">
        <f>IFERROR(__xludf.DUMMYFUNCTION("IMPORTRANGE(""1pVVPsJRZuZTfMAbYsuMVtd5oqiAJQKt_FCZMxv4OMEk"", ""Lợi nhuận gộp quản trị!I14"")"),2708.911169673633)</f>
        <v>2708.91117</v>
      </c>
      <c r="J17" s="34">
        <f>IFERROR(__xludf.DUMMYFUNCTION("IMPORTRANGE(""1pVVPsJRZuZTfMAbYsuMVtd5oqiAJQKt_FCZMxv4OMEk"", ""Lợi nhuận gộp quản trị!J14"")"),1371.8205878944445)</f>
        <v>1371.820588</v>
      </c>
      <c r="K17" s="34">
        <f>IFERROR(__xludf.DUMMYFUNCTION("IMPORTRANGE(""1pVVPsJRZuZTfMAbYsuMVtd5oqiAJQKt_FCZMxv4OMEk"", ""Lợi nhuận gộp quản trị!K14"")"),1508.1248156913095)</f>
        <v>1508.124816</v>
      </c>
      <c r="L17" s="34">
        <f>IFERROR(__xludf.DUMMYFUNCTION("IMPORTRANGE(""1pVVPsJRZuZTfMAbYsuMVtd5oqiAJQKt_FCZMxv4OMEk"", ""Lợi nhuận gộp quản trị!L14"")"),2554.0759917589817)</f>
        <v>2554.075992</v>
      </c>
      <c r="M17" s="34">
        <f>IFERROR(__xludf.DUMMYFUNCTION("IMPORTRANGE(""1pVVPsJRZuZTfMAbYsuMVtd5oqiAJQKt_FCZMxv4OMEk"", ""Lợi nhuận gộp quản trị!M14"")"),3316.250103666192)</f>
        <v>3316.250104</v>
      </c>
      <c r="N17" s="34">
        <f>IFERROR(__xludf.DUMMYFUNCTION("IMPORTRANGE(""1pVVPsJRZuZTfMAbYsuMVtd5oqiAJQKt_FCZMxv4OMEk"", ""Lợi nhuận gộp quản trị!N14"")"),1715.060285901111)</f>
        <v>1715.060286</v>
      </c>
      <c r="O17" s="10">
        <f t="shared" si="8"/>
        <v>22090.14306</v>
      </c>
      <c r="P17" s="35"/>
      <c r="Q17" s="11"/>
    </row>
    <row r="18" ht="24.75" customHeight="1">
      <c r="A18" s="32"/>
      <c r="B18" s="33" t="s">
        <v>31</v>
      </c>
      <c r="C18" s="11">
        <f t="shared" ref="C18:O18" si="9">C14/C17</f>
        <v>8.038520605</v>
      </c>
      <c r="D18" s="11">
        <f t="shared" si="9"/>
        <v>0.6355416217</v>
      </c>
      <c r="E18" s="11">
        <f t="shared" si="9"/>
        <v>1.22623572</v>
      </c>
      <c r="F18" s="11">
        <f t="shared" si="9"/>
        <v>1.306634971</v>
      </c>
      <c r="G18" s="11">
        <f t="shared" si="9"/>
        <v>0.8778971297</v>
      </c>
      <c r="H18" s="11">
        <f t="shared" si="9"/>
        <v>0.9568694389</v>
      </c>
      <c r="I18" s="11">
        <f t="shared" si="9"/>
        <v>0.4584126625</v>
      </c>
      <c r="J18" s="11">
        <f t="shared" si="9"/>
        <v>1.440237303</v>
      </c>
      <c r="K18" s="11">
        <f t="shared" si="9"/>
        <v>1.69713765</v>
      </c>
      <c r="L18" s="11">
        <f t="shared" si="9"/>
        <v>0.5860782037</v>
      </c>
      <c r="M18" s="11">
        <f t="shared" si="9"/>
        <v>1.396255161</v>
      </c>
      <c r="N18" s="11">
        <f t="shared" si="9"/>
        <v>0.6957436316</v>
      </c>
      <c r="O18" s="11">
        <f t="shared" si="9"/>
        <v>1.080010362</v>
      </c>
      <c r="P18" s="35"/>
      <c r="Q18" s="36"/>
    </row>
    <row r="19" ht="24.75" customHeight="1">
      <c r="A19" s="32"/>
      <c r="B19" s="9" t="s">
        <v>32</v>
      </c>
      <c r="C19" s="11"/>
      <c r="D19" s="11">
        <f t="shared" ref="D19:N19" si="10">sum($C14:D14)/sum($C17:D17)</f>
        <v>1.641682551</v>
      </c>
      <c r="E19" s="11">
        <f t="shared" si="10"/>
        <v>1.415158521</v>
      </c>
      <c r="F19" s="11">
        <f t="shared" si="10"/>
        <v>1.39036484</v>
      </c>
      <c r="G19" s="11">
        <f t="shared" si="10"/>
        <v>1.256651755</v>
      </c>
      <c r="H19" s="11">
        <f t="shared" si="10"/>
        <v>1.20684167</v>
      </c>
      <c r="I19" s="11">
        <f t="shared" si="10"/>
        <v>1.032436456</v>
      </c>
      <c r="J19" s="11">
        <f t="shared" si="10"/>
        <v>1.075480654</v>
      </c>
      <c r="K19" s="11">
        <f t="shared" si="10"/>
        <v>1.140117129</v>
      </c>
      <c r="L19" s="11">
        <f t="shared" si="10"/>
        <v>1.057165526</v>
      </c>
      <c r="M19" s="11">
        <f t="shared" si="10"/>
        <v>1.112355782</v>
      </c>
      <c r="N19" s="11">
        <f t="shared" si="10"/>
        <v>1.080010362</v>
      </c>
      <c r="O19" s="37" t="s">
        <v>33</v>
      </c>
      <c r="P19" s="38">
        <v>17000.0</v>
      </c>
      <c r="Q19" s="37">
        <f>O14/P19</f>
        <v>1.403387259</v>
      </c>
    </row>
  </sheetData>
  <mergeCells count="1">
    <mergeCell ref="C1:P1"/>
  </mergeCells>
  <conditionalFormatting sqref="C18:N19">
    <cfRule type="cellIs" dxfId="0" priority="1" operator="greaterThan">
      <formula>1</formula>
    </cfRule>
  </conditionalFormatting>
  <conditionalFormatting sqref="O18">
    <cfRule type="cellIs" dxfId="0" priority="2" operator="greaterThan">
      <formula>1</formula>
    </cfRule>
  </conditionalFormatting>
  <conditionalFormatting sqref="C18:N19">
    <cfRule type="cellIs" dxfId="1" priority="3" operator="lessThan">
      <formula>1</formula>
    </cfRule>
  </conditionalFormatting>
  <conditionalFormatting sqref="O18">
    <cfRule type="cellIs" dxfId="1" priority="4" operator="lessThan">
      <formula>1</formula>
    </cfRule>
  </conditionalFormatting>
  <printOptions horizontalCentered="1"/>
  <pageMargins bottom="0.75" footer="0.0" header="0.0" left="0.25" right="0.25" top="0.75"/>
  <pageSetup fitToHeight="0" paperSize="9"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4.88"/>
    <col customWidth="1" min="2" max="2" width="26.75"/>
    <col customWidth="1" min="3" max="14" width="11.75"/>
    <col customWidth="1" min="15" max="15" width="14.13"/>
    <col customWidth="1" min="16" max="16" width="14.0"/>
    <col customWidth="1" min="17" max="17" width="13.0"/>
  </cols>
  <sheetData>
    <row r="1" ht="24.0" customHeight="1">
      <c r="B1" s="2">
        <v>2023.0</v>
      </c>
      <c r="C1" s="3" t="s">
        <v>37</v>
      </c>
      <c r="Q1" s="4"/>
    </row>
    <row r="2" ht="32.2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6" t="s">
        <v>15</v>
      </c>
      <c r="P2" s="6" t="s">
        <v>36</v>
      </c>
      <c r="Q2" s="5" t="s">
        <v>17</v>
      </c>
    </row>
    <row r="3" ht="24.75" customHeight="1">
      <c r="A3" s="8" t="s">
        <v>18</v>
      </c>
      <c r="B3" s="9" t="s">
        <v>19</v>
      </c>
      <c r="C3" s="10">
        <f t="shared" ref="C3:N3" si="1">sum(C4:C5)</f>
        <v>10</v>
      </c>
      <c r="D3" s="10">
        <f t="shared" si="1"/>
        <v>30.02</v>
      </c>
      <c r="E3" s="10">
        <f t="shared" si="1"/>
        <v>48.2475</v>
      </c>
      <c r="F3" s="10">
        <f t="shared" si="1"/>
        <v>4.8125</v>
      </c>
      <c r="G3" s="10">
        <f t="shared" si="1"/>
        <v>9.24</v>
      </c>
      <c r="H3" s="10">
        <f t="shared" si="1"/>
        <v>9.5</v>
      </c>
      <c r="I3" s="10">
        <f t="shared" si="1"/>
        <v>36.2325</v>
      </c>
      <c r="J3" s="10">
        <f t="shared" si="1"/>
        <v>15.4125</v>
      </c>
      <c r="K3" s="10">
        <f t="shared" si="1"/>
        <v>14.325</v>
      </c>
      <c r="L3" s="10">
        <f t="shared" si="1"/>
        <v>504.6703705</v>
      </c>
      <c r="M3" s="10">
        <f t="shared" si="1"/>
        <v>296.2206728</v>
      </c>
      <c r="N3" s="10">
        <f t="shared" si="1"/>
        <v>1055.308481</v>
      </c>
      <c r="O3" s="10">
        <f t="shared" ref="O3:O14" si="2">sum(C3:N3)</f>
        <v>2033.989524</v>
      </c>
      <c r="P3" s="10">
        <f>SUM(P4:P5)</f>
        <v>2050</v>
      </c>
      <c r="Q3" s="11">
        <f t="shared" ref="Q3:Q16" si="3">O3/P3</f>
        <v>0.9921900118</v>
      </c>
    </row>
    <row r="4" ht="24.75" customHeight="1">
      <c r="A4" s="12"/>
      <c r="B4" s="13" t="str">
        <f>hyperlink("https://docs.google.com/spreadsheets/d/1w54z4NbyEbyjjJVyXvIK7OhyvnYLbtg7H9uK4YAXpNU/edit#gid=0","- Trung tâm PMXD")</f>
        <v>- Trung tâm PMXD</v>
      </c>
      <c r="C4" s="14">
        <v>10.0</v>
      </c>
      <c r="D4" s="14">
        <v>21.0</v>
      </c>
      <c r="E4" s="14">
        <v>42.5</v>
      </c>
      <c r="F4" s="14"/>
      <c r="G4" s="14">
        <v>5.5</v>
      </c>
      <c r="H4" s="14">
        <v>9.5</v>
      </c>
      <c r="I4" s="14">
        <v>23.5</v>
      </c>
      <c r="J4" s="14">
        <v>8.4</v>
      </c>
      <c r="K4" s="14">
        <v>8.0</v>
      </c>
      <c r="L4" s="14">
        <v>504.67037049999993</v>
      </c>
      <c r="M4" s="14">
        <v>287.8606728</v>
      </c>
      <c r="N4" s="14">
        <v>1048.4884808499999</v>
      </c>
      <c r="O4" s="15">
        <f t="shared" si="2"/>
        <v>1969.419524</v>
      </c>
      <c r="P4" s="14">
        <f>'Lợi nhuận gộp quản trị'!P4</f>
        <v>1800</v>
      </c>
      <c r="Q4" s="16">
        <f t="shared" si="3"/>
        <v>1.094121958</v>
      </c>
    </row>
    <row r="5" ht="24.75" customHeight="1">
      <c r="A5" s="12"/>
      <c r="B5" s="13" t="str">
        <f>hyperlink("https://docs.google.com/spreadsheets/d/1P0ilCSyqA3dOMst3KNMcZ42cxp71XvTpe3tKMhYksN8/edit#gid=2074483897","- Chi nhánh")</f>
        <v>- Chi nhánh</v>
      </c>
      <c r="C5" s="17"/>
      <c r="D5" s="14">
        <v>9.02</v>
      </c>
      <c r="E5" s="14">
        <v>5.7475</v>
      </c>
      <c r="F5" s="14">
        <v>4.8125</v>
      </c>
      <c r="G5" s="14">
        <v>3.74</v>
      </c>
      <c r="H5" s="14"/>
      <c r="I5" s="14">
        <v>12.7325</v>
      </c>
      <c r="J5" s="14">
        <v>7.0125</v>
      </c>
      <c r="K5" s="14">
        <v>6.325</v>
      </c>
      <c r="L5" s="14"/>
      <c r="M5" s="14">
        <v>8.36</v>
      </c>
      <c r="N5" s="14">
        <v>6.820000000000001</v>
      </c>
      <c r="O5" s="15">
        <f t="shared" si="2"/>
        <v>64.57</v>
      </c>
      <c r="P5" s="14">
        <f>'Lợi nhuận gộp quản trị'!P5</f>
        <v>250</v>
      </c>
      <c r="Q5" s="16">
        <f t="shared" si="3"/>
        <v>0.25828</v>
      </c>
    </row>
    <row r="6" ht="24.75" customHeight="1">
      <c r="A6" s="8" t="s">
        <v>20</v>
      </c>
      <c r="B6" s="9" t="s">
        <v>21</v>
      </c>
      <c r="C6" s="10">
        <f t="shared" ref="C6:N6" si="4">SUM(C7:C8)</f>
        <v>221.4069003</v>
      </c>
      <c r="D6" s="10">
        <f t="shared" si="4"/>
        <v>1882.249843</v>
      </c>
      <c r="E6" s="10">
        <f t="shared" si="4"/>
        <v>1274.687285</v>
      </c>
      <c r="F6" s="10">
        <f t="shared" si="4"/>
        <v>700.2052579</v>
      </c>
      <c r="G6" s="10">
        <f t="shared" si="4"/>
        <v>1485.20308</v>
      </c>
      <c r="H6" s="10">
        <f t="shared" si="4"/>
        <v>872.7041422</v>
      </c>
      <c r="I6" s="10">
        <f t="shared" si="4"/>
        <v>1100.129617</v>
      </c>
      <c r="J6" s="10">
        <f t="shared" si="4"/>
        <v>1116.683913</v>
      </c>
      <c r="K6" s="10">
        <f t="shared" si="4"/>
        <v>1406.629184</v>
      </c>
      <c r="L6" s="10">
        <f t="shared" si="4"/>
        <v>1438.69288</v>
      </c>
      <c r="M6" s="10">
        <f t="shared" si="4"/>
        <v>1559.127408</v>
      </c>
      <c r="N6" s="10">
        <f t="shared" si="4"/>
        <v>3902.26513</v>
      </c>
      <c r="O6" s="10">
        <f t="shared" si="2"/>
        <v>16959.98464</v>
      </c>
      <c r="P6" s="10">
        <f>P8+P7</f>
        <v>11000</v>
      </c>
      <c r="Q6" s="11">
        <f t="shared" si="3"/>
        <v>1.541816785</v>
      </c>
    </row>
    <row r="7" ht="24.75" customHeight="1">
      <c r="A7" s="12"/>
      <c r="B7" s="13" t="str">
        <f>hyperlink("https://docs.google.com/spreadsheets/d/1vCOoengzj4u-lf-Olvw85ysitfzOfclGKPXAtoEPy0A/edit#gid=663001998","- Trung tâm DCS")</f>
        <v>- Trung tâm DCS</v>
      </c>
      <c r="C7" s="14">
        <v>96.05642199702777</v>
      </c>
      <c r="D7" s="14">
        <v>1677.0877467841667</v>
      </c>
      <c r="E7" s="14">
        <v>805.9460883220556</v>
      </c>
      <c r="F7" s="14">
        <v>237.1436525111111</v>
      </c>
      <c r="G7" s="14">
        <v>880.2515698387457</v>
      </c>
      <c r="H7" s="14">
        <v>552.5854588400001</v>
      </c>
      <c r="I7" s="14">
        <v>437.1050853945167</v>
      </c>
      <c r="J7" s="14">
        <v>625.9126359511666</v>
      </c>
      <c r="K7" s="14">
        <v>962.5273261820175</v>
      </c>
      <c r="L7" s="14">
        <v>1120.2824009069443</v>
      </c>
      <c r="M7" s="14">
        <v>1132.97702868845</v>
      </c>
      <c r="N7" s="14">
        <v>1571.5973445133993</v>
      </c>
      <c r="O7" s="15">
        <f t="shared" si="2"/>
        <v>10099.47276</v>
      </c>
      <c r="P7" s="14">
        <f>'Lợi nhuận gộp quản trị'!P7</f>
        <v>5500</v>
      </c>
      <c r="Q7" s="16">
        <f t="shared" si="3"/>
        <v>1.836267775</v>
      </c>
    </row>
    <row r="8" ht="24.75" customHeight="1">
      <c r="A8" s="12"/>
      <c r="B8" s="13" t="str">
        <f>hyperlink("https://docs.google.com/spreadsheets/d/1P0ilCSyqA3dOMst3KNMcZ42cxp71XvTpe3tKMhYksN8/edit#gid=1340171929","- Chi nhánh")</f>
        <v>- Chi nhánh</v>
      </c>
      <c r="C8" s="14">
        <v>125.35047829944443</v>
      </c>
      <c r="D8" s="14">
        <v>205.16209633749997</v>
      </c>
      <c r="E8" s="14">
        <v>468.7411966163056</v>
      </c>
      <c r="F8" s="14">
        <v>463.0616054051753</v>
      </c>
      <c r="G8" s="19">
        <v>604.951510065</v>
      </c>
      <c r="H8" s="19">
        <v>320.118683325</v>
      </c>
      <c r="I8" s="19">
        <v>663.0245312836112</v>
      </c>
      <c r="J8" s="19">
        <v>490.77127717638894</v>
      </c>
      <c r="K8" s="19">
        <v>444.1018575067777</v>
      </c>
      <c r="L8" s="19">
        <v>318.41047894444444</v>
      </c>
      <c r="M8" s="19">
        <v>426.1503788888889</v>
      </c>
      <c r="N8" s="19">
        <v>2330.667785555555</v>
      </c>
      <c r="O8" s="15">
        <f t="shared" si="2"/>
        <v>6860.511879</v>
      </c>
      <c r="P8" s="14">
        <f>'Lợi nhuận gộp quản trị'!P8</f>
        <v>5500</v>
      </c>
      <c r="Q8" s="16">
        <f t="shared" si="3"/>
        <v>1.247365796</v>
      </c>
    </row>
    <row r="9" ht="24.75" customHeight="1">
      <c r="A9" s="8" t="s">
        <v>22</v>
      </c>
      <c r="B9" s="20" t="str">
        <f>hyperlink("https://docs.google.com/spreadsheets/d/1d_dnULuhyFhAz_vzHPOr4a1463PBw6xMA3MZaClxQ5Q/edit#gid=0","Trung tâm STC")</f>
        <v>Trung tâm STC</v>
      </c>
      <c r="C9" s="21">
        <v>17.5</v>
      </c>
      <c r="D9" s="21">
        <v>109.37183225</v>
      </c>
      <c r="E9" s="21"/>
      <c r="F9" s="21">
        <v>177.04070998944445</v>
      </c>
      <c r="G9" s="21">
        <v>1085.1902345569097</v>
      </c>
      <c r="H9" s="21">
        <v>37.55058</v>
      </c>
      <c r="I9" s="21">
        <v>74.7496095</v>
      </c>
      <c r="J9" s="21">
        <v>175.60612881999998</v>
      </c>
      <c r="K9" s="21">
        <v>163.927424</v>
      </c>
      <c r="L9" s="21">
        <v>470.7022884</v>
      </c>
      <c r="M9" s="21">
        <v>604.4580367627273</v>
      </c>
      <c r="N9" s="21">
        <v>908.995771648485</v>
      </c>
      <c r="O9" s="10">
        <f t="shared" si="2"/>
        <v>3825.092616</v>
      </c>
      <c r="P9" s="21">
        <f>'Lợi nhuận gộp quản trị'!P9</f>
        <v>3800</v>
      </c>
      <c r="Q9" s="11">
        <f t="shared" si="3"/>
        <v>1.00660332</v>
      </c>
    </row>
    <row r="10" ht="24.75" customHeight="1">
      <c r="A10" s="8" t="s">
        <v>24</v>
      </c>
      <c r="B10" s="23" t="str">
        <f>hyperlink("https://docs.google.com/spreadsheets/d/15oR4AzHb3aObQVH2-iOM0BUe860L_hQgGGLP9Y6meI0/edit#gid=0","Trung tâm TVDA")</f>
        <v>Trung tâm TVDA</v>
      </c>
      <c r="C10" s="21"/>
      <c r="D10" s="21">
        <v>9.317</v>
      </c>
      <c r="E10" s="21"/>
      <c r="F10" s="10"/>
      <c r="G10" s="10"/>
      <c r="H10" s="21">
        <v>9.985999099999999</v>
      </c>
      <c r="I10" s="21"/>
      <c r="J10" s="21">
        <v>2.0</v>
      </c>
      <c r="K10" s="21">
        <v>6.936111</v>
      </c>
      <c r="L10" s="10"/>
      <c r="M10" s="21">
        <v>61.50925899999999</v>
      </c>
      <c r="N10" s="21">
        <v>221.3745213</v>
      </c>
      <c r="O10" s="10">
        <f t="shared" si="2"/>
        <v>311.1228904</v>
      </c>
      <c r="P10" s="21">
        <f>'Lợi nhuận gộp quản trị'!P10</f>
        <v>1050</v>
      </c>
      <c r="Q10" s="11">
        <f t="shared" si="3"/>
        <v>0.2963075147</v>
      </c>
    </row>
    <row r="11" ht="24.75" customHeight="1">
      <c r="A11" s="8" t="s">
        <v>23</v>
      </c>
      <c r="B11" s="23" t="str">
        <f>hyperlink("https://docs.google.com/spreadsheets/d/1hB-HxXul-KU7Tqz0qiYJ2YdQ3FS-235QFmwHQIzdQR0/edit#gid=0","Trung tâm TVXD")</f>
        <v>Trung tâm TVXD</v>
      </c>
      <c r="C11" s="21"/>
      <c r="D11" s="21"/>
      <c r="E11" s="10"/>
      <c r="F11" s="21">
        <v>147.467182</v>
      </c>
      <c r="G11" s="21"/>
      <c r="H11" s="21">
        <v>6.913636</v>
      </c>
      <c r="I11" s="10"/>
      <c r="J11" s="10"/>
      <c r="K11" s="21"/>
      <c r="L11" s="21">
        <v>97.545454</v>
      </c>
      <c r="M11" s="21">
        <v>147.330638</v>
      </c>
      <c r="N11" s="10"/>
      <c r="O11" s="10">
        <f t="shared" si="2"/>
        <v>399.25691</v>
      </c>
      <c r="P11" s="21">
        <f>'Lợi nhuận gộp quản trị'!P11</f>
        <v>1500</v>
      </c>
      <c r="Q11" s="11">
        <f t="shared" si="3"/>
        <v>0.2661712733</v>
      </c>
    </row>
    <row r="12" ht="25.5" customHeight="1">
      <c r="A12" s="22" t="s">
        <v>23</v>
      </c>
      <c r="B12" s="24" t="str">
        <f>HYPERLINK("https://docs.google.com/spreadsheets/d/1_2CNBES8nIYbHQusNB5GWqUCMVnT3BGVbsPgLxWwUCw/edit#gid=0","Trung tâm TMB")</f>
        <v>Trung tâm TMB</v>
      </c>
      <c r="C12" s="21"/>
      <c r="D12" s="21"/>
      <c r="E12" s="21"/>
      <c r="F12" s="21">
        <v>1.775</v>
      </c>
      <c r="G12" s="21">
        <v>10.001921111111116</v>
      </c>
      <c r="H12" s="21">
        <v>143.07824866666667</v>
      </c>
      <c r="I12" s="10"/>
      <c r="J12" s="21">
        <v>77.81146311111111</v>
      </c>
      <c r="K12" s="21">
        <v>16.465656</v>
      </c>
      <c r="L12" s="21"/>
      <c r="M12" s="21"/>
      <c r="N12" s="21">
        <v>176.96668394444444</v>
      </c>
      <c r="O12" s="10">
        <f t="shared" si="2"/>
        <v>426.0989728</v>
      </c>
      <c r="P12" s="21">
        <f>'Lợi nhuận gộp quản trị'!P12</f>
        <v>1500</v>
      </c>
      <c r="Q12" s="11">
        <f t="shared" si="3"/>
        <v>0.2840659819</v>
      </c>
    </row>
    <row r="13" ht="24.75" customHeight="1">
      <c r="A13" s="22" t="s">
        <v>25</v>
      </c>
      <c r="B13" s="25" t="str">
        <f>HYPERLINK("https://docs.google.com/spreadsheets/d/1zDciZ8Q2y6PpEHkfkC5QQmjwMAmv6-RHvnczqFOvtSQ/edit#gid=0","Các lĩnh vực khác")</f>
        <v>Các lĩnh vực khác</v>
      </c>
      <c r="C13" s="21"/>
      <c r="D13" s="10"/>
      <c r="E13" s="10"/>
      <c r="F13" s="10"/>
      <c r="G13" s="10"/>
      <c r="H13" s="21"/>
      <c r="I13" s="10"/>
      <c r="J13" s="10"/>
      <c r="K13" s="10"/>
      <c r="L13" s="10"/>
      <c r="M13" s="10"/>
      <c r="N13" s="10"/>
      <c r="O13" s="10">
        <f t="shared" si="2"/>
        <v>0</v>
      </c>
      <c r="P13" s="21">
        <f>'Lợi nhuận gộp quản trị'!P13</f>
        <v>300</v>
      </c>
      <c r="Q13" s="11">
        <f t="shared" si="3"/>
        <v>0</v>
      </c>
    </row>
    <row r="14" ht="24.75" customHeight="1">
      <c r="A14" s="22" t="s">
        <v>26</v>
      </c>
      <c r="B14" s="9" t="s">
        <v>27</v>
      </c>
      <c r="C14" s="40">
        <f t="shared" ref="C14:N14" si="5">SUM(C15:C16)</f>
        <v>248.9069003</v>
      </c>
      <c r="D14" s="41">
        <f t="shared" si="5"/>
        <v>2030.958675</v>
      </c>
      <c r="E14" s="41">
        <f t="shared" si="5"/>
        <v>1322.934785</v>
      </c>
      <c r="F14" s="41">
        <f t="shared" si="5"/>
        <v>1031.30065</v>
      </c>
      <c r="G14" s="41">
        <f t="shared" si="5"/>
        <v>2589.635236</v>
      </c>
      <c r="H14" s="41">
        <f t="shared" si="5"/>
        <v>1079.732606</v>
      </c>
      <c r="I14" s="41">
        <f t="shared" si="5"/>
        <v>1211.111726</v>
      </c>
      <c r="J14" s="41">
        <f t="shared" si="5"/>
        <v>1387.514005</v>
      </c>
      <c r="K14" s="41">
        <f t="shared" si="5"/>
        <v>1608.283375</v>
      </c>
      <c r="L14" s="41">
        <f t="shared" si="5"/>
        <v>2511.610993</v>
      </c>
      <c r="M14" s="41">
        <f t="shared" si="5"/>
        <v>2668.646014</v>
      </c>
      <c r="N14" s="41">
        <f t="shared" si="5"/>
        <v>6264.910588</v>
      </c>
      <c r="O14" s="28">
        <f t="shared" si="2"/>
        <v>23955.54555</v>
      </c>
      <c r="P14" s="10">
        <f>P16+P15</f>
        <v>21200</v>
      </c>
      <c r="Q14" s="11">
        <f t="shared" si="3"/>
        <v>1.129978564</v>
      </c>
    </row>
    <row r="15" ht="24.75" customHeight="1">
      <c r="A15" s="29"/>
      <c r="B15" s="30" t="s">
        <v>28</v>
      </c>
      <c r="C15" s="31">
        <f t="shared" ref="C15:N15" si="6">C4+C7+C9+C10+C11+C12+C13</f>
        <v>123.556422</v>
      </c>
      <c r="D15" s="31">
        <f t="shared" si="6"/>
        <v>1816.776579</v>
      </c>
      <c r="E15" s="31">
        <f t="shared" si="6"/>
        <v>848.4460883</v>
      </c>
      <c r="F15" s="31">
        <f t="shared" si="6"/>
        <v>563.4265445</v>
      </c>
      <c r="G15" s="31">
        <f t="shared" si="6"/>
        <v>1980.943726</v>
      </c>
      <c r="H15" s="31">
        <f t="shared" si="6"/>
        <v>759.6139226</v>
      </c>
      <c r="I15" s="31">
        <f t="shared" si="6"/>
        <v>535.3546949</v>
      </c>
      <c r="J15" s="31">
        <f t="shared" si="6"/>
        <v>889.7302279</v>
      </c>
      <c r="K15" s="31">
        <f t="shared" si="6"/>
        <v>1157.856517</v>
      </c>
      <c r="L15" s="31">
        <f t="shared" si="6"/>
        <v>2193.200514</v>
      </c>
      <c r="M15" s="31">
        <f t="shared" si="6"/>
        <v>2234.135635</v>
      </c>
      <c r="N15" s="31">
        <f t="shared" si="6"/>
        <v>3927.422802</v>
      </c>
      <c r="O15" s="31">
        <f t="shared" ref="O15:O17" si="8">SUM(C15:N15)</f>
        <v>17030.46367</v>
      </c>
      <c r="P15" s="31">
        <f>P4+P7+P9+P10+P11+P12+P13</f>
        <v>15450</v>
      </c>
      <c r="Q15" s="16">
        <f t="shared" si="3"/>
        <v>1.102295383</v>
      </c>
    </row>
    <row r="16" ht="24.75" customHeight="1">
      <c r="A16" s="29"/>
      <c r="B16" s="30" t="s">
        <v>29</v>
      </c>
      <c r="C16" s="31">
        <f t="shared" ref="C16:N16" si="7">C5+C8</f>
        <v>125.3504783</v>
      </c>
      <c r="D16" s="31">
        <f t="shared" si="7"/>
        <v>214.1820963</v>
      </c>
      <c r="E16" s="31">
        <f t="shared" si="7"/>
        <v>474.4886966</v>
      </c>
      <c r="F16" s="31">
        <f t="shared" si="7"/>
        <v>467.8741054</v>
      </c>
      <c r="G16" s="31">
        <f t="shared" si="7"/>
        <v>608.6915101</v>
      </c>
      <c r="H16" s="31">
        <f t="shared" si="7"/>
        <v>320.1186833</v>
      </c>
      <c r="I16" s="31">
        <f t="shared" si="7"/>
        <v>675.7570313</v>
      </c>
      <c r="J16" s="31">
        <f t="shared" si="7"/>
        <v>497.7837772</v>
      </c>
      <c r="K16" s="31">
        <f t="shared" si="7"/>
        <v>450.4268575</v>
      </c>
      <c r="L16" s="31">
        <f t="shared" si="7"/>
        <v>318.4104789</v>
      </c>
      <c r="M16" s="31">
        <f t="shared" si="7"/>
        <v>434.5103789</v>
      </c>
      <c r="N16" s="31">
        <f t="shared" si="7"/>
        <v>2337.487786</v>
      </c>
      <c r="O16" s="31">
        <f t="shared" si="8"/>
        <v>6925.081879</v>
      </c>
      <c r="P16" s="31">
        <f>P5+P8</f>
        <v>5750</v>
      </c>
      <c r="Q16" s="16">
        <f t="shared" si="3"/>
        <v>1.204362066</v>
      </c>
    </row>
    <row r="17" ht="24.75" customHeight="1">
      <c r="A17" s="32"/>
      <c r="B17" s="33" t="s">
        <v>30</v>
      </c>
      <c r="C17" s="34">
        <f>IFERROR(__xludf.DUMMYFUNCTION("IMPORTRANGE(""1pVVPsJRZuZTfMAbYsuMVtd5oqiAJQKt_FCZMxv4OMEk"", ""Lợi nhuận gộp theo DT!C14"")"),798.3962012666667)</f>
        <v>798.3962013</v>
      </c>
      <c r="D17" s="34">
        <f>IFERROR(__xludf.DUMMYFUNCTION("IMPORTRANGE(""1pVVPsJRZuZTfMAbYsuMVtd5oqiAJQKt_FCZMxv4OMEk"", ""Lợi nhuận gộp theo DT!D14"")"),1398.3700036319442)</f>
        <v>1398.370004</v>
      </c>
      <c r="E17" s="34">
        <f>IFERROR(__xludf.DUMMYFUNCTION("IMPORTRANGE(""1pVVPsJRZuZTfMAbYsuMVtd5oqiAJQKt_FCZMxv4OMEk"", ""Lợi nhuận gộp theo DT!E14"")"),2280.2990185199997)</f>
        <v>2280.299019</v>
      </c>
      <c r="F17" s="34">
        <f>IFERROR(__xludf.DUMMYFUNCTION("IMPORTRANGE(""1pVVPsJRZuZTfMAbYsuMVtd5oqiAJQKt_FCZMxv4OMEk"", ""Lợi nhuận gộp theo DT!F14"")"),1596.4295453709447)</f>
        <v>1596.429545</v>
      </c>
      <c r="G17" s="34">
        <f>IFERROR(__xludf.DUMMYFUNCTION("IMPORTRANGE(""1pVVPsJRZuZTfMAbYsuMVtd5oqiAJQKt_FCZMxv4OMEk"", ""Lợi nhuận gộp theo DT!G14"")"),1207.1216874087963)</f>
        <v>1207.121687</v>
      </c>
      <c r="H17" s="34">
        <f>IFERROR(__xludf.DUMMYFUNCTION("IMPORTRANGE(""1pVVPsJRZuZTfMAbYsuMVtd5oqiAJQKt_FCZMxv4OMEk"", ""Lợi nhuận gộp theo DT!H14"")"),1248.4571761485277)</f>
        <v>1248.457176</v>
      </c>
      <c r="I17" s="34">
        <f>IFERROR(__xludf.DUMMYFUNCTION("IMPORTRANGE(""1pVVPsJRZuZTfMAbYsuMVtd5oqiAJQKt_FCZMxv4OMEk"", ""Lợi nhuận gộp theo DT!I14"")"),1476.9920664789865)</f>
        <v>1476.992066</v>
      </c>
      <c r="J17" s="34">
        <f>IFERROR(__xludf.DUMMYFUNCTION("IMPORTRANGE(""1pVVPsJRZuZTfMAbYsuMVtd5oqiAJQKt_FCZMxv4OMEk"", ""Lợi nhuận gộp theo DT!J14"")"),1397.9229720416665)</f>
        <v>1397.922972</v>
      </c>
      <c r="K17" s="34">
        <f>IFERROR(__xludf.DUMMYFUNCTION("IMPORTRANGE(""1pVVPsJRZuZTfMAbYsuMVtd5oqiAJQKt_FCZMxv4OMEk"", ""Lợi nhuận gộp theo DT!K14"")"),780.2372479064945)</f>
        <v>780.2372479</v>
      </c>
      <c r="L17" s="34">
        <f>IFERROR(__xludf.DUMMYFUNCTION("IMPORTRANGE(""1pVVPsJRZuZTfMAbYsuMVtd5oqiAJQKt_FCZMxv4OMEk"", ""Lợi nhuận gộp theo DT!L14"")"),1593.865674128778)</f>
        <v>1593.865674</v>
      </c>
      <c r="M17" s="34">
        <f>IFERROR(__xludf.DUMMYFUNCTION("IMPORTRANGE(""1pVVPsJRZuZTfMAbYsuMVtd5oqiAJQKt_FCZMxv4OMEk"", ""Lợi nhuận gộp theo DT!M14"")"),1217.6359650202046)</f>
        <v>1217.635965</v>
      </c>
      <c r="N17" s="34">
        <f>IFERROR(__xludf.DUMMYFUNCTION("IMPORTRANGE(""1pVVPsJRZuZTfMAbYsuMVtd5oqiAJQKt_FCZMxv4OMEk"", ""Lợi nhuận gộp theo DT!N14"")"),8735.846110960047)</f>
        <v>8735.846111</v>
      </c>
      <c r="O17" s="10">
        <f t="shared" si="8"/>
        <v>23731.57367</v>
      </c>
      <c r="P17" s="35"/>
      <c r="Q17" s="11"/>
    </row>
    <row r="18" ht="24.75" customHeight="1">
      <c r="A18" s="32"/>
      <c r="B18" s="33" t="s">
        <v>31</v>
      </c>
      <c r="C18" s="11">
        <f t="shared" ref="C18:O18" si="9">C14/C17</f>
        <v>0.311758623</v>
      </c>
      <c r="D18" s="11">
        <f t="shared" si="9"/>
        <v>1.452375745</v>
      </c>
      <c r="E18" s="11">
        <f t="shared" si="9"/>
        <v>0.5801584679</v>
      </c>
      <c r="F18" s="11">
        <f t="shared" si="9"/>
        <v>0.6460044873</v>
      </c>
      <c r="G18" s="11">
        <f t="shared" si="9"/>
        <v>2.145297581</v>
      </c>
      <c r="H18" s="11">
        <f t="shared" si="9"/>
        <v>0.8648535381</v>
      </c>
      <c r="I18" s="11">
        <f t="shared" si="9"/>
        <v>0.8199852617</v>
      </c>
      <c r="J18" s="11">
        <f t="shared" si="9"/>
        <v>0.9925539767</v>
      </c>
      <c r="K18" s="11">
        <f t="shared" si="9"/>
        <v>2.061274797</v>
      </c>
      <c r="L18" s="11">
        <f t="shared" si="9"/>
        <v>1.575798409</v>
      </c>
      <c r="M18" s="11">
        <f t="shared" si="9"/>
        <v>2.191661622</v>
      </c>
      <c r="N18" s="11">
        <f t="shared" si="9"/>
        <v>0.7171498339</v>
      </c>
      <c r="O18" s="11">
        <f t="shared" si="9"/>
        <v>1.009437717</v>
      </c>
      <c r="P18" s="35"/>
      <c r="Q18" s="36"/>
    </row>
    <row r="19" ht="24.75" customHeight="1">
      <c r="A19" s="32"/>
      <c r="B19" s="9" t="s">
        <v>32</v>
      </c>
      <c r="C19" s="11"/>
      <c r="D19" s="11">
        <f t="shared" ref="D19:N19" si="10">sum($C14:D14)/sum($C17:D17)</f>
        <v>1.037828045</v>
      </c>
      <c r="E19" s="11">
        <f t="shared" si="10"/>
        <v>0.8047236707</v>
      </c>
      <c r="F19" s="11">
        <f t="shared" si="10"/>
        <v>0.7630040342</v>
      </c>
      <c r="G19" s="11">
        <f t="shared" si="10"/>
        <v>0.9921874459</v>
      </c>
      <c r="H19" s="11">
        <f t="shared" si="10"/>
        <v>0.9735487358</v>
      </c>
      <c r="I19" s="11">
        <f t="shared" si="10"/>
        <v>0.9508812819</v>
      </c>
      <c r="J19" s="11">
        <f t="shared" si="10"/>
        <v>0.9559896013</v>
      </c>
      <c r="K19" s="11">
        <f t="shared" si="10"/>
        <v>1.026768384</v>
      </c>
      <c r="L19" s="11">
        <f t="shared" si="10"/>
        <v>1.090280816</v>
      </c>
      <c r="M19" s="11">
        <f t="shared" si="10"/>
        <v>1.179711681</v>
      </c>
      <c r="N19" s="11">
        <f t="shared" si="10"/>
        <v>1.009437717</v>
      </c>
      <c r="O19" s="37" t="s">
        <v>33</v>
      </c>
      <c r="P19" s="38">
        <f>'Lợi nhuận gộp quản trị'!P19</f>
        <v>17000</v>
      </c>
      <c r="Q19" s="37">
        <f>O14/P19</f>
        <v>1.409149738</v>
      </c>
    </row>
  </sheetData>
  <mergeCells count="1">
    <mergeCell ref="C1:P1"/>
  </mergeCells>
  <conditionalFormatting sqref="C18:N19">
    <cfRule type="cellIs" dxfId="0" priority="1" operator="greaterThan">
      <formula>1</formula>
    </cfRule>
  </conditionalFormatting>
  <conditionalFormatting sqref="O18">
    <cfRule type="cellIs" dxfId="0" priority="2" operator="greaterThan">
      <formula>1</formula>
    </cfRule>
  </conditionalFormatting>
  <conditionalFormatting sqref="C18:N19">
    <cfRule type="cellIs" dxfId="1" priority="3" operator="lessThan">
      <formula>1</formula>
    </cfRule>
  </conditionalFormatting>
  <conditionalFormatting sqref="O18">
    <cfRule type="cellIs" dxfId="1" priority="4" operator="lessThan">
      <formula>1</formula>
    </cfRule>
  </conditionalFormatting>
  <printOptions horizontalCentered="1"/>
  <pageMargins bottom="0.75" footer="0.0" header="0.0" left="0.25" right="0.25" top="0.75"/>
  <pageSetup fitToHeight="0" paperSize="9"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4.88"/>
    <col customWidth="1" min="2" max="2" width="26.0"/>
    <col customWidth="1" min="3" max="14" width="11.88"/>
    <col customWidth="1" min="15" max="15" width="13.63"/>
  </cols>
  <sheetData>
    <row r="1" ht="24.75" customHeight="1">
      <c r="B1" s="2">
        <v>2023.0</v>
      </c>
      <c r="C1" s="42" t="s">
        <v>38</v>
      </c>
    </row>
    <row r="2" ht="24.0" customHeight="1">
      <c r="A2" s="43" t="s">
        <v>1</v>
      </c>
      <c r="B2" s="43" t="s">
        <v>2</v>
      </c>
      <c r="C2" s="44" t="s">
        <v>3</v>
      </c>
      <c r="D2" s="44" t="s">
        <v>4</v>
      </c>
      <c r="E2" s="44" t="s">
        <v>5</v>
      </c>
      <c r="F2" s="44" t="s">
        <v>6</v>
      </c>
      <c r="G2" s="44" t="s">
        <v>7</v>
      </c>
      <c r="H2" s="44" t="s">
        <v>8</v>
      </c>
      <c r="I2" s="44" t="s">
        <v>9</v>
      </c>
      <c r="J2" s="44" t="s">
        <v>10</v>
      </c>
      <c r="K2" s="44" t="s">
        <v>11</v>
      </c>
      <c r="L2" s="44" t="s">
        <v>12</v>
      </c>
      <c r="M2" s="44" t="s">
        <v>13</v>
      </c>
      <c r="N2" s="44" t="s">
        <v>14</v>
      </c>
      <c r="O2" s="44" t="s">
        <v>15</v>
      </c>
    </row>
    <row r="3" ht="27.0" customHeight="1">
      <c r="A3" s="8" t="s">
        <v>18</v>
      </c>
      <c r="B3" s="9" t="s">
        <v>19</v>
      </c>
      <c r="C3" s="10">
        <f t="shared" ref="C3:N3" si="1">sum(C4:C5)</f>
        <v>2</v>
      </c>
      <c r="D3" s="10">
        <f t="shared" si="1"/>
        <v>31.6</v>
      </c>
      <c r="E3" s="10">
        <f t="shared" si="1"/>
        <v>28.25</v>
      </c>
      <c r="F3" s="10">
        <f t="shared" si="1"/>
        <v>177.231901</v>
      </c>
      <c r="G3" s="10">
        <f t="shared" si="1"/>
        <v>11.8</v>
      </c>
      <c r="H3" s="10">
        <f t="shared" si="1"/>
        <v>6.3</v>
      </c>
      <c r="I3" s="10">
        <f t="shared" si="1"/>
        <v>42.45</v>
      </c>
      <c r="J3" s="10">
        <f t="shared" si="1"/>
        <v>24.75</v>
      </c>
      <c r="K3" s="10">
        <f t="shared" si="1"/>
        <v>15.5</v>
      </c>
      <c r="L3" s="10">
        <f t="shared" si="1"/>
        <v>773.12</v>
      </c>
      <c r="M3" s="10">
        <f t="shared" si="1"/>
        <v>597.447</v>
      </c>
      <c r="N3" s="10">
        <f t="shared" si="1"/>
        <v>1486.596099</v>
      </c>
      <c r="O3" s="45">
        <f t="shared" ref="O3:O16" si="2">sum(C3:N3)</f>
        <v>3197.045</v>
      </c>
    </row>
    <row r="4" ht="27.0" customHeight="1">
      <c r="A4" s="12"/>
      <c r="B4" s="13" t="str">
        <f>hyperlink("https://docs.google.com/spreadsheets/d/1w54z4NbyEbyjjJVyXvIK7OhyvnYLbtg7H9uK4YAXpNU/edit#gid=0","- Trung tâm PMXD")</f>
        <v>- Trung tâm PMXD</v>
      </c>
      <c r="C4" s="14">
        <v>2.0</v>
      </c>
      <c r="D4" s="14">
        <v>15.2</v>
      </c>
      <c r="E4" s="14">
        <v>17.8</v>
      </c>
      <c r="F4" s="14">
        <v>168.481901</v>
      </c>
      <c r="G4" s="14">
        <v>5.0</v>
      </c>
      <c r="H4" s="14">
        <v>6.3</v>
      </c>
      <c r="I4" s="14">
        <v>27.3</v>
      </c>
      <c r="J4" s="14">
        <v>12.0</v>
      </c>
      <c r="K4" s="14">
        <v>4.0</v>
      </c>
      <c r="L4" s="14">
        <v>773.12</v>
      </c>
      <c r="M4" s="14">
        <v>582.247</v>
      </c>
      <c r="N4" s="14">
        <v>1474.196099</v>
      </c>
      <c r="O4" s="46">
        <f t="shared" si="2"/>
        <v>3087.645</v>
      </c>
    </row>
    <row r="5" ht="27.0" customHeight="1">
      <c r="A5" s="12"/>
      <c r="B5" s="13" t="str">
        <f>hyperlink("https://docs.google.com/spreadsheets/d/1P0ilCSyqA3dOMst3KNMcZ42cxp71XvTpe3tKMhYksN8/edit#gid=2074483897","- Chi nhánh")</f>
        <v>- Chi nhánh</v>
      </c>
      <c r="C5" s="17"/>
      <c r="D5" s="14">
        <v>16.4</v>
      </c>
      <c r="E5" s="14">
        <v>10.45</v>
      </c>
      <c r="F5" s="14">
        <v>8.75</v>
      </c>
      <c r="G5" s="14">
        <v>6.8</v>
      </c>
      <c r="H5" s="14"/>
      <c r="I5" s="14">
        <v>15.15</v>
      </c>
      <c r="J5" s="14">
        <v>12.75</v>
      </c>
      <c r="K5" s="14">
        <v>11.5</v>
      </c>
      <c r="L5" s="14"/>
      <c r="M5" s="14">
        <v>15.2</v>
      </c>
      <c r="N5" s="14">
        <v>12.4</v>
      </c>
      <c r="O5" s="46">
        <f t="shared" si="2"/>
        <v>109.4</v>
      </c>
    </row>
    <row r="6" ht="27.0" customHeight="1">
      <c r="A6" s="8" t="s">
        <v>20</v>
      </c>
      <c r="B6" s="9" t="s">
        <v>21</v>
      </c>
      <c r="C6" s="10">
        <f t="shared" ref="C6:N6" si="3">SUM(C7:C8)</f>
        <v>855.231</v>
      </c>
      <c r="D6" s="10">
        <f t="shared" si="3"/>
        <v>4337.8</v>
      </c>
      <c r="E6" s="10">
        <f t="shared" si="3"/>
        <v>4299.7954</v>
      </c>
      <c r="F6" s="10">
        <f t="shared" si="3"/>
        <v>5385.3988</v>
      </c>
      <c r="G6" s="10">
        <f t="shared" si="3"/>
        <v>2511.16594</v>
      </c>
      <c r="H6" s="10">
        <f t="shared" si="3"/>
        <v>6847.36936</v>
      </c>
      <c r="I6" s="10">
        <f t="shared" si="3"/>
        <v>7159.03172</v>
      </c>
      <c r="J6" s="10">
        <f t="shared" si="3"/>
        <v>8293.315355</v>
      </c>
      <c r="K6" s="10">
        <f t="shared" si="3"/>
        <v>7123.88996</v>
      </c>
      <c r="L6" s="10">
        <f t="shared" si="3"/>
        <v>9879.3767</v>
      </c>
      <c r="M6" s="10">
        <f t="shared" si="3"/>
        <v>8924.934829</v>
      </c>
      <c r="N6" s="10">
        <f t="shared" si="3"/>
        <v>9785.089815</v>
      </c>
      <c r="O6" s="45">
        <f t="shared" si="2"/>
        <v>75402.39888</v>
      </c>
    </row>
    <row r="7" ht="27.0" customHeight="1">
      <c r="A7" s="12"/>
      <c r="B7" s="13" t="str">
        <f>hyperlink("https://docs.google.com/spreadsheets/d/1vCOoengzj4u-lf-Olvw85ysitfzOfclGKPXAtoEPy0A/edit#gid=663001998","- Trung tâm DCS")</f>
        <v>- Trung tâm DCS</v>
      </c>
      <c r="C7" s="14">
        <v>59.1</v>
      </c>
      <c r="D7" s="14">
        <v>2504.066</v>
      </c>
      <c r="E7" s="14">
        <v>2644.046</v>
      </c>
      <c r="F7" s="14">
        <v>2737.288</v>
      </c>
      <c r="G7" s="19">
        <v>919.23</v>
      </c>
      <c r="H7" s="14">
        <v>3528.6096</v>
      </c>
      <c r="I7" s="14">
        <v>4442.31564</v>
      </c>
      <c r="J7" s="14">
        <v>3663.6760175</v>
      </c>
      <c r="K7" s="14">
        <v>4160.331</v>
      </c>
      <c r="L7" s="14">
        <v>7638.48075</v>
      </c>
      <c r="M7" s="14">
        <v>6263.938379</v>
      </c>
      <c r="N7" s="14">
        <v>5637.2155</v>
      </c>
      <c r="O7" s="46">
        <f t="shared" si="2"/>
        <v>44198.29689</v>
      </c>
    </row>
    <row r="8" ht="27.0" customHeight="1">
      <c r="A8" s="12"/>
      <c r="B8" s="13" t="str">
        <f>hyperlink("https://docs.google.com/spreadsheets/d/1P0ilCSyqA3dOMst3KNMcZ42cxp71XvTpe3tKMhYksN8/edit#gid=1340171929","- Chi nhánh")</f>
        <v>- Chi nhánh</v>
      </c>
      <c r="C8" s="14">
        <v>796.131</v>
      </c>
      <c r="D8" s="14">
        <v>1833.734</v>
      </c>
      <c r="E8" s="14">
        <v>1655.7494</v>
      </c>
      <c r="F8" s="14">
        <v>2648.1108</v>
      </c>
      <c r="G8" s="14">
        <v>1591.93594</v>
      </c>
      <c r="H8" s="19">
        <v>3318.75976</v>
      </c>
      <c r="I8" s="19">
        <v>2716.71608</v>
      </c>
      <c r="J8" s="19">
        <v>4629.639337</v>
      </c>
      <c r="K8" s="19">
        <v>2963.55896</v>
      </c>
      <c r="L8" s="19">
        <v>2240.89595</v>
      </c>
      <c r="M8" s="19">
        <v>2660.99645</v>
      </c>
      <c r="N8" s="19">
        <v>4147.874315</v>
      </c>
      <c r="O8" s="46">
        <f t="shared" si="2"/>
        <v>31204.10199</v>
      </c>
    </row>
    <row r="9" ht="27.0" customHeight="1">
      <c r="A9" s="8" t="s">
        <v>22</v>
      </c>
      <c r="B9" s="20" t="str">
        <f>hyperlink("https://docs.google.com/spreadsheets/d/1d_dnULuhyFhAz_vzHPOr4a1463PBw6xMA3MZaClxQ5Q/edit#gid=0","Trung tâm STC")</f>
        <v>Trung tâm STC</v>
      </c>
      <c r="C9" s="21">
        <v>764.0</v>
      </c>
      <c r="D9" s="21"/>
      <c r="E9" s="21">
        <v>3351.404376</v>
      </c>
      <c r="F9" s="21">
        <v>4189.811042</v>
      </c>
      <c r="G9" s="21">
        <v>1322.008942</v>
      </c>
      <c r="H9" s="21">
        <v>730.030792</v>
      </c>
      <c r="I9" s="21">
        <v>1351.84686</v>
      </c>
      <c r="J9" s="21">
        <v>10296.899542</v>
      </c>
      <c r="K9" s="21">
        <v>844.773292</v>
      </c>
      <c r="L9" s="21">
        <v>6432.818367</v>
      </c>
      <c r="M9" s="21">
        <v>2651.328192</v>
      </c>
      <c r="N9" s="21">
        <v>4379.774587</v>
      </c>
      <c r="O9" s="45">
        <f t="shared" si="2"/>
        <v>36314.69599</v>
      </c>
    </row>
    <row r="10" ht="27.0" customHeight="1">
      <c r="A10" s="8" t="s">
        <v>24</v>
      </c>
      <c r="B10" s="23" t="str">
        <f>hyperlink("https://docs.google.com/spreadsheets/d/15oR4AzHb3aObQVH2-iOM0BUe860L_hQgGGLP9Y6meI0/edit#gid=0","Trung tâm TVDA")</f>
        <v>Trung tâm TVDA</v>
      </c>
      <c r="C10" s="21">
        <v>30.0</v>
      </c>
      <c r="D10" s="10"/>
      <c r="E10" s="21">
        <v>14.641</v>
      </c>
      <c r="F10" s="21"/>
      <c r="G10" s="21"/>
      <c r="H10" s="21"/>
      <c r="I10" s="21"/>
      <c r="J10" s="21"/>
      <c r="K10" s="21"/>
      <c r="L10" s="21"/>
      <c r="M10" s="21">
        <v>821.986</v>
      </c>
      <c r="N10" s="21">
        <v>10.4436</v>
      </c>
      <c r="O10" s="46">
        <f t="shared" si="2"/>
        <v>877.0706</v>
      </c>
    </row>
    <row r="11" ht="27.0" customHeight="1">
      <c r="A11" s="8" t="s">
        <v>23</v>
      </c>
      <c r="B11" s="23" t="str">
        <f>hyperlink("https://docs.google.com/spreadsheets/d/1hB-HxXul-KU7Tqz0qiYJ2YdQ3FS-235QFmwHQIzdQR0/edit#gid=0","Trung tâm TVXD")</f>
        <v>Trung tâm TVXD</v>
      </c>
      <c r="C11" s="21"/>
      <c r="D11" s="21">
        <v>100.0</v>
      </c>
      <c r="E11" s="21"/>
      <c r="F11" s="21"/>
      <c r="G11" s="21"/>
      <c r="H11" s="10"/>
      <c r="I11" s="21"/>
      <c r="J11" s="21"/>
      <c r="K11" s="21"/>
      <c r="L11" s="21"/>
      <c r="M11" s="21">
        <v>189.8</v>
      </c>
      <c r="N11" s="21">
        <v>202.602657</v>
      </c>
      <c r="O11" s="45">
        <f t="shared" si="2"/>
        <v>492.402657</v>
      </c>
    </row>
    <row r="12" ht="25.5" customHeight="1">
      <c r="A12" s="22" t="s">
        <v>23</v>
      </c>
      <c r="B12" s="24" t="str">
        <f>HYPERLINK("https://docs.google.com/spreadsheets/d/1_2CNBES8nIYbHQusNB5GWqUCMVnT3BGVbsPgLxWwUCw/edit#gid=0","Trung tâm TMB")</f>
        <v>Trung tâm TMB</v>
      </c>
      <c r="C12" s="21">
        <v>15.0</v>
      </c>
      <c r="D12" s="21">
        <v>19.0</v>
      </c>
      <c r="E12" s="21">
        <v>147.5</v>
      </c>
      <c r="F12" s="21">
        <v>18.25</v>
      </c>
      <c r="G12" s="21">
        <v>77.5</v>
      </c>
      <c r="H12" s="21"/>
      <c r="I12" s="21">
        <v>197.25</v>
      </c>
      <c r="J12" s="21">
        <v>54.25</v>
      </c>
      <c r="K12" s="21"/>
      <c r="L12" s="21"/>
      <c r="M12" s="21"/>
      <c r="N12" s="21">
        <v>153.75</v>
      </c>
      <c r="O12" s="10">
        <f t="shared" si="2"/>
        <v>682.5</v>
      </c>
    </row>
    <row r="13" ht="27.0" customHeight="1">
      <c r="A13" s="22" t="s">
        <v>25</v>
      </c>
      <c r="B13" s="25" t="str">
        <f>HYPERLINK("https://docs.google.com/spreadsheets/d/1zDciZ8Q2y6PpEHkfkC5QQmjwMAmv6-RHvnczqFOvtSQ/edit#gid=0","Các lĩnh vực khác")</f>
        <v>Các lĩnh vực khác</v>
      </c>
      <c r="C13" s="21"/>
      <c r="D13" s="10"/>
      <c r="E13" s="21"/>
      <c r="F13" s="21"/>
      <c r="G13" s="21"/>
      <c r="H13" s="21"/>
      <c r="I13" s="10"/>
      <c r="J13" s="10"/>
      <c r="K13" s="10"/>
      <c r="L13" s="21"/>
      <c r="M13" s="10"/>
      <c r="N13" s="21"/>
      <c r="O13" s="46">
        <f t="shared" si="2"/>
        <v>0</v>
      </c>
    </row>
    <row r="14" ht="27.0" customHeight="1">
      <c r="A14" s="22" t="s">
        <v>26</v>
      </c>
      <c r="B14" s="9" t="s">
        <v>27</v>
      </c>
      <c r="C14" s="10">
        <f t="shared" ref="C14:N14" si="4">SUM(C15:C16)</f>
        <v>1666.231</v>
      </c>
      <c r="D14" s="10">
        <f t="shared" si="4"/>
        <v>4488.4</v>
      </c>
      <c r="E14" s="10">
        <f t="shared" si="4"/>
        <v>7841.590776</v>
      </c>
      <c r="F14" s="10">
        <f t="shared" si="4"/>
        <v>9770.691743</v>
      </c>
      <c r="G14" s="10">
        <f t="shared" si="4"/>
        <v>3922.474882</v>
      </c>
      <c r="H14" s="10">
        <f t="shared" si="4"/>
        <v>7583.700152</v>
      </c>
      <c r="I14" s="10">
        <f t="shared" si="4"/>
        <v>8750.57858</v>
      </c>
      <c r="J14" s="10">
        <f t="shared" si="4"/>
        <v>18669.2149</v>
      </c>
      <c r="K14" s="10">
        <f t="shared" si="4"/>
        <v>7984.163252</v>
      </c>
      <c r="L14" s="10">
        <f t="shared" si="4"/>
        <v>17085.31507</v>
      </c>
      <c r="M14" s="10">
        <f t="shared" si="4"/>
        <v>13185.49602</v>
      </c>
      <c r="N14" s="10">
        <f t="shared" si="4"/>
        <v>16018.25676</v>
      </c>
      <c r="O14" s="45">
        <f t="shared" si="2"/>
        <v>116966.1131</v>
      </c>
    </row>
    <row r="15" ht="27.0" customHeight="1">
      <c r="A15" s="29"/>
      <c r="B15" s="30" t="s">
        <v>28</v>
      </c>
      <c r="C15" s="31">
        <f t="shared" ref="C15:N15" si="5">C4+C7+C9+C10+C11+C12+C13</f>
        <v>870.1</v>
      </c>
      <c r="D15" s="31">
        <f t="shared" si="5"/>
        <v>2638.266</v>
      </c>
      <c r="E15" s="31">
        <f t="shared" si="5"/>
        <v>6175.391376</v>
      </c>
      <c r="F15" s="31">
        <f t="shared" si="5"/>
        <v>7113.830943</v>
      </c>
      <c r="G15" s="31">
        <f t="shared" si="5"/>
        <v>2323.738942</v>
      </c>
      <c r="H15" s="31">
        <f t="shared" si="5"/>
        <v>4264.940392</v>
      </c>
      <c r="I15" s="31">
        <f t="shared" si="5"/>
        <v>6018.7125</v>
      </c>
      <c r="J15" s="31">
        <f t="shared" si="5"/>
        <v>14026.82556</v>
      </c>
      <c r="K15" s="31">
        <f t="shared" si="5"/>
        <v>5009.104292</v>
      </c>
      <c r="L15" s="31">
        <f t="shared" si="5"/>
        <v>14844.41912</v>
      </c>
      <c r="M15" s="31">
        <f t="shared" si="5"/>
        <v>10509.29957</v>
      </c>
      <c r="N15" s="31">
        <f t="shared" si="5"/>
        <v>11857.98244</v>
      </c>
      <c r="O15" s="46">
        <f t="shared" si="2"/>
        <v>85652.61114</v>
      </c>
    </row>
    <row r="16" ht="27.0" customHeight="1">
      <c r="A16" s="29"/>
      <c r="B16" s="30" t="s">
        <v>29</v>
      </c>
      <c r="C16" s="31">
        <f t="shared" ref="C16:N16" si="6">C5+C8</f>
        <v>796.131</v>
      </c>
      <c r="D16" s="31">
        <f t="shared" si="6"/>
        <v>1850.134</v>
      </c>
      <c r="E16" s="31">
        <f t="shared" si="6"/>
        <v>1666.1994</v>
      </c>
      <c r="F16" s="31">
        <f t="shared" si="6"/>
        <v>2656.8608</v>
      </c>
      <c r="G16" s="31">
        <f t="shared" si="6"/>
        <v>1598.73594</v>
      </c>
      <c r="H16" s="31">
        <f t="shared" si="6"/>
        <v>3318.75976</v>
      </c>
      <c r="I16" s="31">
        <f t="shared" si="6"/>
        <v>2731.86608</v>
      </c>
      <c r="J16" s="31">
        <f t="shared" si="6"/>
        <v>4642.389337</v>
      </c>
      <c r="K16" s="31">
        <f t="shared" si="6"/>
        <v>2975.05896</v>
      </c>
      <c r="L16" s="31">
        <f t="shared" si="6"/>
        <v>2240.89595</v>
      </c>
      <c r="M16" s="31">
        <f t="shared" si="6"/>
        <v>2676.19645</v>
      </c>
      <c r="N16" s="31">
        <f t="shared" si="6"/>
        <v>4160.274315</v>
      </c>
      <c r="O16" s="46">
        <f t="shared" si="2"/>
        <v>31313.50199</v>
      </c>
    </row>
  </sheetData>
  <mergeCells count="1">
    <mergeCell ref="C1:O1"/>
  </mergeCells>
  <printOptions horizontalCentered="1"/>
  <pageMargins bottom="0.75" footer="0.0" header="0.0" left="0.25" right="0.25" top="0.75"/>
  <pageSetup fitToHeight="0" paperSize="9"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outlineLevelRow="2"/>
  <cols>
    <col customWidth="1" min="1" max="1" width="19.63"/>
    <col customWidth="1" min="2" max="2" width="28.63"/>
    <col customWidth="1" min="3" max="3" width="48.38"/>
    <col customWidth="1" min="4" max="5" width="12.0"/>
    <col customWidth="1" min="6" max="9" width="14.38"/>
  </cols>
  <sheetData>
    <row r="1">
      <c r="A1" s="47" t="s">
        <v>39</v>
      </c>
      <c r="B1" s="48" t="s">
        <v>40</v>
      </c>
      <c r="C1" s="47" t="s">
        <v>41</v>
      </c>
      <c r="D1" s="49" t="s">
        <v>42</v>
      </c>
      <c r="E1" s="50" t="s">
        <v>43</v>
      </c>
      <c r="F1" s="51" t="s">
        <v>44</v>
      </c>
      <c r="G1" s="51" t="s">
        <v>45</v>
      </c>
      <c r="H1" s="51" t="s">
        <v>46</v>
      </c>
      <c r="I1" s="52" t="s">
        <v>47</v>
      </c>
      <c r="J1" s="53" t="s">
        <v>48</v>
      </c>
    </row>
    <row r="2">
      <c r="A2" s="54"/>
      <c r="B2" s="54"/>
      <c r="C2" s="54"/>
      <c r="D2" s="54"/>
      <c r="E2" s="55"/>
      <c r="F2" s="56">
        <f t="shared" ref="F2:I2" si="1">sum(F4:F736)/2</f>
        <v>138705844951</v>
      </c>
      <c r="G2" s="56">
        <f t="shared" si="1"/>
        <v>113215856094</v>
      </c>
      <c r="H2" s="56">
        <f t="shared" si="1"/>
        <v>23446991506</v>
      </c>
      <c r="I2" s="56">
        <f t="shared" si="1"/>
        <v>106806382886</v>
      </c>
      <c r="J2" s="57"/>
    </row>
    <row r="3">
      <c r="A3" s="58"/>
      <c r="B3" s="58"/>
      <c r="C3" s="58"/>
      <c r="D3" s="58"/>
      <c r="E3" s="59"/>
      <c r="F3" s="60">
        <f>F2/1000000/'Sản lượng ký kết'!P19</f>
        <v>1.981512071</v>
      </c>
      <c r="G3" s="60">
        <f>G2/1000000/'Tổng hợp Doanh thu'!P19</f>
        <v>1.66493906</v>
      </c>
      <c r="H3" s="60">
        <f>H2/1000000/'Lợi nhuận gộp quản trị'!P19</f>
        <v>1.379234794</v>
      </c>
      <c r="I3" s="61"/>
      <c r="J3" s="62"/>
    </row>
    <row r="4" ht="22.5" customHeight="1" outlineLevel="1">
      <c r="A4" s="63" t="s">
        <v>49</v>
      </c>
      <c r="F4" s="64">
        <f t="shared" ref="F4:I4" si="2">sum(F5:F79)</f>
        <v>3348298000</v>
      </c>
      <c r="G4" s="64">
        <f t="shared" si="2"/>
        <v>3105474240</v>
      </c>
      <c r="H4" s="64">
        <f t="shared" si="2"/>
        <v>1977819524</v>
      </c>
      <c r="I4" s="64">
        <f t="shared" si="2"/>
        <v>3090645000</v>
      </c>
      <c r="J4" s="65"/>
    </row>
    <row r="5" ht="22.5" customHeight="1" outlineLevel="2">
      <c r="A5" s="66" t="s">
        <v>50</v>
      </c>
      <c r="B5" s="67" t="s">
        <v>51</v>
      </c>
      <c r="C5" s="67" t="s">
        <v>52</v>
      </c>
      <c r="D5" s="68"/>
      <c r="E5" s="68">
        <v>45107.58333333333</v>
      </c>
      <c r="F5" s="69">
        <v>2000000.0</v>
      </c>
      <c r="G5" s="69">
        <v>2000000.0</v>
      </c>
      <c r="H5" s="69">
        <v>2000000.0</v>
      </c>
      <c r="I5" s="69">
        <v>2000000.0</v>
      </c>
      <c r="J5" s="70">
        <f t="shared" ref="J5:J79" si="3">H5/G5</f>
        <v>1</v>
      </c>
    </row>
    <row r="6" ht="22.5" customHeight="1" outlineLevel="2">
      <c r="A6" s="66" t="s">
        <v>53</v>
      </c>
      <c r="B6" s="67" t="s">
        <v>51</v>
      </c>
      <c r="C6" s="67" t="s">
        <v>54</v>
      </c>
      <c r="D6" s="68"/>
      <c r="E6" s="68">
        <v>44956.625</v>
      </c>
      <c r="F6" s="69">
        <v>2000000.0</v>
      </c>
      <c r="G6" s="69">
        <v>2000000.0</v>
      </c>
      <c r="H6" s="69">
        <v>2000000.0</v>
      </c>
      <c r="I6" s="69">
        <v>2000000.0</v>
      </c>
      <c r="J6" s="70">
        <f t="shared" si="3"/>
        <v>1</v>
      </c>
    </row>
    <row r="7" ht="22.5" customHeight="1" outlineLevel="2">
      <c r="A7" s="66" t="s">
        <v>55</v>
      </c>
      <c r="B7" s="67" t="s">
        <v>56</v>
      </c>
      <c r="C7" s="67" t="s">
        <v>57</v>
      </c>
      <c r="D7" s="68"/>
      <c r="E7" s="68">
        <v>44959.625</v>
      </c>
      <c r="F7" s="69">
        <v>4000000.0</v>
      </c>
      <c r="G7" s="69">
        <v>4000000.0</v>
      </c>
      <c r="H7" s="69">
        <v>4000000.0</v>
      </c>
      <c r="I7" s="69">
        <v>4000000.0</v>
      </c>
      <c r="J7" s="70">
        <f t="shared" si="3"/>
        <v>1</v>
      </c>
    </row>
    <row r="8" ht="22.5" customHeight="1" outlineLevel="2">
      <c r="A8" s="66" t="s">
        <v>58</v>
      </c>
      <c r="B8" s="67" t="s">
        <v>56</v>
      </c>
      <c r="C8" s="67" t="s">
        <v>59</v>
      </c>
      <c r="D8" s="68"/>
      <c r="E8" s="68">
        <v>44970.625</v>
      </c>
      <c r="F8" s="69">
        <v>8000000.0</v>
      </c>
      <c r="G8" s="69">
        <v>8000000.0</v>
      </c>
      <c r="H8" s="69">
        <v>8000000.0</v>
      </c>
      <c r="I8" s="69">
        <v>8000000.0</v>
      </c>
      <c r="J8" s="70">
        <f t="shared" si="3"/>
        <v>1</v>
      </c>
    </row>
    <row r="9" ht="22.5" customHeight="1" outlineLevel="2">
      <c r="A9" s="66" t="s">
        <v>60</v>
      </c>
      <c r="B9" s="67" t="s">
        <v>61</v>
      </c>
      <c r="C9" s="67" t="s">
        <v>62</v>
      </c>
      <c r="D9" s="68"/>
      <c r="E9" s="68">
        <v>44972.625</v>
      </c>
      <c r="F9" s="69">
        <v>2000000.0</v>
      </c>
      <c r="G9" s="69">
        <v>2000000.0</v>
      </c>
      <c r="H9" s="69">
        <v>2000000.0</v>
      </c>
      <c r="I9" s="69">
        <v>2000000.0</v>
      </c>
      <c r="J9" s="70">
        <f t="shared" si="3"/>
        <v>1</v>
      </c>
    </row>
    <row r="10" ht="22.5" customHeight="1" outlineLevel="2">
      <c r="A10" s="66" t="s">
        <v>63</v>
      </c>
      <c r="B10" s="67" t="s">
        <v>56</v>
      </c>
      <c r="C10" s="67" t="s">
        <v>64</v>
      </c>
      <c r="D10" s="68"/>
      <c r="E10" s="68">
        <v>44975.625</v>
      </c>
      <c r="F10" s="69">
        <v>1500000.0</v>
      </c>
      <c r="G10" s="69">
        <v>1500000.0</v>
      </c>
      <c r="H10" s="69">
        <v>1500000.0</v>
      </c>
      <c r="I10" s="69">
        <v>1500000.0</v>
      </c>
      <c r="J10" s="70">
        <f t="shared" si="3"/>
        <v>1</v>
      </c>
    </row>
    <row r="11" ht="22.5" customHeight="1" outlineLevel="2">
      <c r="A11" s="66" t="s">
        <v>65</v>
      </c>
      <c r="B11" s="67" t="s">
        <v>56</v>
      </c>
      <c r="C11" s="67" t="s">
        <v>66</v>
      </c>
      <c r="D11" s="68"/>
      <c r="E11" s="68"/>
      <c r="F11" s="69">
        <v>300000.0</v>
      </c>
      <c r="G11" s="69"/>
      <c r="H11" s="69">
        <v>300000.0</v>
      </c>
      <c r="I11" s="69"/>
      <c r="J11" s="70" t="str">
        <f t="shared" si="3"/>
        <v>#DIV/0!</v>
      </c>
    </row>
    <row r="12" ht="22.5" customHeight="1" outlineLevel="2">
      <c r="A12" s="66" t="s">
        <v>67</v>
      </c>
      <c r="B12" s="67" t="s">
        <v>56</v>
      </c>
      <c r="C12" s="67" t="s">
        <v>68</v>
      </c>
      <c r="D12" s="68"/>
      <c r="E12" s="68">
        <v>44979.625</v>
      </c>
      <c r="F12" s="69">
        <v>1500000.0</v>
      </c>
      <c r="G12" s="69">
        <v>1500000.0</v>
      </c>
      <c r="H12" s="69">
        <v>1500000.0</v>
      </c>
      <c r="I12" s="69">
        <v>1500000.0</v>
      </c>
      <c r="J12" s="70">
        <f t="shared" si="3"/>
        <v>1</v>
      </c>
    </row>
    <row r="13" ht="22.5" customHeight="1" outlineLevel="2">
      <c r="A13" s="66" t="s">
        <v>69</v>
      </c>
      <c r="B13" s="67" t="s">
        <v>56</v>
      </c>
      <c r="C13" s="67" t="s">
        <v>70</v>
      </c>
      <c r="D13" s="68"/>
      <c r="E13" s="68">
        <v>44979.625</v>
      </c>
      <c r="F13" s="69">
        <v>4000000.0</v>
      </c>
      <c r="G13" s="69">
        <v>4000000.0</v>
      </c>
      <c r="H13" s="69">
        <v>4000000.0</v>
      </c>
      <c r="I13" s="69">
        <v>4000000.0</v>
      </c>
      <c r="J13" s="70">
        <f t="shared" si="3"/>
        <v>1</v>
      </c>
    </row>
    <row r="14" ht="22.5" customHeight="1" outlineLevel="2">
      <c r="A14" s="66" t="s">
        <v>71</v>
      </c>
      <c r="B14" s="67" t="s">
        <v>56</v>
      </c>
      <c r="C14" s="67" t="s">
        <v>72</v>
      </c>
      <c r="D14" s="68"/>
      <c r="E14" s="68">
        <v>45282.625</v>
      </c>
      <c r="F14" s="69">
        <v>1000000.0</v>
      </c>
      <c r="G14" s="69">
        <v>1000000.0</v>
      </c>
      <c r="H14" s="69">
        <v>1000000.0</v>
      </c>
      <c r="I14" s="69">
        <v>1000000.0</v>
      </c>
      <c r="J14" s="70">
        <f t="shared" si="3"/>
        <v>1</v>
      </c>
    </row>
    <row r="15" ht="22.5" customHeight="1" outlineLevel="2">
      <c r="A15" s="66" t="s">
        <v>73</v>
      </c>
      <c r="B15" s="67" t="s">
        <v>51</v>
      </c>
      <c r="C15" s="67" t="s">
        <v>74</v>
      </c>
      <c r="D15" s="68"/>
      <c r="E15" s="68">
        <v>44987.625</v>
      </c>
      <c r="F15" s="69">
        <v>2000000.0</v>
      </c>
      <c r="G15" s="69">
        <v>2000000.0</v>
      </c>
      <c r="H15" s="69">
        <v>2000000.0</v>
      </c>
      <c r="I15" s="69">
        <v>2000000.0</v>
      </c>
      <c r="J15" s="70">
        <f t="shared" si="3"/>
        <v>1</v>
      </c>
    </row>
    <row r="16" ht="22.5" customHeight="1" outlineLevel="2">
      <c r="A16" s="66" t="s">
        <v>75</v>
      </c>
      <c r="B16" s="67" t="s">
        <v>56</v>
      </c>
      <c r="C16" s="67" t="s">
        <v>76</v>
      </c>
      <c r="D16" s="68"/>
      <c r="E16" s="68">
        <v>45282.625</v>
      </c>
      <c r="F16" s="69">
        <v>300000.0</v>
      </c>
      <c r="G16" s="69">
        <v>300000.0</v>
      </c>
      <c r="H16" s="69">
        <v>300000.0</v>
      </c>
      <c r="I16" s="69">
        <v>300000.0</v>
      </c>
      <c r="J16" s="70">
        <f t="shared" si="3"/>
        <v>1</v>
      </c>
    </row>
    <row r="17" ht="22.5" customHeight="1" outlineLevel="2">
      <c r="A17" s="66" t="s">
        <v>77</v>
      </c>
      <c r="B17" s="67" t="s">
        <v>56</v>
      </c>
      <c r="C17" s="67" t="s">
        <v>78</v>
      </c>
      <c r="D17" s="68"/>
      <c r="E17" s="68"/>
      <c r="F17" s="69">
        <v>300000.0</v>
      </c>
      <c r="G17" s="69"/>
      <c r="H17" s="69">
        <v>300000.0</v>
      </c>
      <c r="I17" s="69"/>
      <c r="J17" s="70" t="str">
        <f t="shared" si="3"/>
        <v>#DIV/0!</v>
      </c>
    </row>
    <row r="18" ht="22.5" customHeight="1" outlineLevel="2">
      <c r="A18" s="66" t="s">
        <v>79</v>
      </c>
      <c r="B18" s="67" t="s">
        <v>56</v>
      </c>
      <c r="C18" s="67" t="s">
        <v>80</v>
      </c>
      <c r="D18" s="68"/>
      <c r="E18" s="68">
        <v>44992.625</v>
      </c>
      <c r="F18" s="69">
        <v>1000000.0</v>
      </c>
      <c r="G18" s="69">
        <v>1000000.0</v>
      </c>
      <c r="H18" s="69">
        <v>1000000.0</v>
      </c>
      <c r="I18" s="69">
        <v>1000000.0</v>
      </c>
      <c r="J18" s="70">
        <f t="shared" si="3"/>
        <v>1</v>
      </c>
    </row>
    <row r="19" ht="22.5" customHeight="1" outlineLevel="2">
      <c r="A19" s="66" t="s">
        <v>81</v>
      </c>
      <c r="B19" s="67" t="s">
        <v>56</v>
      </c>
      <c r="C19" s="67" t="s">
        <v>82</v>
      </c>
      <c r="D19" s="68"/>
      <c r="E19" s="68">
        <v>44993.625</v>
      </c>
      <c r="F19" s="69">
        <v>8000000.0</v>
      </c>
      <c r="G19" s="69">
        <v>8000000.0</v>
      </c>
      <c r="H19" s="69">
        <v>8000000.0</v>
      </c>
      <c r="I19" s="69">
        <v>8000000.0</v>
      </c>
      <c r="J19" s="70">
        <f t="shared" si="3"/>
        <v>1</v>
      </c>
    </row>
    <row r="20" ht="22.5" customHeight="1" outlineLevel="2">
      <c r="A20" s="66" t="s">
        <v>83</v>
      </c>
      <c r="B20" s="67" t="s">
        <v>84</v>
      </c>
      <c r="C20" s="67" t="s">
        <v>85</v>
      </c>
      <c r="D20" s="68"/>
      <c r="E20" s="68">
        <v>45288.625</v>
      </c>
      <c r="F20" s="69">
        <v>2.5E8</v>
      </c>
      <c r="G20" s="69">
        <v>2.27272727E8</v>
      </c>
      <c r="H20" s="69">
        <v>4.5454545400000006E7</v>
      </c>
      <c r="I20" s="69"/>
      <c r="J20" s="70">
        <f t="shared" si="3"/>
        <v>0.2</v>
      </c>
    </row>
    <row r="21" ht="22.5" customHeight="1" outlineLevel="2">
      <c r="A21" s="66" t="s">
        <v>86</v>
      </c>
      <c r="B21" s="67" t="s">
        <v>51</v>
      </c>
      <c r="C21" s="67" t="s">
        <v>87</v>
      </c>
      <c r="D21" s="68"/>
      <c r="E21" s="68">
        <v>45002.58333333333</v>
      </c>
      <c r="F21" s="69">
        <v>2000000.0</v>
      </c>
      <c r="G21" s="69">
        <v>2000000.0</v>
      </c>
      <c r="H21" s="69">
        <v>2000000.0</v>
      </c>
      <c r="I21" s="69">
        <v>2000000.0</v>
      </c>
      <c r="J21" s="70">
        <f t="shared" si="3"/>
        <v>1</v>
      </c>
    </row>
    <row r="22" ht="22.5" customHeight="1" outlineLevel="2">
      <c r="A22" s="66" t="s">
        <v>88</v>
      </c>
      <c r="B22" s="67" t="s">
        <v>51</v>
      </c>
      <c r="C22" s="67" t="s">
        <v>89</v>
      </c>
      <c r="D22" s="68"/>
      <c r="E22" s="68">
        <v>45006.58333333333</v>
      </c>
      <c r="F22" s="69">
        <v>6000000.0</v>
      </c>
      <c r="G22" s="69">
        <v>6000000.0</v>
      </c>
      <c r="H22" s="69">
        <v>6000000.0</v>
      </c>
      <c r="I22" s="69">
        <v>6000000.0</v>
      </c>
      <c r="J22" s="70">
        <f t="shared" si="3"/>
        <v>1</v>
      </c>
    </row>
    <row r="23" ht="22.5" customHeight="1" outlineLevel="2">
      <c r="A23" s="66" t="s">
        <v>90</v>
      </c>
      <c r="B23" s="67" t="s">
        <v>56</v>
      </c>
      <c r="C23" s="67" t="s">
        <v>91</v>
      </c>
      <c r="D23" s="68"/>
      <c r="E23" s="68">
        <v>45009.58333333333</v>
      </c>
      <c r="F23" s="69">
        <v>4000000.0</v>
      </c>
      <c r="G23" s="69">
        <v>4000000.0</v>
      </c>
      <c r="H23" s="69">
        <v>4000000.0</v>
      </c>
      <c r="I23" s="69">
        <v>4000000.0</v>
      </c>
      <c r="J23" s="70">
        <f t="shared" si="3"/>
        <v>1</v>
      </c>
    </row>
    <row r="24" ht="22.5" customHeight="1" outlineLevel="2">
      <c r="A24" s="66" t="s">
        <v>92</v>
      </c>
      <c r="B24" s="67" t="s">
        <v>56</v>
      </c>
      <c r="C24" s="67" t="s">
        <v>93</v>
      </c>
      <c r="D24" s="68"/>
      <c r="E24" s="68">
        <v>45014.58333333333</v>
      </c>
      <c r="F24" s="69">
        <v>1500000.0</v>
      </c>
      <c r="G24" s="69">
        <v>1500000.0</v>
      </c>
      <c r="H24" s="69">
        <v>1500000.0</v>
      </c>
      <c r="I24" s="69">
        <v>1500000.0</v>
      </c>
      <c r="J24" s="70">
        <f t="shared" si="3"/>
        <v>1</v>
      </c>
    </row>
    <row r="25" ht="22.5" customHeight="1" outlineLevel="2">
      <c r="A25" s="66" t="s">
        <v>94</v>
      </c>
      <c r="B25" s="67" t="s">
        <v>56</v>
      </c>
      <c r="C25" s="67" t="s">
        <v>95</v>
      </c>
      <c r="D25" s="68"/>
      <c r="E25" s="68">
        <v>45016.58333333333</v>
      </c>
      <c r="F25" s="69">
        <v>1.6E7</v>
      </c>
      <c r="G25" s="69">
        <v>1.6E7</v>
      </c>
      <c r="H25" s="69">
        <v>1.6E7</v>
      </c>
      <c r="I25" s="69">
        <v>1.6E7</v>
      </c>
      <c r="J25" s="70">
        <f t="shared" si="3"/>
        <v>1</v>
      </c>
    </row>
    <row r="26" ht="22.5" customHeight="1" outlineLevel="2">
      <c r="A26" s="66" t="s">
        <v>96</v>
      </c>
      <c r="B26" s="67" t="s">
        <v>51</v>
      </c>
      <c r="C26" s="67" t="s">
        <v>97</v>
      </c>
      <c r="D26" s="68"/>
      <c r="E26" s="68">
        <v>45016.58333333333</v>
      </c>
      <c r="F26" s="69">
        <v>2000000.0</v>
      </c>
      <c r="G26" s="69">
        <v>2000000.0</v>
      </c>
      <c r="H26" s="69">
        <v>2000000.0</v>
      </c>
      <c r="I26" s="69">
        <v>2000000.0</v>
      </c>
      <c r="J26" s="70">
        <f t="shared" si="3"/>
        <v>1</v>
      </c>
    </row>
    <row r="27" ht="22.5" customHeight="1" outlineLevel="2">
      <c r="A27" s="66" t="s">
        <v>98</v>
      </c>
      <c r="B27" s="67" t="s">
        <v>84</v>
      </c>
      <c r="C27" s="67" t="s">
        <v>99</v>
      </c>
      <c r="D27" s="68"/>
      <c r="E27" s="68">
        <v>45202.58333333333</v>
      </c>
      <c r="F27" s="69">
        <v>7.3312E8</v>
      </c>
      <c r="G27" s="69">
        <v>6.78814815E8</v>
      </c>
      <c r="H27" s="69">
        <v>4.7517037049999994E8</v>
      </c>
      <c r="I27" s="69">
        <v>7.3312E8</v>
      </c>
      <c r="J27" s="70">
        <f t="shared" si="3"/>
        <v>0.7</v>
      </c>
    </row>
    <row r="28" ht="22.5" customHeight="1" outlineLevel="2">
      <c r="A28" s="66" t="s">
        <v>100</v>
      </c>
      <c r="B28" s="67" t="s">
        <v>84</v>
      </c>
      <c r="C28" s="67" t="s">
        <v>101</v>
      </c>
      <c r="D28" s="68"/>
      <c r="E28" s="68">
        <v>45282.625</v>
      </c>
      <c r="F28" s="69">
        <v>2.99419E8</v>
      </c>
      <c r="G28" s="69">
        <v>2.77239815E8</v>
      </c>
      <c r="H28" s="69">
        <v>1.2475791675E8</v>
      </c>
      <c r="I28" s="69">
        <v>2.99419E8</v>
      </c>
      <c r="J28" s="70">
        <f t="shared" si="3"/>
        <v>0.45</v>
      </c>
    </row>
    <row r="29" ht="22.5" customHeight="1" outlineLevel="2">
      <c r="A29" s="66" t="s">
        <v>102</v>
      </c>
      <c r="B29" s="67" t="s">
        <v>56</v>
      </c>
      <c r="C29" s="67" t="s">
        <v>103</v>
      </c>
      <c r="D29" s="68"/>
      <c r="E29" s="68">
        <v>45051.58333333333</v>
      </c>
      <c r="F29" s="69">
        <v>2500000.0</v>
      </c>
      <c r="G29" s="69">
        <v>2500000.0</v>
      </c>
      <c r="H29" s="69">
        <v>2500000.0</v>
      </c>
      <c r="I29" s="69">
        <v>2500000.0</v>
      </c>
      <c r="J29" s="70">
        <f t="shared" si="3"/>
        <v>1</v>
      </c>
    </row>
    <row r="30" ht="22.5" customHeight="1" outlineLevel="2">
      <c r="A30" s="66" t="s">
        <v>104</v>
      </c>
      <c r="B30" s="67" t="s">
        <v>56</v>
      </c>
      <c r="C30" s="67" t="s">
        <v>105</v>
      </c>
      <c r="D30" s="68"/>
      <c r="E30" s="68">
        <v>45054.58333333333</v>
      </c>
      <c r="F30" s="69">
        <v>1000000.0</v>
      </c>
      <c r="G30" s="69">
        <v>1000000.0</v>
      </c>
      <c r="H30" s="69">
        <v>1000000.0</v>
      </c>
      <c r="I30" s="69">
        <v>1000000.0</v>
      </c>
      <c r="J30" s="70">
        <f t="shared" si="3"/>
        <v>1</v>
      </c>
    </row>
    <row r="31" ht="22.5" customHeight="1" outlineLevel="2">
      <c r="A31" s="66" t="s">
        <v>106</v>
      </c>
      <c r="B31" s="67" t="s">
        <v>84</v>
      </c>
      <c r="C31" s="67" t="s">
        <v>107</v>
      </c>
      <c r="D31" s="68"/>
      <c r="E31" s="68">
        <v>45233.58333333333</v>
      </c>
      <c r="F31" s="69">
        <v>4.3E8</v>
      </c>
      <c r="G31" s="69">
        <v>3.98148148E8</v>
      </c>
      <c r="H31" s="69">
        <v>2.3888888879999998E8</v>
      </c>
      <c r="I31" s="69">
        <v>4.3E8</v>
      </c>
      <c r="J31" s="70">
        <f t="shared" si="3"/>
        <v>0.6</v>
      </c>
    </row>
    <row r="32" ht="22.5" customHeight="1" outlineLevel="2">
      <c r="A32" s="66" t="s">
        <v>108</v>
      </c>
      <c r="B32" s="67" t="s">
        <v>84</v>
      </c>
      <c r="C32" s="67" t="s">
        <v>109</v>
      </c>
      <c r="D32" s="68"/>
      <c r="E32" s="68">
        <v>45250.625</v>
      </c>
      <c r="F32" s="69">
        <v>1.29E8</v>
      </c>
      <c r="G32" s="69">
        <v>1.1735892E8</v>
      </c>
      <c r="H32" s="69">
        <v>2.3471784E7</v>
      </c>
      <c r="I32" s="69">
        <v>1.26747E8</v>
      </c>
      <c r="J32" s="70">
        <f t="shared" si="3"/>
        <v>0.2</v>
      </c>
    </row>
    <row r="33" ht="22.5" customHeight="1" outlineLevel="2">
      <c r="A33" s="66" t="s">
        <v>110</v>
      </c>
      <c r="B33" s="67" t="s">
        <v>84</v>
      </c>
      <c r="C33" s="67" t="s">
        <v>111</v>
      </c>
      <c r="D33" s="68"/>
      <c r="E33" s="68">
        <v>45285.625</v>
      </c>
      <c r="F33" s="69">
        <v>1.178E8</v>
      </c>
      <c r="G33" s="69">
        <v>1.09074074E8</v>
      </c>
      <c r="H33" s="69">
        <v>8.246E7</v>
      </c>
      <c r="I33" s="69">
        <v>1.178E8</v>
      </c>
      <c r="J33" s="70">
        <f t="shared" si="3"/>
        <v>0.7560000005</v>
      </c>
    </row>
    <row r="34" ht="22.5" customHeight="1" outlineLevel="2">
      <c r="A34" s="66" t="s">
        <v>112</v>
      </c>
      <c r="B34" s="67" t="s">
        <v>113</v>
      </c>
      <c r="C34" s="67" t="s">
        <v>114</v>
      </c>
      <c r="D34" s="68"/>
      <c r="E34" s="68">
        <v>45068.58333333333</v>
      </c>
      <c r="F34" s="69">
        <v>2000000.0</v>
      </c>
      <c r="G34" s="69">
        <v>5000000.0</v>
      </c>
      <c r="H34" s="69">
        <v>2000000.0</v>
      </c>
      <c r="I34" s="69">
        <v>5000000.0</v>
      </c>
      <c r="J34" s="70">
        <f t="shared" si="3"/>
        <v>0.4</v>
      </c>
    </row>
    <row r="35" ht="22.5" customHeight="1" outlineLevel="2">
      <c r="A35" s="66" t="s">
        <v>112</v>
      </c>
      <c r="B35" s="67" t="s">
        <v>115</v>
      </c>
      <c r="C35" s="67" t="s">
        <v>114</v>
      </c>
      <c r="D35" s="68"/>
      <c r="E35" s="68"/>
      <c r="F35" s="69">
        <v>3000000.0</v>
      </c>
      <c r="G35" s="69"/>
      <c r="H35" s="69">
        <v>3000000.0</v>
      </c>
      <c r="I35" s="69"/>
      <c r="J35" s="70" t="str">
        <f t="shared" si="3"/>
        <v>#DIV/0!</v>
      </c>
    </row>
    <row r="36" ht="22.5" customHeight="1" outlineLevel="2">
      <c r="A36" s="66" t="s">
        <v>116</v>
      </c>
      <c r="B36" s="67" t="s">
        <v>51</v>
      </c>
      <c r="C36" s="67" t="s">
        <v>117</v>
      </c>
      <c r="D36" s="68"/>
      <c r="E36" s="68">
        <v>45079.58333333333</v>
      </c>
      <c r="F36" s="69">
        <v>2000000.0</v>
      </c>
      <c r="G36" s="69">
        <v>2000000.0</v>
      </c>
      <c r="H36" s="69">
        <v>2000000.0</v>
      </c>
      <c r="I36" s="69">
        <v>2000000.0</v>
      </c>
      <c r="J36" s="70">
        <f t="shared" si="3"/>
        <v>1</v>
      </c>
    </row>
    <row r="37" ht="22.5" customHeight="1" outlineLevel="2">
      <c r="A37" s="66" t="s">
        <v>118</v>
      </c>
      <c r="B37" s="67" t="s">
        <v>56</v>
      </c>
      <c r="C37" s="67" t="s">
        <v>119</v>
      </c>
      <c r="D37" s="68"/>
      <c r="E37" s="68">
        <v>45082.58333333333</v>
      </c>
      <c r="F37" s="69">
        <v>4000000.0</v>
      </c>
      <c r="G37" s="69">
        <v>4000000.0</v>
      </c>
      <c r="H37" s="69">
        <v>4000000.0</v>
      </c>
      <c r="I37" s="69">
        <v>4000000.0</v>
      </c>
      <c r="J37" s="70">
        <f t="shared" si="3"/>
        <v>1</v>
      </c>
    </row>
    <row r="38" ht="22.5" customHeight="1" outlineLevel="2">
      <c r="A38" s="66" t="s">
        <v>120</v>
      </c>
      <c r="B38" s="67" t="s">
        <v>121</v>
      </c>
      <c r="C38" s="67" t="s">
        <v>122</v>
      </c>
      <c r="D38" s="68"/>
      <c r="E38" s="68">
        <v>45089.58333333333</v>
      </c>
      <c r="F38" s="69">
        <v>1500000.0</v>
      </c>
      <c r="G38" s="69">
        <v>1500000.0</v>
      </c>
      <c r="H38" s="69">
        <v>1500000.0</v>
      </c>
      <c r="I38" s="69">
        <v>1500000.0</v>
      </c>
      <c r="J38" s="70">
        <f t="shared" si="3"/>
        <v>1</v>
      </c>
    </row>
    <row r="39" ht="22.5" customHeight="1" outlineLevel="2">
      <c r="A39" s="66" t="s">
        <v>123</v>
      </c>
      <c r="B39" s="67" t="s">
        <v>56</v>
      </c>
      <c r="C39" s="67" t="s">
        <v>124</v>
      </c>
      <c r="D39" s="68"/>
      <c r="E39" s="68">
        <v>45282.625</v>
      </c>
      <c r="F39" s="69">
        <v>300000.0</v>
      </c>
      <c r="G39" s="69">
        <v>300000.0</v>
      </c>
      <c r="H39" s="69">
        <v>300000.0</v>
      </c>
      <c r="I39" s="69">
        <v>300000.0</v>
      </c>
      <c r="J39" s="70">
        <f t="shared" si="3"/>
        <v>1</v>
      </c>
    </row>
    <row r="40" ht="22.5" customHeight="1" outlineLevel="2">
      <c r="A40" s="66" t="s">
        <v>125</v>
      </c>
      <c r="B40" s="67" t="s">
        <v>56</v>
      </c>
      <c r="C40" s="67" t="s">
        <v>126</v>
      </c>
      <c r="D40" s="68"/>
      <c r="E40" s="68">
        <v>45119.58333333333</v>
      </c>
      <c r="F40" s="69">
        <v>8000000.0</v>
      </c>
      <c r="G40" s="69">
        <v>8000000.0</v>
      </c>
      <c r="H40" s="69">
        <v>8000000.0</v>
      </c>
      <c r="I40" s="69">
        <v>8000000.0</v>
      </c>
      <c r="J40" s="70">
        <f t="shared" si="3"/>
        <v>1</v>
      </c>
    </row>
    <row r="41" ht="22.5" customHeight="1" outlineLevel="2">
      <c r="A41" s="66" t="s">
        <v>127</v>
      </c>
      <c r="B41" s="67" t="s">
        <v>56</v>
      </c>
      <c r="C41" s="67" t="s">
        <v>128</v>
      </c>
      <c r="D41" s="68"/>
      <c r="E41" s="68">
        <v>45282.625</v>
      </c>
      <c r="F41" s="69">
        <v>3800000.0</v>
      </c>
      <c r="G41" s="69">
        <v>3800000.0</v>
      </c>
      <c r="H41" s="69">
        <v>3800000.0</v>
      </c>
      <c r="I41" s="69">
        <v>3800000.0</v>
      </c>
      <c r="J41" s="70">
        <f t="shared" si="3"/>
        <v>1</v>
      </c>
    </row>
    <row r="42" ht="22.5" customHeight="1" outlineLevel="2">
      <c r="A42" s="66" t="s">
        <v>129</v>
      </c>
      <c r="B42" s="67" t="s">
        <v>51</v>
      </c>
      <c r="C42" s="67" t="s">
        <v>130</v>
      </c>
      <c r="D42" s="68"/>
      <c r="E42" s="68">
        <v>45128.58333333333</v>
      </c>
      <c r="F42" s="69">
        <v>6000000.0</v>
      </c>
      <c r="G42" s="69">
        <v>6000000.0</v>
      </c>
      <c r="H42" s="69">
        <v>6000000.0</v>
      </c>
      <c r="I42" s="69">
        <v>6000000.0</v>
      </c>
      <c r="J42" s="70">
        <f t="shared" si="3"/>
        <v>1</v>
      </c>
    </row>
    <row r="43" ht="22.5" customHeight="1" outlineLevel="2">
      <c r="A43" s="66" t="s">
        <v>131</v>
      </c>
      <c r="B43" s="67" t="s">
        <v>51</v>
      </c>
      <c r="C43" s="67" t="s">
        <v>132</v>
      </c>
      <c r="D43" s="68"/>
      <c r="E43" s="68">
        <v>45131.58333333333</v>
      </c>
      <c r="F43" s="69">
        <v>8000000.0</v>
      </c>
      <c r="G43" s="69">
        <v>8000000.0</v>
      </c>
      <c r="H43" s="69">
        <v>8000000.0</v>
      </c>
      <c r="I43" s="69">
        <v>8000000.0</v>
      </c>
      <c r="J43" s="70">
        <f t="shared" si="3"/>
        <v>1</v>
      </c>
    </row>
    <row r="44" ht="22.5" customHeight="1" outlineLevel="2">
      <c r="A44" s="66" t="s">
        <v>133</v>
      </c>
      <c r="B44" s="67" t="s">
        <v>56</v>
      </c>
      <c r="C44" s="67" t="s">
        <v>134</v>
      </c>
      <c r="D44" s="68"/>
      <c r="E44" s="68">
        <v>45135.58333333333</v>
      </c>
      <c r="F44" s="69">
        <v>1500000.0</v>
      </c>
      <c r="G44" s="69">
        <v>1500000.0</v>
      </c>
      <c r="H44" s="69">
        <v>1500000.0</v>
      </c>
      <c r="I44" s="69">
        <v>1500000.0</v>
      </c>
      <c r="J44" s="70">
        <f t="shared" si="3"/>
        <v>1</v>
      </c>
    </row>
    <row r="45" ht="22.5" customHeight="1" outlineLevel="2">
      <c r="A45" s="66" t="s">
        <v>135</v>
      </c>
      <c r="B45" s="67" t="s">
        <v>56</v>
      </c>
      <c r="C45" s="67" t="s">
        <v>136</v>
      </c>
      <c r="D45" s="68"/>
      <c r="E45" s="68">
        <v>45141.58333333333</v>
      </c>
      <c r="F45" s="69">
        <v>3400000.0</v>
      </c>
      <c r="G45" s="69">
        <v>3400000.0</v>
      </c>
      <c r="H45" s="69">
        <v>3400000.0</v>
      </c>
      <c r="I45" s="69">
        <v>3400000.0</v>
      </c>
      <c r="J45" s="70">
        <f t="shared" si="3"/>
        <v>1</v>
      </c>
    </row>
    <row r="46" ht="22.5" customHeight="1" outlineLevel="2">
      <c r="A46" s="66" t="s">
        <v>137</v>
      </c>
      <c r="B46" s="67" t="s">
        <v>56</v>
      </c>
      <c r="C46" s="67" t="s">
        <v>138</v>
      </c>
      <c r="D46" s="68"/>
      <c r="E46" s="68">
        <v>45147.58333333333</v>
      </c>
      <c r="F46" s="69">
        <v>4000000.0</v>
      </c>
      <c r="G46" s="69">
        <v>4000000.0</v>
      </c>
      <c r="H46" s="69">
        <v>4000000.0</v>
      </c>
      <c r="I46" s="69">
        <v>4000000.0</v>
      </c>
      <c r="J46" s="70">
        <f t="shared" si="3"/>
        <v>1</v>
      </c>
    </row>
    <row r="47" ht="22.5" customHeight="1" outlineLevel="2">
      <c r="A47" s="66" t="s">
        <v>139</v>
      </c>
      <c r="B47" s="67" t="s">
        <v>56</v>
      </c>
      <c r="C47" s="67" t="s">
        <v>140</v>
      </c>
      <c r="D47" s="68"/>
      <c r="E47" s="68">
        <v>45282.625</v>
      </c>
      <c r="F47" s="69">
        <v>3600000.0</v>
      </c>
      <c r="G47" s="69">
        <v>3600000.0</v>
      </c>
      <c r="H47" s="69">
        <v>3600000.0</v>
      </c>
      <c r="I47" s="69">
        <v>3600000.0</v>
      </c>
      <c r="J47" s="70">
        <f t="shared" si="3"/>
        <v>1</v>
      </c>
    </row>
    <row r="48" ht="22.5" customHeight="1" outlineLevel="2">
      <c r="A48" s="66" t="s">
        <v>141</v>
      </c>
      <c r="B48" s="67" t="s">
        <v>56</v>
      </c>
      <c r="C48" s="67" t="s">
        <v>142</v>
      </c>
      <c r="D48" s="68"/>
      <c r="E48" s="68">
        <v>45156.58333333333</v>
      </c>
      <c r="F48" s="69">
        <v>1000000.0</v>
      </c>
      <c r="G48" s="69">
        <v>1000000.0</v>
      </c>
      <c r="H48" s="69">
        <v>1000000.0</v>
      </c>
      <c r="I48" s="69">
        <v>1000000.0</v>
      </c>
      <c r="J48" s="70">
        <f t="shared" si="3"/>
        <v>1</v>
      </c>
    </row>
    <row r="49" ht="22.5" customHeight="1" outlineLevel="2">
      <c r="A49" s="66" t="s">
        <v>143</v>
      </c>
      <c r="B49" s="67" t="s">
        <v>56</v>
      </c>
      <c r="C49" s="67" t="s">
        <v>144</v>
      </c>
      <c r="D49" s="68"/>
      <c r="E49" s="68">
        <v>45183.58333333333</v>
      </c>
      <c r="F49" s="69">
        <v>4000000.0</v>
      </c>
      <c r="G49" s="69">
        <v>4000000.0</v>
      </c>
      <c r="H49" s="69">
        <v>4000000.0</v>
      </c>
      <c r="I49" s="69">
        <v>4000000.0</v>
      </c>
      <c r="J49" s="70">
        <f t="shared" si="3"/>
        <v>1</v>
      </c>
    </row>
    <row r="50" ht="22.5" customHeight="1" outlineLevel="2">
      <c r="A50" s="66" t="s">
        <v>145</v>
      </c>
      <c r="B50" s="67" t="s">
        <v>56</v>
      </c>
      <c r="C50" s="67" t="s">
        <v>146</v>
      </c>
      <c r="D50" s="68"/>
      <c r="E50" s="68">
        <v>45183.58333333333</v>
      </c>
      <c r="F50" s="69">
        <v>4000000.0</v>
      </c>
      <c r="G50" s="69">
        <v>4000000.0</v>
      </c>
      <c r="H50" s="69">
        <v>4000000.0</v>
      </c>
      <c r="I50" s="69">
        <v>4000000.0</v>
      </c>
      <c r="J50" s="70">
        <f t="shared" si="3"/>
        <v>1</v>
      </c>
    </row>
    <row r="51" ht="22.5" customHeight="1" outlineLevel="2">
      <c r="A51" s="66" t="s">
        <v>147</v>
      </c>
      <c r="B51" s="67" t="s">
        <v>51</v>
      </c>
      <c r="C51" s="67" t="s">
        <v>148</v>
      </c>
      <c r="D51" s="68"/>
      <c r="E51" s="68"/>
      <c r="F51" s="69">
        <v>2000000.0</v>
      </c>
      <c r="G51" s="69"/>
      <c r="H51" s="69">
        <v>2000000.0</v>
      </c>
      <c r="I51" s="69"/>
      <c r="J51" s="70" t="str">
        <f t="shared" si="3"/>
        <v>#DIV/0!</v>
      </c>
    </row>
    <row r="52" ht="22.5" customHeight="1" outlineLevel="2">
      <c r="A52" s="66" t="s">
        <v>149</v>
      </c>
      <c r="B52" s="67" t="s">
        <v>84</v>
      </c>
      <c r="C52" s="67" t="s">
        <v>150</v>
      </c>
      <c r="D52" s="68"/>
      <c r="E52" s="68">
        <v>45285.625</v>
      </c>
      <c r="F52" s="69">
        <v>4.35E8</v>
      </c>
      <c r="G52" s="69">
        <v>4.02777778E8</v>
      </c>
      <c r="H52" s="69">
        <v>2.8194444459999996E8</v>
      </c>
      <c r="I52" s="69">
        <v>4.35E8</v>
      </c>
      <c r="J52" s="70">
        <f t="shared" si="3"/>
        <v>0.7</v>
      </c>
    </row>
    <row r="53" ht="22.5" customHeight="1" outlineLevel="2">
      <c r="A53" s="66" t="s">
        <v>151</v>
      </c>
      <c r="B53" s="67" t="s">
        <v>51</v>
      </c>
      <c r="C53" s="67" t="s">
        <v>152</v>
      </c>
      <c r="D53" s="68"/>
      <c r="E53" s="68"/>
      <c r="F53" s="69">
        <v>2000000.0</v>
      </c>
      <c r="G53" s="69"/>
      <c r="H53" s="69">
        <v>2000000.0</v>
      </c>
      <c r="I53" s="69"/>
      <c r="J53" s="70" t="str">
        <f t="shared" si="3"/>
        <v>#DIV/0!</v>
      </c>
    </row>
    <row r="54" ht="22.5" customHeight="1" outlineLevel="2">
      <c r="A54" s="66" t="s">
        <v>153</v>
      </c>
      <c r="B54" s="67" t="s">
        <v>84</v>
      </c>
      <c r="C54" s="67" t="s">
        <v>154</v>
      </c>
      <c r="D54" s="68"/>
      <c r="E54" s="68">
        <v>45285.625</v>
      </c>
      <c r="F54" s="69">
        <v>7.05659E8</v>
      </c>
      <c r="G54" s="69">
        <v>6.53387963E8</v>
      </c>
      <c r="H54" s="69">
        <v>4.5737157409999996E8</v>
      </c>
      <c r="I54" s="69">
        <v>7.05659E8</v>
      </c>
      <c r="J54" s="70">
        <f t="shared" si="3"/>
        <v>0.7</v>
      </c>
    </row>
    <row r="55" ht="22.5" customHeight="1" outlineLevel="2">
      <c r="A55" s="66" t="s">
        <v>155</v>
      </c>
      <c r="B55" s="67" t="s">
        <v>56</v>
      </c>
      <c r="C55" s="67" t="s">
        <v>156</v>
      </c>
      <c r="D55" s="68"/>
      <c r="E55" s="68">
        <v>45202.58333333333</v>
      </c>
      <c r="F55" s="69">
        <v>1500000.0</v>
      </c>
      <c r="G55" s="69">
        <v>1500000.0</v>
      </c>
      <c r="H55" s="69">
        <v>1500000.0</v>
      </c>
      <c r="I55" s="69">
        <v>1500000.0</v>
      </c>
      <c r="J55" s="70">
        <f t="shared" si="3"/>
        <v>1</v>
      </c>
    </row>
    <row r="56" ht="22.5" customHeight="1" outlineLevel="2">
      <c r="A56" s="66" t="s">
        <v>157</v>
      </c>
      <c r="B56" s="67" t="s">
        <v>51</v>
      </c>
      <c r="C56" s="67" t="s">
        <v>158</v>
      </c>
      <c r="D56" s="68"/>
      <c r="E56" s="68">
        <v>45203.58333333333</v>
      </c>
      <c r="F56" s="69">
        <v>8000000.0</v>
      </c>
      <c r="G56" s="69">
        <v>8000000.0</v>
      </c>
      <c r="H56" s="69">
        <v>8000000.0</v>
      </c>
      <c r="I56" s="69">
        <v>8000000.0</v>
      </c>
      <c r="J56" s="70">
        <f t="shared" si="3"/>
        <v>1</v>
      </c>
    </row>
    <row r="57" ht="22.5" customHeight="1" outlineLevel="2">
      <c r="A57" s="66" t="s">
        <v>159</v>
      </c>
      <c r="B57" s="67" t="s">
        <v>51</v>
      </c>
      <c r="C57" s="67" t="s">
        <v>160</v>
      </c>
      <c r="D57" s="68"/>
      <c r="E57" s="68">
        <v>45282.625</v>
      </c>
      <c r="F57" s="69">
        <v>7000000.0</v>
      </c>
      <c r="G57" s="69">
        <v>7000000.0</v>
      </c>
      <c r="H57" s="69">
        <v>7000000.0</v>
      </c>
      <c r="I57" s="69">
        <v>7000000.0</v>
      </c>
      <c r="J57" s="70">
        <f t="shared" si="3"/>
        <v>1</v>
      </c>
    </row>
    <row r="58" ht="22.5" customHeight="1" outlineLevel="2">
      <c r="A58" s="66" t="s">
        <v>161</v>
      </c>
      <c r="B58" s="67" t="s">
        <v>56</v>
      </c>
      <c r="C58" s="67" t="s">
        <v>162</v>
      </c>
      <c r="D58" s="68"/>
      <c r="E58" s="68">
        <v>45282.625</v>
      </c>
      <c r="F58" s="69">
        <v>1500000.0</v>
      </c>
      <c r="G58" s="69">
        <v>1500000.0</v>
      </c>
      <c r="H58" s="69">
        <v>1500000.0</v>
      </c>
      <c r="I58" s="69">
        <v>1500000.0</v>
      </c>
      <c r="J58" s="70">
        <f t="shared" si="3"/>
        <v>1</v>
      </c>
    </row>
    <row r="59" ht="22.5" customHeight="1" outlineLevel="2">
      <c r="A59" s="66" t="s">
        <v>163</v>
      </c>
      <c r="B59" s="67" t="s">
        <v>51</v>
      </c>
      <c r="C59" s="67" t="s">
        <v>164</v>
      </c>
      <c r="D59" s="68"/>
      <c r="E59" s="68">
        <v>45282.625</v>
      </c>
      <c r="F59" s="69">
        <v>2000000.0</v>
      </c>
      <c r="G59" s="69">
        <v>2000000.0</v>
      </c>
      <c r="H59" s="69">
        <v>2000000.0</v>
      </c>
      <c r="I59" s="69">
        <v>2000000.0</v>
      </c>
      <c r="J59" s="70">
        <f t="shared" si="3"/>
        <v>1</v>
      </c>
    </row>
    <row r="60" ht="22.5" customHeight="1" outlineLevel="2">
      <c r="A60" s="66" t="s">
        <v>165</v>
      </c>
      <c r="B60" s="67" t="s">
        <v>56</v>
      </c>
      <c r="C60" s="67" t="s">
        <v>166</v>
      </c>
      <c r="D60" s="68"/>
      <c r="E60" s="68">
        <v>45223.58333333333</v>
      </c>
      <c r="F60" s="69">
        <v>8000000.0</v>
      </c>
      <c r="G60" s="69">
        <v>8000000.0</v>
      </c>
      <c r="H60" s="69">
        <v>8000000.0</v>
      </c>
      <c r="I60" s="69">
        <v>8000000.0</v>
      </c>
      <c r="J60" s="70">
        <f t="shared" si="3"/>
        <v>1</v>
      </c>
    </row>
    <row r="61" ht="22.5" customHeight="1" outlineLevel="2">
      <c r="A61" s="66" t="s">
        <v>167</v>
      </c>
      <c r="B61" s="67" t="s">
        <v>51</v>
      </c>
      <c r="C61" s="67" t="s">
        <v>168</v>
      </c>
      <c r="D61" s="68"/>
      <c r="E61" s="68">
        <v>45224.58333333333</v>
      </c>
      <c r="F61" s="69">
        <v>8000000.0</v>
      </c>
      <c r="G61" s="69">
        <v>8000000.0</v>
      </c>
      <c r="H61" s="69">
        <v>8000000.0</v>
      </c>
      <c r="I61" s="69">
        <v>8000000.0</v>
      </c>
      <c r="J61" s="70">
        <f t="shared" si="3"/>
        <v>1</v>
      </c>
    </row>
    <row r="62" ht="22.5" customHeight="1" outlineLevel="2">
      <c r="A62" s="66" t="s">
        <v>169</v>
      </c>
      <c r="B62" s="67" t="s">
        <v>56</v>
      </c>
      <c r="C62" s="67" t="s">
        <v>170</v>
      </c>
      <c r="D62" s="68"/>
      <c r="E62" s="68">
        <v>45230.58333333333</v>
      </c>
      <c r="F62" s="69">
        <v>4000000.0</v>
      </c>
      <c r="G62" s="69">
        <v>4000000.0</v>
      </c>
      <c r="H62" s="69">
        <v>4000000.0</v>
      </c>
      <c r="I62" s="69">
        <v>4000000.0</v>
      </c>
      <c r="J62" s="70">
        <f t="shared" si="3"/>
        <v>1</v>
      </c>
    </row>
    <row r="63" ht="22.5" customHeight="1" outlineLevel="2">
      <c r="A63" s="66" t="s">
        <v>171</v>
      </c>
      <c r="B63" s="67" t="s">
        <v>56</v>
      </c>
      <c r="C63" s="67" t="s">
        <v>172</v>
      </c>
      <c r="D63" s="68"/>
      <c r="E63" s="68">
        <v>44937.625</v>
      </c>
      <c r="F63" s="69">
        <v>8000000.0</v>
      </c>
      <c r="G63" s="69">
        <v>8000000.0</v>
      </c>
      <c r="H63" s="69">
        <v>8000000.0</v>
      </c>
      <c r="I63" s="69">
        <v>8000000.0</v>
      </c>
      <c r="J63" s="70">
        <f t="shared" si="3"/>
        <v>1</v>
      </c>
    </row>
    <row r="64" ht="22.5" customHeight="1" outlineLevel="2">
      <c r="A64" s="66" t="s">
        <v>173</v>
      </c>
      <c r="B64" s="67" t="s">
        <v>56</v>
      </c>
      <c r="C64" s="67" t="s">
        <v>174</v>
      </c>
      <c r="D64" s="68"/>
      <c r="E64" s="68">
        <v>45245.625</v>
      </c>
      <c r="F64" s="69">
        <v>1500000.0</v>
      </c>
      <c r="G64" s="69">
        <v>1500000.0</v>
      </c>
      <c r="H64" s="69">
        <v>1500000.0</v>
      </c>
      <c r="I64" s="69">
        <v>1500000.0</v>
      </c>
      <c r="J64" s="70">
        <f t="shared" si="3"/>
        <v>1</v>
      </c>
    </row>
    <row r="65" ht="22.5" customHeight="1" outlineLevel="2">
      <c r="A65" s="66" t="s">
        <v>175</v>
      </c>
      <c r="B65" s="67" t="s">
        <v>56</v>
      </c>
      <c r="C65" s="67" t="s">
        <v>176</v>
      </c>
      <c r="D65" s="68"/>
      <c r="E65" s="68">
        <v>45253.625</v>
      </c>
      <c r="F65" s="69">
        <v>2.4E7</v>
      </c>
      <c r="G65" s="69">
        <v>2.4E7</v>
      </c>
      <c r="H65" s="69">
        <v>2.4E7</v>
      </c>
      <c r="I65" s="69">
        <v>2.4E7</v>
      </c>
      <c r="J65" s="70">
        <f t="shared" si="3"/>
        <v>1</v>
      </c>
    </row>
    <row r="66" ht="22.5" customHeight="1" outlineLevel="2">
      <c r="A66" s="66" t="s">
        <v>177</v>
      </c>
      <c r="B66" s="67" t="s">
        <v>56</v>
      </c>
      <c r="C66" s="67" t="s">
        <v>178</v>
      </c>
      <c r="D66" s="68"/>
      <c r="E66" s="68"/>
      <c r="F66" s="69">
        <v>300000.0</v>
      </c>
      <c r="G66" s="69"/>
      <c r="H66" s="69">
        <v>300000.0</v>
      </c>
      <c r="I66" s="69"/>
      <c r="J66" s="70" t="str">
        <f t="shared" si="3"/>
        <v>#DIV/0!</v>
      </c>
    </row>
    <row r="67" ht="22.5" customHeight="1" outlineLevel="2">
      <c r="A67" s="66" t="s">
        <v>179</v>
      </c>
      <c r="B67" s="67" t="s">
        <v>51</v>
      </c>
      <c r="C67" s="67" t="s">
        <v>180</v>
      </c>
      <c r="D67" s="68"/>
      <c r="E67" s="68"/>
      <c r="F67" s="69">
        <v>2000000.0</v>
      </c>
      <c r="G67" s="69"/>
      <c r="H67" s="69">
        <v>2000000.0</v>
      </c>
      <c r="I67" s="69"/>
      <c r="J67" s="70" t="str">
        <f t="shared" si="3"/>
        <v>#DIV/0!</v>
      </c>
    </row>
    <row r="68" ht="22.5" customHeight="1" outlineLevel="2">
      <c r="A68" s="66" t="s">
        <v>181</v>
      </c>
      <c r="B68" s="67" t="s">
        <v>56</v>
      </c>
      <c r="C68" s="67" t="s">
        <v>182</v>
      </c>
      <c r="D68" s="68"/>
      <c r="E68" s="68">
        <v>45282.625</v>
      </c>
      <c r="F68" s="69">
        <v>8000000.0</v>
      </c>
      <c r="G68" s="69">
        <v>8000000.0</v>
      </c>
      <c r="H68" s="69">
        <v>8000000.0</v>
      </c>
      <c r="I68" s="69">
        <v>9500000.0</v>
      </c>
      <c r="J68" s="70">
        <f t="shared" si="3"/>
        <v>1</v>
      </c>
    </row>
    <row r="69" ht="22.5" customHeight="1" outlineLevel="2">
      <c r="A69" s="66" t="s">
        <v>183</v>
      </c>
      <c r="B69" s="67" t="s">
        <v>51</v>
      </c>
      <c r="C69" s="67" t="s">
        <v>184</v>
      </c>
      <c r="D69" s="68"/>
      <c r="E69" s="68">
        <v>45271.625</v>
      </c>
      <c r="F69" s="69">
        <v>2000000.0</v>
      </c>
      <c r="G69" s="69">
        <v>2000000.0</v>
      </c>
      <c r="H69" s="69">
        <v>2000000.0</v>
      </c>
      <c r="I69" s="69">
        <v>2000000.0</v>
      </c>
      <c r="J69" s="70">
        <f t="shared" si="3"/>
        <v>1</v>
      </c>
    </row>
    <row r="70" ht="22.5" customHeight="1" outlineLevel="2">
      <c r="A70" s="66" t="s">
        <v>185</v>
      </c>
      <c r="B70" s="67" t="s">
        <v>56</v>
      </c>
      <c r="C70" s="67" t="s">
        <v>186</v>
      </c>
      <c r="D70" s="68"/>
      <c r="E70" s="68">
        <v>45282.625</v>
      </c>
      <c r="F70" s="69">
        <v>1000000.0</v>
      </c>
      <c r="G70" s="69">
        <v>1000000.0</v>
      </c>
      <c r="H70" s="69">
        <v>1000000.0</v>
      </c>
      <c r="I70" s="69">
        <v>1000000.0</v>
      </c>
      <c r="J70" s="70">
        <f t="shared" si="3"/>
        <v>1</v>
      </c>
    </row>
    <row r="71" ht="22.5" customHeight="1" outlineLevel="2">
      <c r="A71" s="66" t="s">
        <v>187</v>
      </c>
      <c r="B71" s="67" t="s">
        <v>56</v>
      </c>
      <c r="C71" s="67" t="s">
        <v>188</v>
      </c>
      <c r="D71" s="68"/>
      <c r="E71" s="68">
        <v>45275.625</v>
      </c>
      <c r="F71" s="69">
        <v>1500000.0</v>
      </c>
      <c r="G71" s="69">
        <v>1500000.0</v>
      </c>
      <c r="H71" s="69">
        <v>1500000.0</v>
      </c>
      <c r="I71" s="69">
        <v>1500000.0</v>
      </c>
      <c r="J71" s="70">
        <f t="shared" si="3"/>
        <v>1</v>
      </c>
    </row>
    <row r="72" ht="22.5" customHeight="1" outlineLevel="2">
      <c r="A72" s="66" t="s">
        <v>189</v>
      </c>
      <c r="B72" s="67" t="s">
        <v>51</v>
      </c>
      <c r="C72" s="67" t="s">
        <v>190</v>
      </c>
      <c r="D72" s="68"/>
      <c r="E72" s="68">
        <v>45278.625</v>
      </c>
      <c r="F72" s="69">
        <v>2000000.0</v>
      </c>
      <c r="G72" s="69">
        <v>2000000.0</v>
      </c>
      <c r="H72" s="69">
        <v>2000000.0</v>
      </c>
      <c r="I72" s="69">
        <v>2000000.0</v>
      </c>
      <c r="J72" s="70">
        <f t="shared" si="3"/>
        <v>1</v>
      </c>
    </row>
    <row r="73" ht="22.5" customHeight="1" outlineLevel="2">
      <c r="A73" s="66" t="s">
        <v>191</v>
      </c>
      <c r="B73" s="67" t="s">
        <v>51</v>
      </c>
      <c r="C73" s="67" t="s">
        <v>184</v>
      </c>
      <c r="D73" s="68"/>
      <c r="E73" s="68">
        <v>45278.625</v>
      </c>
      <c r="F73" s="69">
        <v>2000000.0</v>
      </c>
      <c r="G73" s="69">
        <v>2000000.0</v>
      </c>
      <c r="H73" s="69">
        <v>2000000.0</v>
      </c>
      <c r="I73" s="69">
        <v>2000000.0</v>
      </c>
      <c r="J73" s="70">
        <f t="shared" si="3"/>
        <v>1</v>
      </c>
    </row>
    <row r="74" ht="22.5" customHeight="1" outlineLevel="2">
      <c r="A74" s="66" t="s">
        <v>192</v>
      </c>
      <c r="B74" s="67" t="s">
        <v>56</v>
      </c>
      <c r="C74" s="67" t="s">
        <v>193</v>
      </c>
      <c r="D74" s="68"/>
      <c r="E74" s="68">
        <v>45279.625</v>
      </c>
      <c r="F74" s="69">
        <v>1500000.0</v>
      </c>
      <c r="G74" s="69">
        <v>1500000.0</v>
      </c>
      <c r="H74" s="69">
        <v>1500000.0</v>
      </c>
      <c r="I74" s="69">
        <v>1500000.0</v>
      </c>
      <c r="J74" s="70">
        <f t="shared" si="3"/>
        <v>1</v>
      </c>
    </row>
    <row r="75" ht="22.5" customHeight="1" outlineLevel="2">
      <c r="A75" s="66" t="s">
        <v>194</v>
      </c>
      <c r="B75" s="67" t="s">
        <v>56</v>
      </c>
      <c r="C75" s="67" t="s">
        <v>195</v>
      </c>
      <c r="D75" s="68"/>
      <c r="E75" s="68">
        <v>45279.625</v>
      </c>
      <c r="F75" s="69">
        <v>1500000.0</v>
      </c>
      <c r="G75" s="69">
        <v>1500000.0</v>
      </c>
      <c r="H75" s="69">
        <v>1500000.0</v>
      </c>
      <c r="I75" s="69">
        <v>1500000.0</v>
      </c>
      <c r="J75" s="70">
        <f t="shared" si="3"/>
        <v>1</v>
      </c>
    </row>
    <row r="76" ht="22.5" customHeight="1" outlineLevel="2">
      <c r="A76" s="66" t="s">
        <v>196</v>
      </c>
      <c r="B76" s="67" t="s">
        <v>51</v>
      </c>
      <c r="C76" s="67" t="s">
        <v>197</v>
      </c>
      <c r="D76" s="68"/>
      <c r="E76" s="68">
        <v>45282.625</v>
      </c>
      <c r="F76" s="69">
        <v>2000000.0</v>
      </c>
      <c r="G76" s="69">
        <v>2000000.0</v>
      </c>
      <c r="H76" s="69">
        <v>2000000.0</v>
      </c>
      <c r="I76" s="69">
        <v>2000000.0</v>
      </c>
      <c r="J76" s="70">
        <f t="shared" si="3"/>
        <v>1</v>
      </c>
    </row>
    <row r="77" ht="22.5" customHeight="1" outlineLevel="2">
      <c r="A77" s="66" t="s">
        <v>198</v>
      </c>
      <c r="B77" s="67" t="s">
        <v>56</v>
      </c>
      <c r="C77" s="67" t="s">
        <v>199</v>
      </c>
      <c r="D77" s="68"/>
      <c r="E77" s="68">
        <v>45280.625</v>
      </c>
      <c r="F77" s="69">
        <v>4000000.0</v>
      </c>
      <c r="G77" s="69">
        <v>4000000.0</v>
      </c>
      <c r="H77" s="69">
        <v>4000000.0</v>
      </c>
      <c r="I77" s="69">
        <v>4000000.0</v>
      </c>
      <c r="J77" s="70">
        <f t="shared" si="3"/>
        <v>1</v>
      </c>
    </row>
    <row r="78" ht="22.5" customHeight="1" outlineLevel="2">
      <c r="A78" s="66" t="s">
        <v>200</v>
      </c>
      <c r="B78" s="67" t="s">
        <v>201</v>
      </c>
      <c r="C78" s="67" t="s">
        <v>202</v>
      </c>
      <c r="D78" s="68"/>
      <c r="E78" s="68">
        <v>45285.625</v>
      </c>
      <c r="F78" s="69">
        <v>2000000.0</v>
      </c>
      <c r="G78" s="69">
        <v>2000000.0</v>
      </c>
      <c r="H78" s="69">
        <v>2000000.0</v>
      </c>
      <c r="I78" s="69">
        <v>2000000.0</v>
      </c>
      <c r="J78" s="70">
        <f t="shared" si="3"/>
        <v>1</v>
      </c>
    </row>
    <row r="79" ht="22.5" customHeight="1" outlineLevel="2">
      <c r="A79" s="66" t="s">
        <v>203</v>
      </c>
      <c r="B79" s="67" t="s">
        <v>115</v>
      </c>
      <c r="C79" s="67" t="s">
        <v>204</v>
      </c>
      <c r="D79" s="68"/>
      <c r="E79" s="68">
        <v>45288.625</v>
      </c>
      <c r="F79" s="69">
        <v>8000000.0</v>
      </c>
      <c r="G79" s="69">
        <v>8000000.0</v>
      </c>
      <c r="H79" s="69">
        <v>8000000.0</v>
      </c>
      <c r="I79" s="69">
        <v>8000000.0</v>
      </c>
      <c r="J79" s="70">
        <f t="shared" si="3"/>
        <v>1</v>
      </c>
    </row>
    <row r="80" ht="22.5" customHeight="1" outlineLevel="1">
      <c r="A80" s="63" t="s">
        <v>205</v>
      </c>
      <c r="F80" s="64">
        <f t="shared" ref="F80:I80" si="4">sum(F81:F112)</f>
        <v>117400000</v>
      </c>
      <c r="G80" s="64">
        <f t="shared" si="4"/>
        <v>117400000</v>
      </c>
      <c r="H80" s="64">
        <f t="shared" si="4"/>
        <v>64570000</v>
      </c>
      <c r="I80" s="64">
        <f t="shared" si="4"/>
        <v>117400000</v>
      </c>
      <c r="J80" s="65"/>
    </row>
    <row r="81" ht="22.5" customHeight="1" outlineLevel="2">
      <c r="A81" s="66" t="s">
        <v>206</v>
      </c>
      <c r="B81" s="67" t="s">
        <v>207</v>
      </c>
      <c r="C81" s="67" t="s">
        <v>208</v>
      </c>
      <c r="D81" s="68">
        <v>44943.0</v>
      </c>
      <c r="E81" s="68">
        <v>44960.0</v>
      </c>
      <c r="F81" s="69">
        <v>1.44E7</v>
      </c>
      <c r="G81" s="69">
        <v>1.44E7</v>
      </c>
      <c r="H81" s="69">
        <v>7920000.000000001</v>
      </c>
      <c r="I81" s="69">
        <v>1.44E7</v>
      </c>
      <c r="J81" s="70">
        <f t="shared" ref="J81:J112" si="5">H81/G81</f>
        <v>0.55</v>
      </c>
    </row>
    <row r="82" ht="22.5" customHeight="1" outlineLevel="2">
      <c r="A82" s="66" t="s">
        <v>209</v>
      </c>
      <c r="B82" s="67" t="s">
        <v>210</v>
      </c>
      <c r="C82" s="67" t="s">
        <v>211</v>
      </c>
      <c r="D82" s="68">
        <v>44960.0</v>
      </c>
      <c r="E82" s="68">
        <v>44960.0</v>
      </c>
      <c r="F82" s="69">
        <v>2000000.0</v>
      </c>
      <c r="G82" s="69">
        <v>2000000.0</v>
      </c>
      <c r="H82" s="69">
        <v>1100000.0</v>
      </c>
      <c r="I82" s="69">
        <v>2000000.0</v>
      </c>
      <c r="J82" s="70">
        <f t="shared" si="5"/>
        <v>0.55</v>
      </c>
    </row>
    <row r="83" ht="22.5" customHeight="1" outlineLevel="2">
      <c r="A83" s="66" t="s">
        <v>212</v>
      </c>
      <c r="B83" s="67" t="s">
        <v>210</v>
      </c>
      <c r="C83" s="67" t="s">
        <v>213</v>
      </c>
      <c r="D83" s="68">
        <v>44987.0</v>
      </c>
      <c r="E83" s="68">
        <v>44987.0</v>
      </c>
      <c r="F83" s="69">
        <v>2000000.0</v>
      </c>
      <c r="G83" s="69">
        <v>2000000.0</v>
      </c>
      <c r="H83" s="69">
        <v>1100000.0</v>
      </c>
      <c r="I83" s="69">
        <v>2000000.0</v>
      </c>
      <c r="J83" s="70">
        <f t="shared" si="5"/>
        <v>0.55</v>
      </c>
    </row>
    <row r="84" ht="22.5" customHeight="1" outlineLevel="2">
      <c r="A84" s="66" t="s">
        <v>214</v>
      </c>
      <c r="B84" s="67" t="s">
        <v>210</v>
      </c>
      <c r="C84" s="67" t="s">
        <v>215</v>
      </c>
      <c r="D84" s="68">
        <v>44988.0</v>
      </c>
      <c r="E84" s="68">
        <v>44988.0</v>
      </c>
      <c r="F84" s="69">
        <v>2000000.0</v>
      </c>
      <c r="G84" s="69">
        <v>2000000.0</v>
      </c>
      <c r="H84" s="69">
        <v>1100000.0</v>
      </c>
      <c r="I84" s="69">
        <v>2000000.0</v>
      </c>
      <c r="J84" s="70">
        <f t="shared" si="5"/>
        <v>0.55</v>
      </c>
    </row>
    <row r="85" ht="22.5" customHeight="1" outlineLevel="2">
      <c r="A85" s="66" t="s">
        <v>216</v>
      </c>
      <c r="B85" s="67" t="s">
        <v>217</v>
      </c>
      <c r="C85" s="67" t="s">
        <v>218</v>
      </c>
      <c r="D85" s="68">
        <v>44988.0</v>
      </c>
      <c r="E85" s="68">
        <v>44988.0</v>
      </c>
      <c r="F85" s="69">
        <v>3600000.0</v>
      </c>
      <c r="G85" s="69">
        <v>3600000.0</v>
      </c>
      <c r="H85" s="69">
        <v>1980000.0000000002</v>
      </c>
      <c r="I85" s="69">
        <v>3600000.0</v>
      </c>
      <c r="J85" s="70">
        <f t="shared" si="5"/>
        <v>0.55</v>
      </c>
    </row>
    <row r="86" ht="22.5" customHeight="1" outlineLevel="2">
      <c r="A86" s="66" t="s">
        <v>219</v>
      </c>
      <c r="B86" s="67" t="s">
        <v>220</v>
      </c>
      <c r="C86" s="67" t="s">
        <v>221</v>
      </c>
      <c r="D86" s="68">
        <v>45007.0</v>
      </c>
      <c r="E86" s="68">
        <v>45007.0</v>
      </c>
      <c r="F86" s="69">
        <v>1500000.0</v>
      </c>
      <c r="G86" s="69">
        <v>1500000.0</v>
      </c>
      <c r="H86" s="69">
        <v>825000.0000000001</v>
      </c>
      <c r="I86" s="69">
        <v>1500000.0</v>
      </c>
      <c r="J86" s="70">
        <f t="shared" si="5"/>
        <v>0.55</v>
      </c>
    </row>
    <row r="87" ht="22.5" customHeight="1" outlineLevel="2">
      <c r="A87" s="66" t="s">
        <v>222</v>
      </c>
      <c r="B87" s="67" t="s">
        <v>223</v>
      </c>
      <c r="C87" s="67" t="s">
        <v>224</v>
      </c>
      <c r="D87" s="68">
        <v>45008.0</v>
      </c>
      <c r="E87" s="68">
        <v>45008.0</v>
      </c>
      <c r="F87" s="69">
        <v>1350000.0</v>
      </c>
      <c r="G87" s="69">
        <v>1350000.0</v>
      </c>
      <c r="H87" s="69">
        <v>742500.0000000001</v>
      </c>
      <c r="I87" s="69">
        <v>1350000.0</v>
      </c>
      <c r="J87" s="70">
        <f t="shared" si="5"/>
        <v>0.55</v>
      </c>
    </row>
    <row r="88" ht="22.5" customHeight="1" outlineLevel="2">
      <c r="A88" s="66" t="s">
        <v>225</v>
      </c>
      <c r="B88" s="67" t="s">
        <v>226</v>
      </c>
      <c r="C88" s="67" t="s">
        <v>227</v>
      </c>
      <c r="D88" s="68">
        <v>45021.0</v>
      </c>
      <c r="E88" s="68">
        <v>45022.0</v>
      </c>
      <c r="F88" s="69">
        <v>750000.0</v>
      </c>
      <c r="G88" s="69">
        <v>750000.0</v>
      </c>
      <c r="H88" s="69">
        <v>412500.00000000006</v>
      </c>
      <c r="I88" s="69">
        <v>750000.0</v>
      </c>
      <c r="J88" s="70">
        <f t="shared" si="5"/>
        <v>0.55</v>
      </c>
    </row>
    <row r="89" ht="22.5" customHeight="1" outlineLevel="2">
      <c r="A89" s="66" t="s">
        <v>228</v>
      </c>
      <c r="B89" s="67" t="s">
        <v>229</v>
      </c>
      <c r="C89" s="67" t="s">
        <v>230</v>
      </c>
      <c r="D89" s="68">
        <v>45041.0</v>
      </c>
      <c r="E89" s="68">
        <v>45041.0</v>
      </c>
      <c r="F89" s="69">
        <v>8000000.0</v>
      </c>
      <c r="G89" s="69">
        <v>8000000.0</v>
      </c>
      <c r="H89" s="69">
        <v>4400000.0</v>
      </c>
      <c r="I89" s="69">
        <v>8000000.0</v>
      </c>
      <c r="J89" s="70">
        <f t="shared" si="5"/>
        <v>0.55</v>
      </c>
    </row>
    <row r="90" ht="22.5" customHeight="1" outlineLevel="2">
      <c r="A90" s="66" t="s">
        <v>231</v>
      </c>
      <c r="B90" s="67" t="s">
        <v>232</v>
      </c>
      <c r="C90" s="67" t="s">
        <v>233</v>
      </c>
      <c r="D90" s="68">
        <v>45058.0</v>
      </c>
      <c r="E90" s="68">
        <v>45058.0</v>
      </c>
      <c r="F90" s="69">
        <v>1000000.0</v>
      </c>
      <c r="G90" s="69">
        <v>1000000.0</v>
      </c>
      <c r="H90" s="69">
        <v>550000.0</v>
      </c>
      <c r="I90" s="69">
        <v>1000000.0</v>
      </c>
      <c r="J90" s="70">
        <f t="shared" si="5"/>
        <v>0.55</v>
      </c>
    </row>
    <row r="91" ht="22.5" customHeight="1" outlineLevel="2">
      <c r="A91" s="66" t="s">
        <v>234</v>
      </c>
      <c r="B91" s="67" t="s">
        <v>223</v>
      </c>
      <c r="C91" s="67" t="s">
        <v>235</v>
      </c>
      <c r="D91" s="68">
        <v>45062.0</v>
      </c>
      <c r="E91" s="68">
        <v>45063.0</v>
      </c>
      <c r="F91" s="69">
        <v>1500000.0</v>
      </c>
      <c r="G91" s="69">
        <v>1500000.0</v>
      </c>
      <c r="H91" s="69">
        <v>825000.0000000001</v>
      </c>
      <c r="I91" s="69">
        <v>1500000.0</v>
      </c>
      <c r="J91" s="70">
        <f t="shared" si="5"/>
        <v>0.55</v>
      </c>
    </row>
    <row r="92" ht="22.5" customHeight="1" outlineLevel="2">
      <c r="A92" s="66" t="s">
        <v>236</v>
      </c>
      <c r="B92" s="67" t="s">
        <v>237</v>
      </c>
      <c r="C92" s="67" t="s">
        <v>238</v>
      </c>
      <c r="D92" s="68">
        <v>45071.0</v>
      </c>
      <c r="E92" s="68">
        <v>45071.0</v>
      </c>
      <c r="F92" s="69">
        <v>1500000.0</v>
      </c>
      <c r="G92" s="69">
        <v>1500000.0</v>
      </c>
      <c r="H92" s="69">
        <v>825000.0000000001</v>
      </c>
      <c r="I92" s="69">
        <v>1500000.0</v>
      </c>
      <c r="J92" s="70">
        <f t="shared" si="5"/>
        <v>0.55</v>
      </c>
    </row>
    <row r="93" ht="22.5" customHeight="1" outlineLevel="2">
      <c r="A93" s="66" t="s">
        <v>239</v>
      </c>
      <c r="B93" s="67" t="s">
        <v>232</v>
      </c>
      <c r="C93" s="67" t="s">
        <v>240</v>
      </c>
      <c r="D93" s="68">
        <v>45071.0</v>
      </c>
      <c r="E93" s="68">
        <v>45071.0</v>
      </c>
      <c r="F93" s="69">
        <v>1000000.0</v>
      </c>
      <c r="G93" s="69">
        <v>1000000.0</v>
      </c>
      <c r="H93" s="69">
        <v>550000.0</v>
      </c>
      <c r="I93" s="69">
        <v>1000000.0</v>
      </c>
      <c r="J93" s="70">
        <f t="shared" si="5"/>
        <v>0.55</v>
      </c>
    </row>
    <row r="94" ht="22.5" customHeight="1" outlineLevel="2">
      <c r="A94" s="66" t="s">
        <v>241</v>
      </c>
      <c r="B94" s="67" t="s">
        <v>237</v>
      </c>
      <c r="C94" s="67" t="s">
        <v>242</v>
      </c>
      <c r="D94" s="68">
        <v>45070.0</v>
      </c>
      <c r="E94" s="68">
        <v>45077.0</v>
      </c>
      <c r="F94" s="69">
        <v>1800000.0</v>
      </c>
      <c r="G94" s="69">
        <v>1800000.0</v>
      </c>
      <c r="H94" s="69">
        <v>990000.0000000001</v>
      </c>
      <c r="I94" s="69">
        <v>1800000.0</v>
      </c>
      <c r="J94" s="70">
        <f t="shared" si="5"/>
        <v>0.55</v>
      </c>
    </row>
    <row r="95" ht="22.5" customHeight="1" outlineLevel="2">
      <c r="A95" s="66" t="s">
        <v>243</v>
      </c>
      <c r="B95" s="67" t="s">
        <v>217</v>
      </c>
      <c r="C95" s="67" t="s">
        <v>244</v>
      </c>
      <c r="D95" s="68">
        <v>45117.0</v>
      </c>
      <c r="E95" s="68">
        <v>45117.0</v>
      </c>
      <c r="F95" s="69">
        <v>8000000.0</v>
      </c>
      <c r="G95" s="69">
        <v>8000000.0</v>
      </c>
      <c r="H95" s="69">
        <v>4400000.0</v>
      </c>
      <c r="I95" s="69">
        <v>8000000.0</v>
      </c>
      <c r="J95" s="70">
        <f t="shared" si="5"/>
        <v>0.55</v>
      </c>
    </row>
    <row r="96" ht="22.5" customHeight="1" outlineLevel="2">
      <c r="A96" s="66" t="s">
        <v>245</v>
      </c>
      <c r="B96" s="67" t="s">
        <v>232</v>
      </c>
      <c r="C96" s="67" t="s">
        <v>246</v>
      </c>
      <c r="D96" s="68">
        <v>45114.0</v>
      </c>
      <c r="E96" s="68">
        <v>45114.0</v>
      </c>
      <c r="F96" s="69">
        <v>1000000.0</v>
      </c>
      <c r="G96" s="69">
        <v>1000000.0</v>
      </c>
      <c r="H96" s="69">
        <v>550000.0</v>
      </c>
      <c r="I96" s="69">
        <v>1000000.0</v>
      </c>
      <c r="J96" s="70">
        <f t="shared" si="5"/>
        <v>0.55</v>
      </c>
    </row>
    <row r="97" ht="22.5" customHeight="1" outlineLevel="2">
      <c r="A97" s="66" t="s">
        <v>247</v>
      </c>
      <c r="B97" s="67" t="s">
        <v>248</v>
      </c>
      <c r="C97" s="67" t="s">
        <v>249</v>
      </c>
      <c r="D97" s="68">
        <v>45117.0</v>
      </c>
      <c r="E97" s="68">
        <v>45117.0</v>
      </c>
      <c r="F97" s="69">
        <v>1500000.0</v>
      </c>
      <c r="G97" s="69">
        <v>1500000.0</v>
      </c>
      <c r="H97" s="69">
        <v>825000.0000000001</v>
      </c>
      <c r="I97" s="69">
        <v>1500000.0</v>
      </c>
      <c r="J97" s="70">
        <f t="shared" si="5"/>
        <v>0.55</v>
      </c>
    </row>
    <row r="98" ht="22.5" customHeight="1" outlineLevel="2">
      <c r="A98" s="66" t="s">
        <v>250</v>
      </c>
      <c r="B98" s="67" t="s">
        <v>248</v>
      </c>
      <c r="C98" s="67" t="s">
        <v>251</v>
      </c>
      <c r="D98" s="68">
        <v>45120.0</v>
      </c>
      <c r="E98" s="68">
        <v>45120.0</v>
      </c>
      <c r="F98" s="69">
        <v>3150000.0</v>
      </c>
      <c r="G98" s="69">
        <v>3150000.0</v>
      </c>
      <c r="H98" s="69">
        <v>1732500.0000000002</v>
      </c>
      <c r="I98" s="69">
        <v>3150000.0</v>
      </c>
      <c r="J98" s="70">
        <f t="shared" si="5"/>
        <v>0.55</v>
      </c>
    </row>
    <row r="99" ht="22.5" customHeight="1" outlineLevel="2">
      <c r="A99" s="66" t="s">
        <v>252</v>
      </c>
      <c r="B99" s="67" t="s">
        <v>253</v>
      </c>
      <c r="C99" s="67" t="s">
        <v>254</v>
      </c>
      <c r="D99" s="68">
        <v>45124.0</v>
      </c>
      <c r="E99" s="68">
        <v>45124.0</v>
      </c>
      <c r="F99" s="69">
        <v>8000000.0</v>
      </c>
      <c r="G99" s="69">
        <v>8000000.0</v>
      </c>
      <c r="H99" s="69">
        <v>4400000.0</v>
      </c>
      <c r="I99" s="69">
        <v>8000000.0</v>
      </c>
      <c r="J99" s="70">
        <f t="shared" si="5"/>
        <v>0.55</v>
      </c>
    </row>
    <row r="100" ht="22.5" customHeight="1" outlineLevel="2">
      <c r="A100" s="66" t="s">
        <v>255</v>
      </c>
      <c r="B100" s="67" t="s">
        <v>248</v>
      </c>
      <c r="C100" s="67" t="s">
        <v>256</v>
      </c>
      <c r="D100" s="68">
        <v>45134.0</v>
      </c>
      <c r="E100" s="68">
        <v>45134.0</v>
      </c>
      <c r="F100" s="69">
        <v>1500000.0</v>
      </c>
      <c r="G100" s="69">
        <v>1500000.0</v>
      </c>
      <c r="H100" s="69">
        <v>825000.0000000001</v>
      </c>
      <c r="I100" s="69">
        <v>1500000.0</v>
      </c>
      <c r="J100" s="70">
        <f t="shared" si="5"/>
        <v>0.55</v>
      </c>
    </row>
    <row r="101" ht="22.5" customHeight="1" outlineLevel="2">
      <c r="A101" s="66" t="s">
        <v>257</v>
      </c>
      <c r="B101" s="67" t="s">
        <v>258</v>
      </c>
      <c r="C101" s="67" t="s">
        <v>259</v>
      </c>
      <c r="D101" s="68">
        <v>45147.0</v>
      </c>
      <c r="E101" s="68">
        <v>45147.0</v>
      </c>
      <c r="F101" s="69">
        <v>8000000.0</v>
      </c>
      <c r="G101" s="69">
        <v>8000000.0</v>
      </c>
      <c r="H101" s="69">
        <v>4400000.0</v>
      </c>
      <c r="I101" s="69">
        <v>8000000.0</v>
      </c>
      <c r="J101" s="70">
        <f t="shared" si="5"/>
        <v>0.55</v>
      </c>
    </row>
    <row r="102" ht="22.5" customHeight="1" outlineLevel="2">
      <c r="A102" s="66" t="s">
        <v>260</v>
      </c>
      <c r="B102" s="67" t="s">
        <v>261</v>
      </c>
      <c r="C102" s="67" t="s">
        <v>262</v>
      </c>
      <c r="D102" s="68">
        <v>45154.0</v>
      </c>
      <c r="E102" s="68">
        <v>45155.0</v>
      </c>
      <c r="F102" s="69">
        <v>1350000.0</v>
      </c>
      <c r="G102" s="69">
        <v>1350000.0</v>
      </c>
      <c r="H102" s="69">
        <v>742500.0000000001</v>
      </c>
      <c r="I102" s="69">
        <v>1350000.0</v>
      </c>
      <c r="J102" s="70">
        <f t="shared" si="5"/>
        <v>0.55</v>
      </c>
    </row>
    <row r="103" ht="22.5" customHeight="1" outlineLevel="2">
      <c r="A103" s="66" t="s">
        <v>263</v>
      </c>
      <c r="B103" s="67" t="s">
        <v>261</v>
      </c>
      <c r="C103" s="67" t="s">
        <v>264</v>
      </c>
      <c r="D103" s="68">
        <v>45159.0</v>
      </c>
      <c r="E103" s="68">
        <v>45159.0</v>
      </c>
      <c r="F103" s="69">
        <v>3400000.0</v>
      </c>
      <c r="G103" s="69">
        <v>3400000.0</v>
      </c>
      <c r="H103" s="69">
        <v>1870000.0000000002</v>
      </c>
      <c r="I103" s="69">
        <v>3400000.0</v>
      </c>
      <c r="J103" s="70">
        <f t="shared" si="5"/>
        <v>0.55</v>
      </c>
    </row>
    <row r="104" ht="22.5" customHeight="1" outlineLevel="2">
      <c r="A104" s="66" t="s">
        <v>265</v>
      </c>
      <c r="B104" s="67" t="s">
        <v>266</v>
      </c>
      <c r="C104" s="67" t="s">
        <v>267</v>
      </c>
      <c r="D104" s="68">
        <v>45191.0</v>
      </c>
      <c r="E104" s="68">
        <v>45191.0</v>
      </c>
      <c r="F104" s="69">
        <v>1.0E7</v>
      </c>
      <c r="G104" s="69">
        <v>1.0E7</v>
      </c>
      <c r="H104" s="69">
        <v>5500000.0</v>
      </c>
      <c r="I104" s="69">
        <v>1.0E7</v>
      </c>
      <c r="J104" s="70">
        <f t="shared" si="5"/>
        <v>0.55</v>
      </c>
    </row>
    <row r="105" ht="22.5" customHeight="1" outlineLevel="2">
      <c r="A105" s="66" t="s">
        <v>268</v>
      </c>
      <c r="B105" s="67" t="s">
        <v>258</v>
      </c>
      <c r="C105" s="67" t="s">
        <v>269</v>
      </c>
      <c r="D105" s="68">
        <v>45198.0</v>
      </c>
      <c r="E105" s="68">
        <v>45198.0</v>
      </c>
      <c r="F105" s="69">
        <v>1500000.0</v>
      </c>
      <c r="G105" s="69">
        <v>1500000.0</v>
      </c>
      <c r="H105" s="69">
        <v>825000.0000000001</v>
      </c>
      <c r="I105" s="69">
        <v>1500000.0</v>
      </c>
      <c r="J105" s="70">
        <f t="shared" si="5"/>
        <v>0.55</v>
      </c>
    </row>
    <row r="106" ht="22.5" customHeight="1" outlineLevel="2">
      <c r="A106" s="66" t="s">
        <v>270</v>
      </c>
      <c r="B106" s="67" t="s">
        <v>261</v>
      </c>
      <c r="C106" s="67" t="s">
        <v>271</v>
      </c>
      <c r="D106" s="68">
        <v>45243.0</v>
      </c>
      <c r="E106" s="68">
        <v>45243.0</v>
      </c>
      <c r="F106" s="69">
        <v>1500000.0</v>
      </c>
      <c r="G106" s="69">
        <v>1500000.0</v>
      </c>
      <c r="H106" s="69">
        <v>825000.0000000001</v>
      </c>
      <c r="I106" s="69">
        <v>1500000.0</v>
      </c>
      <c r="J106" s="70">
        <f t="shared" si="5"/>
        <v>0.55</v>
      </c>
    </row>
    <row r="107" ht="22.5" customHeight="1" outlineLevel="2">
      <c r="A107" s="66" t="s">
        <v>272</v>
      </c>
      <c r="B107" s="67" t="s">
        <v>273</v>
      </c>
      <c r="C107" s="67" t="s">
        <v>274</v>
      </c>
      <c r="D107" s="68">
        <v>45247.0</v>
      </c>
      <c r="E107" s="68">
        <v>45250.0</v>
      </c>
      <c r="F107" s="69">
        <v>3200000.0</v>
      </c>
      <c r="G107" s="69">
        <v>3200000.0</v>
      </c>
      <c r="H107" s="69">
        <v>1760000.0000000002</v>
      </c>
      <c r="I107" s="69">
        <v>3200000.0</v>
      </c>
      <c r="J107" s="70">
        <f t="shared" si="5"/>
        <v>0.55</v>
      </c>
    </row>
    <row r="108" ht="22.5" customHeight="1" outlineLevel="2">
      <c r="A108" s="66" t="s">
        <v>275</v>
      </c>
      <c r="B108" s="67" t="s">
        <v>276</v>
      </c>
      <c r="C108" s="67" t="s">
        <v>277</v>
      </c>
      <c r="D108" s="68">
        <v>45232.0</v>
      </c>
      <c r="E108" s="68">
        <v>45243.0</v>
      </c>
      <c r="F108" s="69">
        <v>9000000.0</v>
      </c>
      <c r="G108" s="69">
        <v>9000000.0</v>
      </c>
      <c r="H108" s="69">
        <v>4950000.0</v>
      </c>
      <c r="I108" s="69">
        <v>9000000.0</v>
      </c>
      <c r="J108" s="70">
        <f t="shared" si="5"/>
        <v>0.55</v>
      </c>
    </row>
    <row r="109" ht="22.5" customHeight="1" outlineLevel="2">
      <c r="A109" s="66" t="s">
        <v>278</v>
      </c>
      <c r="B109" s="67" t="s">
        <v>258</v>
      </c>
      <c r="C109" s="67" t="s">
        <v>279</v>
      </c>
      <c r="D109" s="68">
        <v>45252.0</v>
      </c>
      <c r="E109" s="68">
        <v>45257.0</v>
      </c>
      <c r="F109" s="69">
        <v>1500000.0</v>
      </c>
      <c r="G109" s="69">
        <v>1500000.0</v>
      </c>
      <c r="H109" s="69">
        <v>825000.0000000001</v>
      </c>
      <c r="I109" s="69">
        <v>1500000.0</v>
      </c>
      <c r="J109" s="70">
        <f t="shared" si="5"/>
        <v>0.55</v>
      </c>
    </row>
    <row r="110" ht="22.5" customHeight="1" outlineLevel="2">
      <c r="A110" s="66" t="s">
        <v>280</v>
      </c>
      <c r="B110" s="67" t="s">
        <v>281</v>
      </c>
      <c r="C110" s="67" t="s">
        <v>282</v>
      </c>
      <c r="D110" s="68">
        <v>45264.0</v>
      </c>
      <c r="E110" s="68">
        <v>45264.0</v>
      </c>
      <c r="F110" s="69">
        <v>3200000.0</v>
      </c>
      <c r="G110" s="69">
        <v>3200000.0</v>
      </c>
      <c r="H110" s="69">
        <v>1760000.0000000002</v>
      </c>
      <c r="I110" s="69">
        <v>3200000.0</v>
      </c>
      <c r="J110" s="70">
        <f t="shared" si="5"/>
        <v>0.55</v>
      </c>
    </row>
    <row r="111" ht="22.5" customHeight="1" outlineLevel="2">
      <c r="A111" s="66" t="s">
        <v>283</v>
      </c>
      <c r="B111" s="67" t="s">
        <v>51</v>
      </c>
      <c r="C111" s="67" t="s">
        <v>218</v>
      </c>
      <c r="D111" s="68">
        <v>45274.0</v>
      </c>
      <c r="E111" s="68">
        <v>45274.0</v>
      </c>
      <c r="F111" s="69">
        <v>6000000.0</v>
      </c>
      <c r="G111" s="69">
        <v>6000000.0</v>
      </c>
      <c r="H111" s="69">
        <v>3300000.0000000005</v>
      </c>
      <c r="I111" s="69">
        <v>6000000.0</v>
      </c>
      <c r="J111" s="70">
        <f t="shared" si="5"/>
        <v>0.55</v>
      </c>
    </row>
    <row r="112" ht="22.5" customHeight="1" outlineLevel="2">
      <c r="A112" s="66" t="s">
        <v>284</v>
      </c>
      <c r="B112" s="67" t="s">
        <v>281</v>
      </c>
      <c r="C112" s="67" t="s">
        <v>285</v>
      </c>
      <c r="D112" s="68">
        <v>45289.0</v>
      </c>
      <c r="E112" s="68">
        <v>45289.0</v>
      </c>
      <c r="F112" s="69">
        <v>3200000.0</v>
      </c>
      <c r="G112" s="69">
        <v>3200000.0</v>
      </c>
      <c r="H112" s="69">
        <v>1760000.0000000002</v>
      </c>
      <c r="I112" s="69">
        <v>3200000.0</v>
      </c>
      <c r="J112" s="70">
        <f t="shared" si="5"/>
        <v>0.55</v>
      </c>
    </row>
    <row r="113" ht="22.5" customHeight="1" outlineLevel="1">
      <c r="A113" s="63" t="s">
        <v>286</v>
      </c>
      <c r="F113" s="64">
        <f t="shared" ref="F113:I113" si="6">sum(F114:F355)</f>
        <v>67948270030</v>
      </c>
      <c r="G113" s="64">
        <f t="shared" si="6"/>
        <v>49560756841</v>
      </c>
      <c r="H113" s="64">
        <f t="shared" si="6"/>
        <v>10132864856</v>
      </c>
      <c r="I113" s="64">
        <f t="shared" si="6"/>
        <v>44764594648</v>
      </c>
      <c r="J113" s="65"/>
    </row>
    <row r="114" ht="22.5" customHeight="1" outlineLevel="2">
      <c r="A114" s="66" t="s">
        <v>287</v>
      </c>
      <c r="B114" s="67" t="s">
        <v>288</v>
      </c>
      <c r="C114" s="67" t="s">
        <v>289</v>
      </c>
      <c r="D114" s="68">
        <v>44957.0</v>
      </c>
      <c r="E114" s="68">
        <v>44959.0</v>
      </c>
      <c r="F114" s="69">
        <v>4.73E9</v>
      </c>
      <c r="G114" s="69">
        <v>2.15E9</v>
      </c>
      <c r="H114" s="69">
        <v>5.513075E8</v>
      </c>
      <c r="I114" s="69">
        <v>9.46E8</v>
      </c>
      <c r="J114" s="70">
        <f t="shared" ref="J114:J355" si="7">H114/G114</f>
        <v>0.256422093</v>
      </c>
    </row>
    <row r="115" ht="22.5" customHeight="1" outlineLevel="2">
      <c r="A115" s="66" t="s">
        <v>290</v>
      </c>
      <c r="B115" s="67" t="s">
        <v>288</v>
      </c>
      <c r="C115" s="67" t="s">
        <v>291</v>
      </c>
      <c r="D115" s="68">
        <v>44957.0</v>
      </c>
      <c r="E115" s="68">
        <v>44959.0</v>
      </c>
      <c r="F115" s="69">
        <v>4.18E9</v>
      </c>
      <c r="G115" s="69">
        <v>3.04E9</v>
      </c>
      <c r="H115" s="69">
        <v>6.596368E8</v>
      </c>
      <c r="I115" s="69">
        <v>2.0672E9</v>
      </c>
      <c r="J115" s="70">
        <f t="shared" si="7"/>
        <v>0.2169857895</v>
      </c>
    </row>
    <row r="116" ht="22.5" customHeight="1" outlineLevel="2">
      <c r="A116" s="66" t="s">
        <v>292</v>
      </c>
      <c r="B116" s="67" t="s">
        <v>293</v>
      </c>
      <c r="C116" s="67" t="s">
        <v>294</v>
      </c>
      <c r="D116" s="68">
        <v>44935.0</v>
      </c>
      <c r="E116" s="68">
        <v>44942.0</v>
      </c>
      <c r="F116" s="69">
        <v>8.82E7</v>
      </c>
      <c r="G116" s="69">
        <v>8.82E7</v>
      </c>
      <c r="H116" s="69">
        <v>2.902669625E7</v>
      </c>
      <c r="I116" s="69">
        <v>8.82E7</v>
      </c>
      <c r="J116" s="70">
        <f t="shared" si="7"/>
        <v>0.3291008645</v>
      </c>
    </row>
    <row r="117" ht="22.5" customHeight="1" outlineLevel="2">
      <c r="A117" s="66" t="s">
        <v>295</v>
      </c>
      <c r="B117" s="67" t="s">
        <v>293</v>
      </c>
      <c r="C117" s="67" t="s">
        <v>296</v>
      </c>
      <c r="D117" s="68">
        <v>44915.0</v>
      </c>
      <c r="E117" s="68">
        <v>44937.0</v>
      </c>
      <c r="F117" s="69">
        <v>1.58825E8</v>
      </c>
      <c r="G117" s="69">
        <v>1.58825E8</v>
      </c>
      <c r="H117" s="69">
        <v>5.083778481924999E7</v>
      </c>
      <c r="I117" s="69">
        <v>1.58825E8</v>
      </c>
      <c r="J117" s="70">
        <f t="shared" si="7"/>
        <v>0.3200867925</v>
      </c>
    </row>
    <row r="118" ht="22.5" customHeight="1" outlineLevel="2">
      <c r="A118" s="66" t="s">
        <v>53</v>
      </c>
      <c r="B118" s="67" t="s">
        <v>297</v>
      </c>
      <c r="C118" s="67" t="s">
        <v>298</v>
      </c>
      <c r="D118" s="68">
        <v>44938.0</v>
      </c>
      <c r="E118" s="68">
        <v>44939.0</v>
      </c>
      <c r="F118" s="69">
        <v>9450000.0</v>
      </c>
      <c r="G118" s="69">
        <v>9450000.0</v>
      </c>
      <c r="H118" s="69">
        <v>3426817.444444444</v>
      </c>
      <c r="I118" s="69">
        <v>9450000.0</v>
      </c>
      <c r="J118" s="70">
        <f t="shared" si="7"/>
        <v>0.3626261846</v>
      </c>
    </row>
    <row r="119" ht="22.5" customHeight="1" outlineLevel="2">
      <c r="A119" s="66" t="s">
        <v>58</v>
      </c>
      <c r="B119" s="67" t="s">
        <v>299</v>
      </c>
      <c r="C119" s="67" t="s">
        <v>300</v>
      </c>
      <c r="D119" s="68">
        <v>44953.0</v>
      </c>
      <c r="E119" s="68">
        <v>44959.0</v>
      </c>
      <c r="F119" s="69">
        <v>4.776E7</v>
      </c>
      <c r="G119" s="69">
        <v>4.776E7</v>
      </c>
      <c r="H119" s="69">
        <v>1.795034893E7</v>
      </c>
      <c r="I119" s="69">
        <v>4.776E7</v>
      </c>
      <c r="J119" s="70">
        <f t="shared" si="7"/>
        <v>0.3758448268</v>
      </c>
    </row>
    <row r="120" ht="22.5" customHeight="1" outlineLevel="2">
      <c r="A120" s="66" t="s">
        <v>60</v>
      </c>
      <c r="B120" s="67" t="s">
        <v>297</v>
      </c>
      <c r="C120" s="67" t="s">
        <v>301</v>
      </c>
      <c r="D120" s="68">
        <v>44957.0</v>
      </c>
      <c r="E120" s="68">
        <v>44957.0</v>
      </c>
      <c r="F120" s="69">
        <v>1.6995E7</v>
      </c>
      <c r="G120" s="69">
        <v>1.6995E7</v>
      </c>
      <c r="H120" s="69">
        <v>2001219.4833333343</v>
      </c>
      <c r="I120" s="69">
        <v>1.6995E7</v>
      </c>
      <c r="J120" s="70">
        <f t="shared" si="7"/>
        <v>0.1177534265</v>
      </c>
    </row>
    <row r="121" ht="22.5" customHeight="1" outlineLevel="2">
      <c r="A121" s="66" t="s">
        <v>302</v>
      </c>
      <c r="B121" s="67" t="s">
        <v>303</v>
      </c>
      <c r="C121" s="67" t="s">
        <v>304</v>
      </c>
      <c r="D121" s="68">
        <v>44957.0</v>
      </c>
      <c r="E121" s="68">
        <v>44984.0</v>
      </c>
      <c r="F121" s="69">
        <v>4.784E7</v>
      </c>
      <c r="G121" s="69">
        <v>4.784E7</v>
      </c>
      <c r="H121" s="69">
        <v>9499808.0</v>
      </c>
      <c r="I121" s="69">
        <v>4.784E7</v>
      </c>
      <c r="J121" s="70">
        <f t="shared" si="7"/>
        <v>0.1985745819</v>
      </c>
    </row>
    <row r="122" ht="22.5" customHeight="1" outlineLevel="2">
      <c r="A122" s="66" t="s">
        <v>305</v>
      </c>
      <c r="B122" s="67" t="s">
        <v>306</v>
      </c>
      <c r="C122" s="67" t="s">
        <v>307</v>
      </c>
      <c r="D122" s="68">
        <v>44957.0</v>
      </c>
      <c r="E122" s="68">
        <v>44963.0</v>
      </c>
      <c r="F122" s="69">
        <v>4.06453E8</v>
      </c>
      <c r="G122" s="69">
        <v>4.06453E8</v>
      </c>
      <c r="H122" s="69">
        <v>1.1880885175E8</v>
      </c>
      <c r="I122" s="69">
        <v>4.06453E8</v>
      </c>
      <c r="J122" s="70">
        <f t="shared" si="7"/>
        <v>0.2923064948</v>
      </c>
    </row>
    <row r="123" ht="22.5" customHeight="1" outlineLevel="2">
      <c r="A123" s="66" t="s">
        <v>308</v>
      </c>
      <c r="B123" s="67" t="s">
        <v>309</v>
      </c>
      <c r="C123" s="67" t="s">
        <v>310</v>
      </c>
      <c r="D123" s="68">
        <v>44963.0</v>
      </c>
      <c r="E123" s="68">
        <v>44965.0</v>
      </c>
      <c r="F123" s="69">
        <v>4.08E7</v>
      </c>
      <c r="G123" s="69">
        <v>4.08E7</v>
      </c>
      <c r="H123" s="69">
        <v>2.5446684E7</v>
      </c>
      <c r="I123" s="69">
        <v>4.08E7</v>
      </c>
      <c r="J123" s="70">
        <f t="shared" si="7"/>
        <v>0.6236932353</v>
      </c>
    </row>
    <row r="124" ht="22.5" customHeight="1" outlineLevel="2">
      <c r="A124" s="66" t="s">
        <v>311</v>
      </c>
      <c r="B124" s="67" t="s">
        <v>312</v>
      </c>
      <c r="C124" s="67" t="s">
        <v>313</v>
      </c>
      <c r="D124" s="68">
        <v>44963.0</v>
      </c>
      <c r="E124" s="68">
        <v>44978.0</v>
      </c>
      <c r="F124" s="69">
        <v>3.85E7</v>
      </c>
      <c r="G124" s="69">
        <v>3.85E7</v>
      </c>
      <c r="H124" s="69">
        <v>9976000.0</v>
      </c>
      <c r="I124" s="69">
        <v>3.85E7</v>
      </c>
      <c r="J124" s="70">
        <f t="shared" si="7"/>
        <v>0.2591168831</v>
      </c>
    </row>
    <row r="125" ht="22.5" customHeight="1" outlineLevel="2">
      <c r="A125" s="66" t="s">
        <v>314</v>
      </c>
      <c r="B125" s="67" t="s">
        <v>293</v>
      </c>
      <c r="C125" s="67" t="s">
        <v>315</v>
      </c>
      <c r="D125" s="68">
        <v>44966.0</v>
      </c>
      <c r="E125" s="68">
        <v>44986.0</v>
      </c>
      <c r="F125" s="69">
        <v>5.08158E8</v>
      </c>
      <c r="G125" s="69">
        <v>5.08158E8</v>
      </c>
      <c r="H125" s="69">
        <v>1.396035248E8</v>
      </c>
      <c r="I125" s="69">
        <v>5.08158E8</v>
      </c>
      <c r="J125" s="70">
        <f t="shared" si="7"/>
        <v>0.2747246423</v>
      </c>
    </row>
    <row r="126" ht="22.5" customHeight="1" outlineLevel="2">
      <c r="A126" s="66" t="s">
        <v>65</v>
      </c>
      <c r="B126" s="67" t="s">
        <v>316</v>
      </c>
      <c r="C126" s="67" t="s">
        <v>317</v>
      </c>
      <c r="D126" s="68">
        <v>44964.0</v>
      </c>
      <c r="E126" s="68">
        <v>44971.0</v>
      </c>
      <c r="F126" s="69">
        <v>7250000.0</v>
      </c>
      <c r="G126" s="69">
        <v>7250000.0</v>
      </c>
      <c r="H126" s="69">
        <v>828000.0</v>
      </c>
      <c r="I126" s="69">
        <v>7250000.0</v>
      </c>
      <c r="J126" s="70">
        <f t="shared" si="7"/>
        <v>0.1142068966</v>
      </c>
    </row>
    <row r="127" ht="22.5" customHeight="1" outlineLevel="2">
      <c r="A127" s="66" t="s">
        <v>318</v>
      </c>
      <c r="B127" s="67" t="s">
        <v>319</v>
      </c>
      <c r="C127" s="67" t="s">
        <v>315</v>
      </c>
      <c r="D127" s="68">
        <v>44967.0</v>
      </c>
      <c r="E127" s="68">
        <v>44986.0</v>
      </c>
      <c r="F127" s="69">
        <v>7.5726E7</v>
      </c>
      <c r="G127" s="69">
        <v>7.5726E7</v>
      </c>
      <c r="H127" s="69">
        <v>3.183077375E7</v>
      </c>
      <c r="I127" s="69">
        <v>7.5726E7</v>
      </c>
      <c r="J127" s="70">
        <f t="shared" si="7"/>
        <v>0.4203414118</v>
      </c>
    </row>
    <row r="128" ht="22.5" customHeight="1" outlineLevel="2">
      <c r="A128" s="66" t="s">
        <v>320</v>
      </c>
      <c r="B128" s="67" t="s">
        <v>293</v>
      </c>
      <c r="C128" s="67" t="s">
        <v>321</v>
      </c>
      <c r="D128" s="68">
        <v>44970.0</v>
      </c>
      <c r="E128" s="68">
        <v>44974.0</v>
      </c>
      <c r="F128" s="69">
        <v>2.85E8</v>
      </c>
      <c r="G128" s="69">
        <v>2.85E8</v>
      </c>
      <c r="H128" s="69">
        <v>9.155177288749999E7</v>
      </c>
      <c r="I128" s="69">
        <v>2.85E8</v>
      </c>
      <c r="J128" s="70">
        <f t="shared" si="7"/>
        <v>0.3212342908</v>
      </c>
    </row>
    <row r="129" ht="22.5" customHeight="1" outlineLevel="2">
      <c r="A129" s="66" t="s">
        <v>322</v>
      </c>
      <c r="B129" s="67" t="s">
        <v>323</v>
      </c>
      <c r="C129" s="67" t="s">
        <v>324</v>
      </c>
      <c r="D129" s="68">
        <v>44971.0</v>
      </c>
      <c r="E129" s="68">
        <v>45008.0</v>
      </c>
      <c r="F129" s="69">
        <v>3.6E7</v>
      </c>
      <c r="G129" s="69">
        <v>3.6E7</v>
      </c>
      <c r="H129" s="69">
        <v>3978000.0</v>
      </c>
      <c r="I129" s="69">
        <v>3.6E7</v>
      </c>
      <c r="J129" s="70">
        <f t="shared" si="7"/>
        <v>0.1105</v>
      </c>
    </row>
    <row r="130" ht="22.5" customHeight="1" outlineLevel="2">
      <c r="A130" s="66" t="s">
        <v>325</v>
      </c>
      <c r="B130" s="67" t="s">
        <v>297</v>
      </c>
      <c r="C130" s="67" t="s">
        <v>326</v>
      </c>
      <c r="D130" s="68">
        <v>44973.0</v>
      </c>
      <c r="E130" s="68">
        <v>44974.0</v>
      </c>
      <c r="F130" s="69">
        <v>1.286E7</v>
      </c>
      <c r="G130" s="69">
        <v>1.286E7</v>
      </c>
      <c r="H130" s="69">
        <v>2014880.0</v>
      </c>
      <c r="I130" s="69">
        <v>1.286E7</v>
      </c>
      <c r="J130" s="70">
        <f t="shared" si="7"/>
        <v>0.1566780715</v>
      </c>
    </row>
    <row r="131" ht="22.5" customHeight="1" outlineLevel="2">
      <c r="A131" s="66" t="s">
        <v>327</v>
      </c>
      <c r="B131" s="67" t="s">
        <v>297</v>
      </c>
      <c r="C131" s="67" t="s">
        <v>328</v>
      </c>
      <c r="D131" s="68">
        <v>44973.0</v>
      </c>
      <c r="E131" s="68">
        <v>44974.0</v>
      </c>
      <c r="F131" s="69">
        <v>7310000.0</v>
      </c>
      <c r="G131" s="69">
        <v>7310000.0</v>
      </c>
      <c r="H131" s="69">
        <v>2564204.0</v>
      </c>
      <c r="I131" s="69">
        <v>7310000.0</v>
      </c>
      <c r="J131" s="70">
        <f t="shared" si="7"/>
        <v>0.350780301</v>
      </c>
    </row>
    <row r="132" ht="22.5" customHeight="1" outlineLevel="2">
      <c r="A132" s="66" t="s">
        <v>329</v>
      </c>
      <c r="B132" s="67" t="s">
        <v>330</v>
      </c>
      <c r="C132" s="67" t="s">
        <v>331</v>
      </c>
      <c r="D132" s="68">
        <v>44977.0</v>
      </c>
      <c r="E132" s="68">
        <v>44999.0</v>
      </c>
      <c r="F132" s="69">
        <v>4.13E8</v>
      </c>
      <c r="G132" s="69">
        <v>4.13E8</v>
      </c>
      <c r="H132" s="69">
        <v>1.7729972173799998E8</v>
      </c>
      <c r="I132" s="69">
        <v>4.13E8</v>
      </c>
      <c r="J132" s="70">
        <f t="shared" si="7"/>
        <v>0.4292971471</v>
      </c>
    </row>
    <row r="133" ht="22.5" customHeight="1" outlineLevel="2">
      <c r="A133" s="66" t="s">
        <v>332</v>
      </c>
      <c r="B133" s="67" t="s">
        <v>293</v>
      </c>
      <c r="C133" s="67" t="s">
        <v>333</v>
      </c>
      <c r="D133" s="68">
        <v>44972.0</v>
      </c>
      <c r="E133" s="68">
        <v>45016.0</v>
      </c>
      <c r="F133" s="69">
        <v>9.086E7</v>
      </c>
      <c r="G133" s="69">
        <v>9.086E7</v>
      </c>
      <c r="H133" s="69">
        <v>3.9954922125E7</v>
      </c>
      <c r="I133" s="69">
        <v>9.086E7</v>
      </c>
      <c r="J133" s="70">
        <f t="shared" si="7"/>
        <v>0.4397416038</v>
      </c>
    </row>
    <row r="134" ht="22.5" customHeight="1" outlineLevel="2">
      <c r="A134" s="66" t="s">
        <v>79</v>
      </c>
      <c r="B134" s="67" t="s">
        <v>297</v>
      </c>
      <c r="C134" s="67" t="s">
        <v>334</v>
      </c>
      <c r="D134" s="68">
        <v>44973.0</v>
      </c>
      <c r="E134" s="68">
        <v>44977.0</v>
      </c>
      <c r="F134" s="69">
        <v>1.544E7</v>
      </c>
      <c r="G134" s="69">
        <v>1.544E7</v>
      </c>
      <c r="H134" s="69">
        <v>3413866.666666666</v>
      </c>
      <c r="I134" s="69">
        <v>1.544E7</v>
      </c>
      <c r="J134" s="70">
        <f t="shared" si="7"/>
        <v>0.2211053541</v>
      </c>
    </row>
    <row r="135" ht="22.5" customHeight="1" outlineLevel="2">
      <c r="A135" s="66" t="s">
        <v>335</v>
      </c>
      <c r="B135" s="67" t="s">
        <v>297</v>
      </c>
      <c r="C135" s="67" t="s">
        <v>336</v>
      </c>
      <c r="D135" s="68">
        <v>44978.0</v>
      </c>
      <c r="E135" s="68">
        <v>44979.0</v>
      </c>
      <c r="F135" s="69">
        <v>9500000.0</v>
      </c>
      <c r="G135" s="69">
        <v>9500000.0</v>
      </c>
      <c r="H135" s="69">
        <v>3428264.0</v>
      </c>
      <c r="I135" s="69">
        <v>9500000.0</v>
      </c>
      <c r="J135" s="70">
        <f t="shared" si="7"/>
        <v>0.3608698947</v>
      </c>
    </row>
    <row r="136" ht="22.5" customHeight="1" outlineLevel="2">
      <c r="A136" s="66" t="s">
        <v>337</v>
      </c>
      <c r="B136" s="67" t="s">
        <v>338</v>
      </c>
      <c r="C136" s="67" t="s">
        <v>339</v>
      </c>
      <c r="D136" s="68">
        <v>44981.0</v>
      </c>
      <c r="E136" s="68">
        <v>44998.0</v>
      </c>
      <c r="F136" s="69">
        <v>7.68E7</v>
      </c>
      <c r="G136" s="69">
        <v>7.68E7</v>
      </c>
      <c r="H136" s="69">
        <v>7268763.0</v>
      </c>
      <c r="I136" s="69">
        <v>7.68E7</v>
      </c>
      <c r="J136" s="70">
        <f t="shared" si="7"/>
        <v>0.09464535156</v>
      </c>
    </row>
    <row r="137" ht="22.5" customHeight="1" outlineLevel="2">
      <c r="A137" s="66" t="s">
        <v>88</v>
      </c>
      <c r="B137" s="67" t="s">
        <v>309</v>
      </c>
      <c r="C137" s="67" t="s">
        <v>340</v>
      </c>
      <c r="D137" s="68">
        <v>44982.0</v>
      </c>
      <c r="E137" s="68">
        <v>44984.0</v>
      </c>
      <c r="F137" s="69">
        <v>1.27E7</v>
      </c>
      <c r="G137" s="69">
        <v>1.27E7</v>
      </c>
      <c r="H137" s="69">
        <v>6628264.0</v>
      </c>
      <c r="I137" s="69">
        <v>1.27E7</v>
      </c>
      <c r="J137" s="70">
        <f t="shared" si="7"/>
        <v>0.5219105512</v>
      </c>
    </row>
    <row r="138" ht="22.5" customHeight="1" outlineLevel="2">
      <c r="A138" s="66" t="s">
        <v>90</v>
      </c>
      <c r="B138" s="67" t="s">
        <v>297</v>
      </c>
      <c r="C138" s="67" t="s">
        <v>341</v>
      </c>
      <c r="D138" s="68">
        <v>44984.0</v>
      </c>
      <c r="E138" s="68">
        <v>44984.0</v>
      </c>
      <c r="F138" s="69">
        <v>7344000.0</v>
      </c>
      <c r="G138" s="69">
        <v>7344000.0</v>
      </c>
      <c r="H138" s="69">
        <v>2598204.0</v>
      </c>
      <c r="I138" s="69">
        <v>7344000.0</v>
      </c>
      <c r="J138" s="70">
        <f t="shared" si="7"/>
        <v>0.3537859477</v>
      </c>
    </row>
    <row r="139" ht="22.5" customHeight="1" outlineLevel="2">
      <c r="A139" s="66" t="s">
        <v>342</v>
      </c>
      <c r="B139" s="67" t="s">
        <v>343</v>
      </c>
      <c r="C139" s="67" t="s">
        <v>344</v>
      </c>
      <c r="D139" s="68">
        <v>44984.0</v>
      </c>
      <c r="E139" s="68">
        <v>44994.0</v>
      </c>
      <c r="F139" s="69">
        <v>1.2719E8</v>
      </c>
      <c r="G139" s="69">
        <v>1.2719E8</v>
      </c>
      <c r="H139" s="69">
        <v>1.5102324E7</v>
      </c>
      <c r="I139" s="69">
        <v>1.2719E8</v>
      </c>
      <c r="J139" s="70">
        <f t="shared" si="7"/>
        <v>0.118738297</v>
      </c>
    </row>
    <row r="140" ht="22.5" customHeight="1" outlineLevel="2">
      <c r="A140" s="66" t="s">
        <v>92</v>
      </c>
      <c r="B140" s="67" t="s">
        <v>338</v>
      </c>
      <c r="C140" s="67" t="s">
        <v>345</v>
      </c>
      <c r="D140" s="68">
        <v>44984.0</v>
      </c>
      <c r="E140" s="68">
        <v>44987.0</v>
      </c>
      <c r="F140" s="69">
        <v>1.164E8</v>
      </c>
      <c r="G140" s="69">
        <v>1.164E8</v>
      </c>
      <c r="H140" s="69">
        <v>7542662.0</v>
      </c>
      <c r="I140" s="69">
        <v>1.164E8</v>
      </c>
      <c r="J140" s="70">
        <f t="shared" si="7"/>
        <v>0.06479950172</v>
      </c>
    </row>
    <row r="141" ht="22.5" customHeight="1" outlineLevel="2">
      <c r="A141" s="66" t="s">
        <v>346</v>
      </c>
      <c r="B141" s="67" t="s">
        <v>293</v>
      </c>
      <c r="C141" s="67" t="s">
        <v>347</v>
      </c>
      <c r="D141" s="68">
        <v>44986.0</v>
      </c>
      <c r="E141" s="68">
        <v>45009.0</v>
      </c>
      <c r="F141" s="69">
        <v>9240000.0</v>
      </c>
      <c r="G141" s="69">
        <v>9240000.0</v>
      </c>
      <c r="H141" s="69">
        <v>2610594.7625</v>
      </c>
      <c r="I141" s="69">
        <v>9240000.0</v>
      </c>
      <c r="J141" s="70">
        <f t="shared" si="7"/>
        <v>0.2825319007</v>
      </c>
    </row>
    <row r="142" ht="22.5" customHeight="1" outlineLevel="2">
      <c r="A142" s="66" t="s">
        <v>348</v>
      </c>
      <c r="B142" s="67" t="s">
        <v>349</v>
      </c>
      <c r="C142" s="67" t="s">
        <v>350</v>
      </c>
      <c r="D142" s="68">
        <v>44986.0</v>
      </c>
      <c r="E142" s="68">
        <v>45075.0</v>
      </c>
      <c r="F142" s="69">
        <v>9.98E8</v>
      </c>
      <c r="G142" s="69">
        <v>9.98E8</v>
      </c>
      <c r="H142" s="69">
        <v>2.0518601E8</v>
      </c>
      <c r="I142" s="69">
        <v>9.98E8</v>
      </c>
      <c r="J142" s="70">
        <f t="shared" si="7"/>
        <v>0.2055972044</v>
      </c>
    </row>
    <row r="143" ht="22.5" customHeight="1" outlineLevel="2">
      <c r="A143" s="66" t="s">
        <v>351</v>
      </c>
      <c r="B143" s="67" t="s">
        <v>352</v>
      </c>
      <c r="C143" s="67" t="s">
        <v>353</v>
      </c>
      <c r="D143" s="68">
        <v>44992.0</v>
      </c>
      <c r="E143" s="68">
        <v>45012.0</v>
      </c>
      <c r="F143" s="69">
        <v>8.34E7</v>
      </c>
      <c r="G143" s="69">
        <v>8.34E7</v>
      </c>
      <c r="H143" s="69">
        <v>4.56485348E7</v>
      </c>
      <c r="I143" s="69">
        <v>8.34E7</v>
      </c>
      <c r="J143" s="70">
        <f t="shared" si="7"/>
        <v>0.547344542</v>
      </c>
    </row>
    <row r="144" ht="22.5" customHeight="1" outlineLevel="2">
      <c r="A144" s="66" t="s">
        <v>354</v>
      </c>
      <c r="B144" s="67" t="s">
        <v>355</v>
      </c>
      <c r="C144" s="67" t="s">
        <v>356</v>
      </c>
      <c r="D144" s="68">
        <v>44958.0</v>
      </c>
      <c r="E144" s="68">
        <v>45006.0</v>
      </c>
      <c r="F144" s="69">
        <v>2.73516E8</v>
      </c>
      <c r="G144" s="69">
        <v>2.73516E8</v>
      </c>
      <c r="H144" s="69">
        <v>1.822928822222221E7</v>
      </c>
      <c r="I144" s="69">
        <v>2.73516E8</v>
      </c>
      <c r="J144" s="70">
        <f t="shared" si="7"/>
        <v>0.06664797753</v>
      </c>
    </row>
    <row r="145" ht="22.5" customHeight="1" outlineLevel="2">
      <c r="A145" s="66" t="s">
        <v>357</v>
      </c>
      <c r="B145" s="67" t="s">
        <v>358</v>
      </c>
      <c r="C145" s="67" t="s">
        <v>350</v>
      </c>
      <c r="D145" s="68">
        <v>44995.0</v>
      </c>
      <c r="E145" s="68">
        <v>45008.0</v>
      </c>
      <c r="F145" s="69">
        <v>1.47872E8</v>
      </c>
      <c r="G145" s="69">
        <v>1.47872E8</v>
      </c>
      <c r="H145" s="69">
        <v>1.4592685E7</v>
      </c>
      <c r="I145" s="69">
        <v>1.47872E8</v>
      </c>
      <c r="J145" s="70">
        <f t="shared" si="7"/>
        <v>0.09868457179</v>
      </c>
    </row>
    <row r="146" ht="22.5" customHeight="1" outlineLevel="2">
      <c r="A146" s="66" t="s">
        <v>359</v>
      </c>
      <c r="B146" s="67" t="s">
        <v>293</v>
      </c>
      <c r="C146" s="67" t="s">
        <v>360</v>
      </c>
      <c r="D146" s="68">
        <v>44995.0</v>
      </c>
      <c r="E146" s="68">
        <v>44998.0</v>
      </c>
      <c r="F146" s="69">
        <v>2.4E8</v>
      </c>
      <c r="G146" s="69">
        <v>2.4E8</v>
      </c>
      <c r="H146" s="69">
        <v>7.4405901E7</v>
      </c>
      <c r="I146" s="69">
        <v>2.4E8</v>
      </c>
      <c r="J146" s="70">
        <f t="shared" si="7"/>
        <v>0.3100245875</v>
      </c>
    </row>
    <row r="147" ht="22.5" customHeight="1" outlineLevel="2">
      <c r="A147" s="66" t="s">
        <v>116</v>
      </c>
      <c r="B147" s="67" t="s">
        <v>299</v>
      </c>
      <c r="C147" s="67" t="s">
        <v>361</v>
      </c>
      <c r="D147" s="68">
        <v>44994.0</v>
      </c>
      <c r="E147" s="68">
        <v>45012.0</v>
      </c>
      <c r="F147" s="69">
        <v>3.0E7</v>
      </c>
      <c r="G147" s="69">
        <v>3.0E7</v>
      </c>
      <c r="H147" s="69">
        <v>1.3977209136E7</v>
      </c>
      <c r="I147" s="69">
        <v>3.0E7</v>
      </c>
      <c r="J147" s="70">
        <f t="shared" si="7"/>
        <v>0.4659069712</v>
      </c>
    </row>
    <row r="148" ht="22.5" customHeight="1" outlineLevel="2">
      <c r="A148" s="66" t="s">
        <v>362</v>
      </c>
      <c r="B148" s="67" t="s">
        <v>352</v>
      </c>
      <c r="C148" s="67" t="s">
        <v>310</v>
      </c>
      <c r="D148" s="68">
        <v>44998.0</v>
      </c>
      <c r="E148" s="68">
        <v>45000.0</v>
      </c>
      <c r="F148" s="69">
        <v>5.44E7</v>
      </c>
      <c r="G148" s="69">
        <v>5.44E7</v>
      </c>
      <c r="H148" s="69">
        <v>3.4162596E7</v>
      </c>
      <c r="I148" s="69">
        <v>5.44E7</v>
      </c>
      <c r="J148" s="70">
        <f t="shared" si="7"/>
        <v>0.6279888971</v>
      </c>
    </row>
    <row r="149" ht="22.5" customHeight="1" outlineLevel="2">
      <c r="A149" s="66" t="s">
        <v>120</v>
      </c>
      <c r="B149" s="67" t="s">
        <v>338</v>
      </c>
      <c r="C149" s="67" t="s">
        <v>363</v>
      </c>
      <c r="D149" s="68">
        <v>44991.0</v>
      </c>
      <c r="E149" s="68">
        <v>45016.0</v>
      </c>
      <c r="F149" s="69">
        <v>7.668E7</v>
      </c>
      <c r="G149" s="69">
        <v>7.668E7</v>
      </c>
      <c r="H149" s="69">
        <v>7231276.219999999</v>
      </c>
      <c r="I149" s="69">
        <v>7.668E7</v>
      </c>
      <c r="J149" s="70">
        <f t="shared" si="7"/>
        <v>0.09430459338</v>
      </c>
    </row>
    <row r="150" ht="22.5" customHeight="1" outlineLevel="2">
      <c r="A150" s="66" t="s">
        <v>364</v>
      </c>
      <c r="B150" s="67" t="s">
        <v>358</v>
      </c>
      <c r="C150" s="67" t="s">
        <v>365</v>
      </c>
      <c r="D150" s="68">
        <v>44999.0</v>
      </c>
      <c r="E150" s="68">
        <v>45005.0</v>
      </c>
      <c r="F150" s="69">
        <v>3.921E7</v>
      </c>
      <c r="G150" s="69">
        <v>3.921E7</v>
      </c>
      <c r="H150" s="69">
        <v>1488000.0</v>
      </c>
      <c r="I150" s="69">
        <v>3.921E7</v>
      </c>
      <c r="J150" s="70">
        <f t="shared" si="7"/>
        <v>0.03794950268</v>
      </c>
    </row>
    <row r="151" ht="22.5" customHeight="1" outlineLevel="2">
      <c r="A151" s="66" t="s">
        <v>366</v>
      </c>
      <c r="B151" s="67" t="s">
        <v>293</v>
      </c>
      <c r="C151" s="67" t="s">
        <v>367</v>
      </c>
      <c r="D151" s="68">
        <v>44994.0</v>
      </c>
      <c r="E151" s="68">
        <v>45019.0</v>
      </c>
      <c r="F151" s="69">
        <v>2.585E8</v>
      </c>
      <c r="G151" s="69">
        <v>2.585E8</v>
      </c>
      <c r="H151" s="69">
        <v>5.931164169999999E7</v>
      </c>
      <c r="I151" s="69">
        <v>2.585E8</v>
      </c>
      <c r="J151" s="70">
        <f t="shared" si="7"/>
        <v>0.2294454224</v>
      </c>
    </row>
    <row r="152" ht="22.5" customHeight="1" outlineLevel="2">
      <c r="A152" s="66" t="s">
        <v>123</v>
      </c>
      <c r="B152" s="67" t="s">
        <v>352</v>
      </c>
      <c r="C152" s="67" t="s">
        <v>368</v>
      </c>
      <c r="D152" s="68">
        <v>44995.0</v>
      </c>
      <c r="E152" s="68">
        <v>45001.0</v>
      </c>
      <c r="F152" s="69">
        <v>1.272E7</v>
      </c>
      <c r="G152" s="69">
        <v>1.272E7</v>
      </c>
      <c r="H152" s="69">
        <v>6694262.0</v>
      </c>
      <c r="I152" s="69">
        <v>1.272E7</v>
      </c>
      <c r="J152" s="70">
        <f t="shared" si="7"/>
        <v>0.5262784591</v>
      </c>
    </row>
    <row r="153" ht="22.5" customHeight="1" outlineLevel="2">
      <c r="A153" s="66" t="s">
        <v>369</v>
      </c>
      <c r="B153" s="67" t="s">
        <v>370</v>
      </c>
      <c r="C153" s="67" t="s">
        <v>371</v>
      </c>
      <c r="D153" s="68">
        <v>45000.0</v>
      </c>
      <c r="E153" s="68">
        <v>45013.0</v>
      </c>
      <c r="F153" s="69">
        <v>9.5225E7</v>
      </c>
      <c r="G153" s="69">
        <v>9.5225E7</v>
      </c>
      <c r="H153" s="69">
        <v>1.80038865E7</v>
      </c>
      <c r="I153" s="69">
        <v>9.5225E7</v>
      </c>
      <c r="J153" s="70">
        <f t="shared" si="7"/>
        <v>0.1890668049</v>
      </c>
    </row>
    <row r="154" ht="22.5" customHeight="1" outlineLevel="2">
      <c r="A154" s="66" t="s">
        <v>125</v>
      </c>
      <c r="B154" s="67" t="s">
        <v>293</v>
      </c>
      <c r="C154" s="67" t="s">
        <v>345</v>
      </c>
      <c r="D154" s="68">
        <v>45000.0</v>
      </c>
      <c r="E154" s="68">
        <v>45005.0</v>
      </c>
      <c r="F154" s="69">
        <v>1.724E8</v>
      </c>
      <c r="G154" s="69">
        <v>1.724E8</v>
      </c>
      <c r="H154" s="69">
        <v>6.2673377599999994E7</v>
      </c>
      <c r="I154" s="69">
        <v>1.724E8</v>
      </c>
      <c r="J154" s="70">
        <f t="shared" si="7"/>
        <v>0.3635346729</v>
      </c>
    </row>
    <row r="155" ht="22.5" customHeight="1" outlineLevel="2">
      <c r="A155" s="66" t="s">
        <v>372</v>
      </c>
      <c r="B155" s="67" t="s">
        <v>373</v>
      </c>
      <c r="C155" s="67" t="s">
        <v>339</v>
      </c>
      <c r="D155" s="68">
        <v>45005.0</v>
      </c>
      <c r="E155" s="68">
        <v>45019.0</v>
      </c>
      <c r="F155" s="69">
        <v>1.162E8</v>
      </c>
      <c r="G155" s="69">
        <v>1.162E8</v>
      </c>
      <c r="H155" s="69">
        <v>2.4378811E7</v>
      </c>
      <c r="I155" s="69">
        <v>1.162E8</v>
      </c>
      <c r="J155" s="70">
        <f t="shared" si="7"/>
        <v>0.2098004389</v>
      </c>
    </row>
    <row r="156" ht="22.5" customHeight="1" outlineLevel="2">
      <c r="A156" s="66" t="s">
        <v>374</v>
      </c>
      <c r="B156" s="67" t="s">
        <v>352</v>
      </c>
      <c r="C156" s="67" t="s">
        <v>375</v>
      </c>
      <c r="D156" s="68">
        <v>45007.0</v>
      </c>
      <c r="E156" s="68">
        <v>45012.0</v>
      </c>
      <c r="F156" s="69">
        <v>4.76E8</v>
      </c>
      <c r="G156" s="69">
        <v>4.76E8</v>
      </c>
      <c r="H156" s="69">
        <v>2.0495992625E8</v>
      </c>
      <c r="I156" s="69">
        <v>4.76E8</v>
      </c>
      <c r="J156" s="70">
        <f t="shared" si="7"/>
        <v>0.4305880804</v>
      </c>
    </row>
    <row r="157" ht="22.5" customHeight="1" outlineLevel="2">
      <c r="A157" s="66" t="s">
        <v>129</v>
      </c>
      <c r="B157" s="67" t="s">
        <v>338</v>
      </c>
      <c r="C157" s="67" t="s">
        <v>363</v>
      </c>
      <c r="D157" s="68">
        <v>45006.0</v>
      </c>
      <c r="E157" s="68">
        <v>45016.0</v>
      </c>
      <c r="F157" s="69">
        <v>8904000.0</v>
      </c>
      <c r="G157" s="69">
        <v>8904000.0</v>
      </c>
      <c r="H157" s="69">
        <v>994626.8850000007</v>
      </c>
      <c r="I157" s="69">
        <v>8904000.0</v>
      </c>
      <c r="J157" s="70">
        <f t="shared" si="7"/>
        <v>0.111705625</v>
      </c>
    </row>
    <row r="158" ht="22.5" customHeight="1" outlineLevel="2">
      <c r="A158" s="66" t="s">
        <v>131</v>
      </c>
      <c r="B158" s="67" t="s">
        <v>293</v>
      </c>
      <c r="C158" s="67" t="s">
        <v>363</v>
      </c>
      <c r="D158" s="68">
        <v>45006.0</v>
      </c>
      <c r="E158" s="68">
        <v>45016.0</v>
      </c>
      <c r="F158" s="69">
        <v>1.0189E8</v>
      </c>
      <c r="G158" s="69">
        <v>1.0189E8</v>
      </c>
      <c r="H158" s="69">
        <v>2.572449375E7</v>
      </c>
      <c r="I158" s="69">
        <v>1.0189E8</v>
      </c>
      <c r="J158" s="70">
        <f t="shared" si="7"/>
        <v>0.2524731941</v>
      </c>
    </row>
    <row r="159" ht="22.5" customHeight="1" outlineLevel="2">
      <c r="A159" s="66" t="s">
        <v>376</v>
      </c>
      <c r="B159" s="67" t="s">
        <v>352</v>
      </c>
      <c r="C159" s="67" t="s">
        <v>377</v>
      </c>
      <c r="D159" s="68">
        <v>45009.0</v>
      </c>
      <c r="E159" s="68">
        <v>45009.0</v>
      </c>
      <c r="F159" s="69">
        <v>1.19E7</v>
      </c>
      <c r="G159" s="69">
        <v>1.19E7</v>
      </c>
      <c r="H159" s="69">
        <v>7190157.0</v>
      </c>
      <c r="I159" s="69">
        <v>1.19E7</v>
      </c>
      <c r="J159" s="70">
        <f t="shared" si="7"/>
        <v>0.6042148739</v>
      </c>
    </row>
    <row r="160" ht="22.5" customHeight="1" outlineLevel="2">
      <c r="A160" s="66" t="s">
        <v>378</v>
      </c>
      <c r="B160" s="67" t="s">
        <v>358</v>
      </c>
      <c r="C160" s="67" t="s">
        <v>379</v>
      </c>
      <c r="D160" s="68">
        <v>45009.0</v>
      </c>
      <c r="E160" s="68">
        <v>45014.0</v>
      </c>
      <c r="F160" s="69">
        <v>1.1528E8</v>
      </c>
      <c r="G160" s="69">
        <v>1.1528E8</v>
      </c>
      <c r="H160" s="69">
        <v>7934390.0</v>
      </c>
      <c r="I160" s="69">
        <v>1.1528E8</v>
      </c>
      <c r="J160" s="70">
        <f t="shared" si="7"/>
        <v>0.06882711659</v>
      </c>
    </row>
    <row r="161" ht="22.5" customHeight="1" outlineLevel="2">
      <c r="A161" s="66" t="s">
        <v>380</v>
      </c>
      <c r="B161" s="67" t="s">
        <v>303</v>
      </c>
      <c r="C161" s="67" t="s">
        <v>381</v>
      </c>
      <c r="D161" s="68">
        <v>45012.0</v>
      </c>
      <c r="E161" s="68">
        <v>45034.0</v>
      </c>
      <c r="F161" s="69">
        <v>2.28E7</v>
      </c>
      <c r="G161" s="69">
        <v>2.28E7</v>
      </c>
      <c r="H161" s="69">
        <v>1943232.0</v>
      </c>
      <c r="I161" s="69">
        <v>2.28E7</v>
      </c>
      <c r="J161" s="70">
        <f t="shared" si="7"/>
        <v>0.08522947368</v>
      </c>
    </row>
    <row r="162" ht="22.5" customHeight="1" outlineLevel="2">
      <c r="A162" s="66" t="s">
        <v>137</v>
      </c>
      <c r="B162" s="67" t="s">
        <v>297</v>
      </c>
      <c r="C162" s="67" t="s">
        <v>382</v>
      </c>
      <c r="D162" s="68">
        <v>45014.0</v>
      </c>
      <c r="E162" s="68">
        <v>45014.0</v>
      </c>
      <c r="F162" s="69">
        <v>7280000.0</v>
      </c>
      <c r="G162" s="69">
        <v>7280000.0</v>
      </c>
      <c r="H162" s="69">
        <v>2570157.0</v>
      </c>
      <c r="I162" s="69">
        <v>7280000.0</v>
      </c>
      <c r="J162" s="70">
        <f t="shared" si="7"/>
        <v>0.353043544</v>
      </c>
    </row>
    <row r="163" ht="22.5" customHeight="1" outlineLevel="2">
      <c r="A163" s="66" t="s">
        <v>383</v>
      </c>
      <c r="B163" s="67" t="s">
        <v>293</v>
      </c>
      <c r="C163" s="67" t="s">
        <v>384</v>
      </c>
      <c r="D163" s="68">
        <v>45019.0</v>
      </c>
      <c r="E163" s="68">
        <v>45022.0</v>
      </c>
      <c r="F163" s="69">
        <v>7.0317E7</v>
      </c>
      <c r="G163" s="69">
        <v>7.0317E7</v>
      </c>
      <c r="H163" s="69">
        <v>2.84008842875E7</v>
      </c>
      <c r="I163" s="69">
        <v>7.0317E7</v>
      </c>
      <c r="J163" s="70">
        <f t="shared" si="7"/>
        <v>0.4038978382</v>
      </c>
    </row>
    <row r="164" ht="22.5" customHeight="1" outlineLevel="2">
      <c r="A164" s="66" t="s">
        <v>141</v>
      </c>
      <c r="B164" s="67" t="s">
        <v>309</v>
      </c>
      <c r="C164" s="67" t="s">
        <v>385</v>
      </c>
      <c r="D164" s="68">
        <v>45009.0</v>
      </c>
      <c r="E164" s="68">
        <v>45020.0</v>
      </c>
      <c r="F164" s="69">
        <v>2.2737E7</v>
      </c>
      <c r="G164" s="69">
        <v>2.2737E7</v>
      </c>
      <c r="H164" s="69">
        <v>9674615.277777778</v>
      </c>
      <c r="I164" s="69">
        <v>2.2737E7</v>
      </c>
      <c r="J164" s="70">
        <f t="shared" si="7"/>
        <v>0.4255009578</v>
      </c>
    </row>
    <row r="165" ht="22.5" customHeight="1" outlineLevel="2">
      <c r="A165" s="66" t="s">
        <v>143</v>
      </c>
      <c r="B165" s="67" t="s">
        <v>293</v>
      </c>
      <c r="C165" s="67" t="s">
        <v>386</v>
      </c>
      <c r="D165" s="68">
        <v>45019.0</v>
      </c>
      <c r="E165" s="68">
        <v>45020.0</v>
      </c>
      <c r="F165" s="69">
        <v>2.5E7</v>
      </c>
      <c r="G165" s="69">
        <v>2.5E7</v>
      </c>
      <c r="H165" s="69">
        <v>8157832.5</v>
      </c>
      <c r="I165" s="69">
        <v>2.5E7</v>
      </c>
      <c r="J165" s="70">
        <f t="shared" si="7"/>
        <v>0.3263133</v>
      </c>
    </row>
    <row r="166" ht="22.5" customHeight="1" outlineLevel="2">
      <c r="A166" s="66" t="s">
        <v>145</v>
      </c>
      <c r="B166" s="67" t="s">
        <v>297</v>
      </c>
      <c r="C166" s="67" t="s">
        <v>387</v>
      </c>
      <c r="D166" s="68">
        <v>45020.0</v>
      </c>
      <c r="E166" s="68">
        <v>45022.0</v>
      </c>
      <c r="F166" s="69">
        <v>3.284E7</v>
      </c>
      <c r="G166" s="69">
        <v>3.284E7</v>
      </c>
      <c r="H166" s="69">
        <v>1.3137313222222224E7</v>
      </c>
      <c r="I166" s="69">
        <v>3.284E7</v>
      </c>
      <c r="J166" s="70">
        <f t="shared" si="7"/>
        <v>0.4000399885</v>
      </c>
    </row>
    <row r="167" ht="22.5" customHeight="1" outlineLevel="2">
      <c r="A167" s="66" t="s">
        <v>388</v>
      </c>
      <c r="B167" s="67" t="s">
        <v>293</v>
      </c>
      <c r="C167" s="67" t="s">
        <v>339</v>
      </c>
      <c r="D167" s="68">
        <v>45030.0</v>
      </c>
      <c r="E167" s="68">
        <v>45064.0</v>
      </c>
      <c r="F167" s="69">
        <v>9.6723E7</v>
      </c>
      <c r="G167" s="69">
        <v>9.465E7</v>
      </c>
      <c r="H167" s="69">
        <v>5.182552405E7</v>
      </c>
      <c r="I167" s="69">
        <v>9.6723E7</v>
      </c>
      <c r="J167" s="70">
        <f t="shared" si="7"/>
        <v>0.5475491183</v>
      </c>
    </row>
    <row r="168" ht="22.5" customHeight="1" outlineLevel="2">
      <c r="A168" s="66" t="s">
        <v>147</v>
      </c>
      <c r="B168" s="67" t="s">
        <v>297</v>
      </c>
      <c r="C168" s="67" t="s">
        <v>389</v>
      </c>
      <c r="D168" s="68">
        <v>45021.0</v>
      </c>
      <c r="E168" s="68">
        <v>45022.0</v>
      </c>
      <c r="F168" s="69">
        <v>7250000.0</v>
      </c>
      <c r="G168" s="69">
        <v>7250000.0</v>
      </c>
      <c r="H168" s="69">
        <v>2542154.388888889</v>
      </c>
      <c r="I168" s="69">
        <v>7250000.0</v>
      </c>
      <c r="J168" s="70">
        <f t="shared" si="7"/>
        <v>0.3506419847</v>
      </c>
    </row>
    <row r="169" ht="22.5" customHeight="1" outlineLevel="2">
      <c r="A169" s="66" t="s">
        <v>151</v>
      </c>
      <c r="B169" s="67" t="s">
        <v>297</v>
      </c>
      <c r="C169" s="67" t="s">
        <v>390</v>
      </c>
      <c r="D169" s="68">
        <v>45021.0</v>
      </c>
      <c r="E169" s="68">
        <v>45022.0</v>
      </c>
      <c r="F169" s="69">
        <v>1.45E7</v>
      </c>
      <c r="G169" s="69">
        <v>1.45E7</v>
      </c>
      <c r="H169" s="69">
        <v>5320008.777777778</v>
      </c>
      <c r="I169" s="69">
        <v>1.45E7</v>
      </c>
      <c r="J169" s="70">
        <f t="shared" si="7"/>
        <v>0.3668971571</v>
      </c>
    </row>
    <row r="170" ht="22.5" customHeight="1" outlineLevel="2">
      <c r="A170" s="66" t="s">
        <v>391</v>
      </c>
      <c r="B170" s="67" t="s">
        <v>392</v>
      </c>
      <c r="C170" s="67" t="s">
        <v>393</v>
      </c>
      <c r="D170" s="68">
        <v>45021.0</v>
      </c>
      <c r="E170" s="68">
        <v>45050.0</v>
      </c>
      <c r="F170" s="69">
        <v>6.15E7</v>
      </c>
      <c r="G170" s="69">
        <v>6.15E7</v>
      </c>
      <c r="H170" s="69">
        <v>2.1189334888888888E7</v>
      </c>
      <c r="I170" s="69">
        <v>6.15E7</v>
      </c>
      <c r="J170" s="70">
        <f t="shared" si="7"/>
        <v>0.3445420307</v>
      </c>
    </row>
    <row r="171" ht="22.5" customHeight="1" outlineLevel="2">
      <c r="A171" s="66" t="s">
        <v>157</v>
      </c>
      <c r="B171" s="67" t="s">
        <v>297</v>
      </c>
      <c r="C171" s="67" t="s">
        <v>394</v>
      </c>
      <c r="D171" s="68">
        <v>45022.0</v>
      </c>
      <c r="E171" s="68">
        <v>45023.0</v>
      </c>
      <c r="F171" s="69">
        <v>9385000.0</v>
      </c>
      <c r="G171" s="69">
        <v>9385000.0</v>
      </c>
      <c r="H171" s="69">
        <v>3361817.444444444</v>
      </c>
      <c r="I171" s="69">
        <v>9385000.0</v>
      </c>
      <c r="J171" s="70">
        <f t="shared" si="7"/>
        <v>0.3582117682</v>
      </c>
    </row>
    <row r="172" ht="22.5" customHeight="1" outlineLevel="2">
      <c r="A172" s="66" t="s">
        <v>395</v>
      </c>
      <c r="B172" s="67" t="s">
        <v>293</v>
      </c>
      <c r="C172" s="67" t="s">
        <v>396</v>
      </c>
      <c r="D172" s="68">
        <v>45020.0</v>
      </c>
      <c r="E172" s="68">
        <v>45028.0</v>
      </c>
      <c r="F172" s="69">
        <v>1.152E8</v>
      </c>
      <c r="G172" s="69">
        <v>1.152E8</v>
      </c>
      <c r="H172" s="69">
        <v>2.978948E7</v>
      </c>
      <c r="I172" s="69">
        <v>1.152E8</v>
      </c>
      <c r="J172" s="70">
        <f t="shared" si="7"/>
        <v>0.2585892361</v>
      </c>
    </row>
    <row r="173" ht="22.5" customHeight="1" outlineLevel="2">
      <c r="A173" s="66" t="s">
        <v>397</v>
      </c>
      <c r="B173" s="67" t="s">
        <v>398</v>
      </c>
      <c r="C173" s="67" t="s">
        <v>399</v>
      </c>
      <c r="D173" s="68">
        <v>45028.0</v>
      </c>
      <c r="E173" s="68">
        <v>45050.0</v>
      </c>
      <c r="F173" s="69">
        <v>5500000.0</v>
      </c>
      <c r="G173" s="69">
        <v>5500000.0</v>
      </c>
      <c r="H173" s="69">
        <v>443039.7999999998</v>
      </c>
      <c r="I173" s="69">
        <v>5500000.0</v>
      </c>
      <c r="J173" s="70">
        <f t="shared" si="7"/>
        <v>0.08055269091</v>
      </c>
    </row>
    <row r="174" ht="22.5" customHeight="1" outlineLevel="2">
      <c r="A174" s="66" t="s">
        <v>400</v>
      </c>
      <c r="B174" s="67" t="s">
        <v>312</v>
      </c>
      <c r="C174" s="67" t="s">
        <v>401</v>
      </c>
      <c r="D174" s="68">
        <v>45033.0</v>
      </c>
      <c r="E174" s="68">
        <v>45050.0</v>
      </c>
      <c r="F174" s="69">
        <v>1.0935E8</v>
      </c>
      <c r="G174" s="69">
        <v>1.0935E8</v>
      </c>
      <c r="H174" s="69">
        <v>2.33606E7</v>
      </c>
      <c r="I174" s="69">
        <v>1.0935E8</v>
      </c>
      <c r="J174" s="70">
        <f t="shared" si="7"/>
        <v>0.2136314586</v>
      </c>
    </row>
    <row r="175" ht="22.5" customHeight="1" outlineLevel="2">
      <c r="A175" s="66" t="s">
        <v>402</v>
      </c>
      <c r="B175" s="67" t="s">
        <v>403</v>
      </c>
      <c r="C175" s="67" t="s">
        <v>404</v>
      </c>
      <c r="D175" s="68">
        <v>45036.0</v>
      </c>
      <c r="E175" s="68"/>
      <c r="F175" s="69">
        <v>1.6E8</v>
      </c>
      <c r="G175" s="69">
        <v>0.0</v>
      </c>
      <c r="H175" s="69">
        <v>4.4156E7</v>
      </c>
      <c r="I175" s="69">
        <v>8.0E7</v>
      </c>
      <c r="J175" s="70" t="str">
        <f t="shared" si="7"/>
        <v>#DIV/0!</v>
      </c>
    </row>
    <row r="176" ht="22.5" customHeight="1" outlineLevel="2">
      <c r="A176" s="66" t="s">
        <v>405</v>
      </c>
      <c r="B176" s="67" t="s">
        <v>303</v>
      </c>
      <c r="C176" s="67" t="s">
        <v>406</v>
      </c>
      <c r="D176" s="68">
        <v>45036.0</v>
      </c>
      <c r="E176" s="68">
        <v>45050.0</v>
      </c>
      <c r="F176" s="69">
        <v>2.88E7</v>
      </c>
      <c r="G176" s="69">
        <v>2.88E7</v>
      </c>
      <c r="H176" s="69">
        <v>1.0535304E7</v>
      </c>
      <c r="I176" s="69">
        <v>2.88E7</v>
      </c>
      <c r="J176" s="70">
        <f t="shared" si="7"/>
        <v>0.3658091667</v>
      </c>
    </row>
    <row r="177" ht="22.5" customHeight="1" outlineLevel="2">
      <c r="A177" s="66" t="s">
        <v>163</v>
      </c>
      <c r="B177" s="67" t="s">
        <v>293</v>
      </c>
      <c r="C177" s="67" t="s">
        <v>407</v>
      </c>
      <c r="D177" s="68">
        <v>45035.0</v>
      </c>
      <c r="E177" s="68">
        <v>45036.0</v>
      </c>
      <c r="F177" s="69">
        <v>2.009E8</v>
      </c>
      <c r="G177" s="69">
        <v>2.009E8</v>
      </c>
      <c r="H177" s="69">
        <v>5.1125861912499994E7</v>
      </c>
      <c r="I177" s="69">
        <v>2.009E8</v>
      </c>
      <c r="J177" s="70">
        <f t="shared" si="7"/>
        <v>0.254484131</v>
      </c>
    </row>
    <row r="178" ht="22.5" customHeight="1" outlineLevel="2">
      <c r="A178" s="66" t="s">
        <v>165</v>
      </c>
      <c r="B178" s="67" t="s">
        <v>408</v>
      </c>
      <c r="C178" s="67" t="s">
        <v>345</v>
      </c>
      <c r="D178" s="68">
        <v>45037.0</v>
      </c>
      <c r="E178" s="68">
        <v>45050.0</v>
      </c>
      <c r="F178" s="69">
        <v>7.57983E8</v>
      </c>
      <c r="G178" s="69">
        <v>7.57983E8</v>
      </c>
      <c r="H178" s="69">
        <v>2.6306164319049996E8</v>
      </c>
      <c r="I178" s="69">
        <v>7.57983E8</v>
      </c>
      <c r="J178" s="70">
        <f t="shared" si="7"/>
        <v>0.3470548062</v>
      </c>
    </row>
    <row r="179" ht="22.5" customHeight="1" outlineLevel="2">
      <c r="A179" s="66" t="s">
        <v>409</v>
      </c>
      <c r="B179" s="67" t="s">
        <v>410</v>
      </c>
      <c r="C179" s="67" t="s">
        <v>411</v>
      </c>
      <c r="D179" s="68">
        <v>45043.0</v>
      </c>
      <c r="E179" s="68">
        <v>45061.0</v>
      </c>
      <c r="F179" s="69">
        <v>1.9E8</v>
      </c>
      <c r="G179" s="69">
        <v>1.9E8</v>
      </c>
      <c r="H179" s="69">
        <v>5.0801772E7</v>
      </c>
      <c r="I179" s="69">
        <v>1.9E8</v>
      </c>
      <c r="J179" s="70">
        <f t="shared" si="7"/>
        <v>0.2673777474</v>
      </c>
    </row>
    <row r="180" ht="22.5" customHeight="1" outlineLevel="2">
      <c r="A180" s="66" t="s">
        <v>412</v>
      </c>
      <c r="B180" s="67" t="s">
        <v>413</v>
      </c>
      <c r="C180" s="67" t="s">
        <v>414</v>
      </c>
      <c r="D180" s="68">
        <v>45057.0</v>
      </c>
      <c r="E180" s="68">
        <v>45071.0</v>
      </c>
      <c r="F180" s="69">
        <v>4.022E7</v>
      </c>
      <c r="G180" s="69">
        <v>4.022E7</v>
      </c>
      <c r="H180" s="69">
        <v>1.3799798E7</v>
      </c>
      <c r="I180" s="69">
        <v>2.011E8</v>
      </c>
      <c r="J180" s="70">
        <f t="shared" si="7"/>
        <v>0.3431078568</v>
      </c>
    </row>
    <row r="181" ht="22.5" customHeight="1" outlineLevel="2">
      <c r="A181" s="66" t="s">
        <v>169</v>
      </c>
      <c r="B181" s="67" t="s">
        <v>297</v>
      </c>
      <c r="C181" s="67" t="s">
        <v>415</v>
      </c>
      <c r="D181" s="68">
        <v>45057.0</v>
      </c>
      <c r="E181" s="68">
        <v>45058.0</v>
      </c>
      <c r="F181" s="69">
        <v>7250000.0</v>
      </c>
      <c r="G181" s="69">
        <v>7250000.0</v>
      </c>
      <c r="H181" s="69">
        <v>2538159.611111111</v>
      </c>
      <c r="I181" s="69">
        <v>7250000.0</v>
      </c>
      <c r="J181" s="70">
        <f t="shared" si="7"/>
        <v>0.3500909808</v>
      </c>
    </row>
    <row r="182" ht="22.5" customHeight="1" outlineLevel="2">
      <c r="A182" s="66" t="s">
        <v>416</v>
      </c>
      <c r="B182" s="67" t="s">
        <v>309</v>
      </c>
      <c r="C182" s="67" t="s">
        <v>360</v>
      </c>
      <c r="D182" s="68">
        <v>45057.0</v>
      </c>
      <c r="E182" s="68">
        <v>45061.0</v>
      </c>
      <c r="F182" s="69">
        <v>7.5E7</v>
      </c>
      <c r="G182" s="69">
        <v>7.5E7</v>
      </c>
      <c r="H182" s="69">
        <v>4.86983295E7</v>
      </c>
      <c r="I182" s="69">
        <v>7.5E7</v>
      </c>
      <c r="J182" s="70">
        <f t="shared" si="7"/>
        <v>0.64931106</v>
      </c>
    </row>
    <row r="183" ht="22.5" customHeight="1" outlineLevel="2">
      <c r="A183" s="66" t="s">
        <v>417</v>
      </c>
      <c r="B183" s="67" t="s">
        <v>418</v>
      </c>
      <c r="C183" s="67" t="s">
        <v>419</v>
      </c>
      <c r="D183" s="68">
        <v>45061.0</v>
      </c>
      <c r="E183" s="68">
        <v>45093.0</v>
      </c>
      <c r="F183" s="69">
        <v>3.2226064E8</v>
      </c>
      <c r="G183" s="69">
        <v>3.2226064E8</v>
      </c>
      <c r="H183" s="69">
        <v>1.4356927E7</v>
      </c>
      <c r="I183" s="69">
        <v>3.2226064E8</v>
      </c>
      <c r="J183" s="70">
        <f t="shared" si="7"/>
        <v>0.04455066868</v>
      </c>
    </row>
    <row r="184" ht="22.5" customHeight="1" outlineLevel="2">
      <c r="A184" s="66" t="s">
        <v>173</v>
      </c>
      <c r="B184" s="67" t="s">
        <v>420</v>
      </c>
      <c r="C184" s="67" t="s">
        <v>421</v>
      </c>
      <c r="D184" s="68">
        <v>45063.0</v>
      </c>
      <c r="E184" s="68">
        <v>45064.0</v>
      </c>
      <c r="F184" s="69">
        <v>1.698E7</v>
      </c>
      <c r="G184" s="69">
        <v>1.698E7</v>
      </c>
      <c r="H184" s="69">
        <v>2747414.2605263162</v>
      </c>
      <c r="I184" s="69">
        <v>1.698E7</v>
      </c>
      <c r="J184" s="70">
        <f t="shared" si="7"/>
        <v>0.16180296</v>
      </c>
    </row>
    <row r="185" ht="22.5" customHeight="1" outlineLevel="2">
      <c r="A185" s="66" t="s">
        <v>177</v>
      </c>
      <c r="B185" s="67" t="s">
        <v>297</v>
      </c>
      <c r="C185" s="67" t="s">
        <v>422</v>
      </c>
      <c r="D185" s="68">
        <v>45064.0</v>
      </c>
      <c r="E185" s="68">
        <v>45064.0</v>
      </c>
      <c r="F185" s="69">
        <v>7250000.0</v>
      </c>
      <c r="G185" s="69">
        <v>7250000.0</v>
      </c>
      <c r="H185" s="69">
        <v>2538159.611111111</v>
      </c>
      <c r="I185" s="69">
        <v>7250000.0</v>
      </c>
      <c r="J185" s="70">
        <f t="shared" si="7"/>
        <v>0.3500909808</v>
      </c>
    </row>
    <row r="186" ht="22.5" customHeight="1" outlineLevel="2">
      <c r="A186" s="66" t="s">
        <v>179</v>
      </c>
      <c r="B186" s="67" t="s">
        <v>297</v>
      </c>
      <c r="C186" s="67" t="s">
        <v>423</v>
      </c>
      <c r="D186" s="68">
        <v>45064.0</v>
      </c>
      <c r="E186" s="68">
        <v>45064.0</v>
      </c>
      <c r="F186" s="69">
        <v>1.01352E8</v>
      </c>
      <c r="G186" s="69">
        <v>1.01352E8</v>
      </c>
      <c r="H186" s="69">
        <v>4.203368686666667E7</v>
      </c>
      <c r="I186" s="69">
        <v>1.01352E8</v>
      </c>
      <c r="J186" s="70">
        <f t="shared" si="7"/>
        <v>0.4147297228</v>
      </c>
    </row>
    <row r="187" ht="22.5" customHeight="1" outlineLevel="2">
      <c r="A187" s="66" t="s">
        <v>424</v>
      </c>
      <c r="B187" s="67" t="s">
        <v>297</v>
      </c>
      <c r="C187" s="67" t="s">
        <v>425</v>
      </c>
      <c r="D187" s="68">
        <v>45071.0</v>
      </c>
      <c r="E187" s="68">
        <v>45071.0</v>
      </c>
      <c r="F187" s="69">
        <v>6.3136E7</v>
      </c>
      <c r="G187" s="69">
        <v>6.3136E7</v>
      </c>
      <c r="H187" s="69">
        <v>2.588144007777778E7</v>
      </c>
      <c r="I187" s="69">
        <v>6.3136E7</v>
      </c>
      <c r="J187" s="70">
        <f t="shared" si="7"/>
        <v>0.4099315775</v>
      </c>
    </row>
    <row r="188" ht="22.5" customHeight="1" outlineLevel="2">
      <c r="A188" s="66" t="s">
        <v>426</v>
      </c>
      <c r="B188" s="67" t="s">
        <v>338</v>
      </c>
      <c r="C188" s="67" t="s">
        <v>427</v>
      </c>
      <c r="D188" s="68">
        <v>45071.0</v>
      </c>
      <c r="E188" s="68">
        <v>45104.0</v>
      </c>
      <c r="F188" s="69">
        <v>9.98E8</v>
      </c>
      <c r="G188" s="69">
        <v>9.98E8</v>
      </c>
      <c r="H188" s="69">
        <v>1.6162595208000004E8</v>
      </c>
      <c r="I188" s="69">
        <v>9.98E8</v>
      </c>
      <c r="J188" s="70">
        <f t="shared" si="7"/>
        <v>0.1619498518</v>
      </c>
    </row>
    <row r="189" ht="22.5" customHeight="1" outlineLevel="2">
      <c r="A189" s="66" t="s">
        <v>428</v>
      </c>
      <c r="B189" s="67" t="s">
        <v>297</v>
      </c>
      <c r="C189" s="67" t="s">
        <v>429</v>
      </c>
      <c r="D189" s="68">
        <v>45072.0</v>
      </c>
      <c r="E189" s="68">
        <v>45077.0</v>
      </c>
      <c r="F189" s="69">
        <v>8650000.0</v>
      </c>
      <c r="G189" s="69">
        <v>8650000.0</v>
      </c>
      <c r="H189" s="69">
        <v>2700657.871052631</v>
      </c>
      <c r="I189" s="69">
        <v>8650000.0</v>
      </c>
      <c r="J189" s="70">
        <f t="shared" si="7"/>
        <v>0.3122147828</v>
      </c>
    </row>
    <row r="190" ht="22.5" customHeight="1" outlineLevel="2">
      <c r="A190" s="66" t="s">
        <v>430</v>
      </c>
      <c r="B190" s="67" t="s">
        <v>297</v>
      </c>
      <c r="C190" s="67" t="s">
        <v>431</v>
      </c>
      <c r="D190" s="68">
        <v>45075.0</v>
      </c>
      <c r="E190" s="68">
        <v>45076.0</v>
      </c>
      <c r="F190" s="69">
        <v>8.105E7</v>
      </c>
      <c r="G190" s="69">
        <v>8.105E7</v>
      </c>
      <c r="H190" s="69">
        <v>3.605469611111111E7</v>
      </c>
      <c r="I190" s="69">
        <v>8.105E7</v>
      </c>
      <c r="J190" s="70">
        <f t="shared" si="7"/>
        <v>0.4448451093</v>
      </c>
    </row>
    <row r="191" ht="22.5" customHeight="1" outlineLevel="2">
      <c r="A191" s="66" t="s">
        <v>432</v>
      </c>
      <c r="B191" s="67" t="s">
        <v>433</v>
      </c>
      <c r="C191" s="67" t="s">
        <v>434</v>
      </c>
      <c r="D191" s="68">
        <v>45090.0</v>
      </c>
      <c r="E191" s="68">
        <v>45187.0</v>
      </c>
      <c r="F191" s="69">
        <v>6.264E9</v>
      </c>
      <c r="G191" s="69">
        <v>1.74E9</v>
      </c>
      <c r="H191" s="69">
        <v>2.7451695E8</v>
      </c>
      <c r="I191" s="69">
        <v>1.8792E9</v>
      </c>
      <c r="J191" s="70">
        <f t="shared" si="7"/>
        <v>0.1577683621</v>
      </c>
    </row>
    <row r="192" ht="22.5" customHeight="1" outlineLevel="2">
      <c r="A192" s="66" t="s">
        <v>435</v>
      </c>
      <c r="B192" s="67" t="s">
        <v>297</v>
      </c>
      <c r="C192" s="67" t="s">
        <v>436</v>
      </c>
      <c r="D192" s="68">
        <v>45077.0</v>
      </c>
      <c r="E192" s="68">
        <v>45079.0</v>
      </c>
      <c r="F192" s="69">
        <v>9385000.0</v>
      </c>
      <c r="G192" s="69">
        <v>9385000.0</v>
      </c>
      <c r="H192" s="69">
        <v>3290265.0</v>
      </c>
      <c r="I192" s="69">
        <v>9385000.0</v>
      </c>
      <c r="J192" s="70">
        <f t="shared" si="7"/>
        <v>0.3505876399</v>
      </c>
    </row>
    <row r="193" ht="22.5" customHeight="1" outlineLevel="2">
      <c r="A193" s="66" t="s">
        <v>437</v>
      </c>
      <c r="B193" s="67" t="s">
        <v>293</v>
      </c>
      <c r="C193" s="67" t="s">
        <v>438</v>
      </c>
      <c r="D193" s="68">
        <v>45058.0</v>
      </c>
      <c r="E193" s="68">
        <v>45099.0</v>
      </c>
      <c r="F193" s="69">
        <v>6.24096E7</v>
      </c>
      <c r="G193" s="69">
        <v>6.24096E7</v>
      </c>
      <c r="H193" s="69">
        <v>2.8848144200000003E7</v>
      </c>
      <c r="I193" s="69">
        <v>6.24096E7</v>
      </c>
      <c r="J193" s="70">
        <f t="shared" si="7"/>
        <v>0.4622388895</v>
      </c>
    </row>
    <row r="194" ht="22.5" customHeight="1" outlineLevel="2">
      <c r="A194" s="66" t="s">
        <v>196</v>
      </c>
      <c r="B194" s="67" t="s">
        <v>309</v>
      </c>
      <c r="C194" s="67" t="s">
        <v>439</v>
      </c>
      <c r="D194" s="68">
        <v>45078.0</v>
      </c>
      <c r="E194" s="68">
        <v>45083.0</v>
      </c>
      <c r="F194" s="69">
        <v>1.6E7</v>
      </c>
      <c r="G194" s="69">
        <v>1.6E7</v>
      </c>
      <c r="H194" s="69">
        <v>9905265.0</v>
      </c>
      <c r="I194" s="69">
        <v>1.6E7</v>
      </c>
      <c r="J194" s="70">
        <f t="shared" si="7"/>
        <v>0.6190790625</v>
      </c>
    </row>
    <row r="195" ht="22.5" customHeight="1" outlineLevel="2">
      <c r="A195" s="66" t="s">
        <v>440</v>
      </c>
      <c r="B195" s="67" t="s">
        <v>309</v>
      </c>
      <c r="C195" s="67" t="s">
        <v>340</v>
      </c>
      <c r="D195" s="68">
        <v>45082.0</v>
      </c>
      <c r="E195" s="68">
        <v>45086.0</v>
      </c>
      <c r="F195" s="69">
        <v>1.27E7</v>
      </c>
      <c r="G195" s="69">
        <v>1.27E7</v>
      </c>
      <c r="H195" s="69">
        <v>6605265.0</v>
      </c>
      <c r="I195" s="69">
        <v>1.27E7</v>
      </c>
      <c r="J195" s="70">
        <f t="shared" si="7"/>
        <v>0.5200996063</v>
      </c>
    </row>
    <row r="196" ht="22.5" customHeight="1" outlineLevel="2">
      <c r="A196" s="66" t="s">
        <v>441</v>
      </c>
      <c r="B196" s="67" t="s">
        <v>338</v>
      </c>
      <c r="C196" s="67" t="s">
        <v>442</v>
      </c>
      <c r="D196" s="68">
        <v>45083.0</v>
      </c>
      <c r="E196" s="68">
        <v>45084.0</v>
      </c>
      <c r="F196" s="69">
        <v>1.16505E8</v>
      </c>
      <c r="G196" s="69">
        <v>1.16505E8</v>
      </c>
      <c r="H196" s="69">
        <v>7518119.719999999</v>
      </c>
      <c r="I196" s="69">
        <v>1.16505E8</v>
      </c>
      <c r="J196" s="70">
        <f t="shared" si="7"/>
        <v>0.06453044693</v>
      </c>
    </row>
    <row r="197" ht="22.5" customHeight="1" outlineLevel="2">
      <c r="A197" s="66" t="s">
        <v>443</v>
      </c>
      <c r="B197" s="67" t="s">
        <v>338</v>
      </c>
      <c r="C197" s="67" t="s">
        <v>444</v>
      </c>
      <c r="D197" s="68">
        <v>45084.0</v>
      </c>
      <c r="E197" s="68">
        <v>45096.0</v>
      </c>
      <c r="F197" s="69">
        <v>1.5341E8</v>
      </c>
      <c r="G197" s="69">
        <v>1.5341E8</v>
      </c>
      <c r="H197" s="69">
        <v>2.193334289E7</v>
      </c>
      <c r="I197" s="69">
        <v>1.5341E8</v>
      </c>
      <c r="J197" s="70">
        <f t="shared" si="7"/>
        <v>0.1429720546</v>
      </c>
    </row>
    <row r="198" ht="22.5" customHeight="1" outlineLevel="2">
      <c r="A198" s="66" t="s">
        <v>200</v>
      </c>
      <c r="B198" s="67" t="s">
        <v>445</v>
      </c>
      <c r="C198" s="67" t="s">
        <v>360</v>
      </c>
      <c r="D198" s="68">
        <v>45083.0</v>
      </c>
      <c r="E198" s="68">
        <v>45096.0</v>
      </c>
      <c r="F198" s="69">
        <v>1.644E7</v>
      </c>
      <c r="G198" s="69">
        <v>1.644E7</v>
      </c>
      <c r="H198" s="69">
        <v>1267989.0299999993</v>
      </c>
      <c r="I198" s="69">
        <v>1.644E7</v>
      </c>
      <c r="J198" s="70">
        <f t="shared" si="7"/>
        <v>0.0771282865</v>
      </c>
    </row>
    <row r="199" ht="22.5" customHeight="1" outlineLevel="2">
      <c r="A199" s="66" t="s">
        <v>446</v>
      </c>
      <c r="B199" s="67" t="s">
        <v>297</v>
      </c>
      <c r="C199" s="67" t="s">
        <v>447</v>
      </c>
      <c r="D199" s="68">
        <v>45086.0</v>
      </c>
      <c r="E199" s="68">
        <v>45089.0</v>
      </c>
      <c r="F199" s="69">
        <v>4.8146E7</v>
      </c>
      <c r="G199" s="69">
        <v>4.8146E7</v>
      </c>
      <c r="H199" s="69">
        <v>1.939828325E7</v>
      </c>
      <c r="I199" s="69">
        <v>4.8146E7</v>
      </c>
      <c r="J199" s="70">
        <f t="shared" si="7"/>
        <v>0.4029053971</v>
      </c>
    </row>
    <row r="200" ht="22.5" customHeight="1" outlineLevel="2">
      <c r="A200" s="66" t="s">
        <v>448</v>
      </c>
      <c r="B200" s="67" t="s">
        <v>358</v>
      </c>
      <c r="C200" s="67" t="s">
        <v>449</v>
      </c>
      <c r="D200" s="68">
        <v>45090.0</v>
      </c>
      <c r="E200" s="68">
        <v>45113.0</v>
      </c>
      <c r="F200" s="69">
        <v>4.476E7</v>
      </c>
      <c r="G200" s="69">
        <v>4.476E7</v>
      </c>
      <c r="H200" s="69">
        <v>2988000.0</v>
      </c>
      <c r="I200" s="69">
        <v>4.476E7</v>
      </c>
      <c r="J200" s="70">
        <f t="shared" si="7"/>
        <v>0.06675603217</v>
      </c>
    </row>
    <row r="201" ht="22.5" customHeight="1" outlineLevel="2">
      <c r="A201" s="66" t="s">
        <v>450</v>
      </c>
      <c r="B201" s="67" t="s">
        <v>451</v>
      </c>
      <c r="C201" s="67" t="s">
        <v>360</v>
      </c>
      <c r="D201" s="68">
        <v>45091.0</v>
      </c>
      <c r="E201" s="68">
        <v>45096.0</v>
      </c>
      <c r="F201" s="69">
        <v>6400000.0</v>
      </c>
      <c r="G201" s="69">
        <v>6400000.0</v>
      </c>
      <c r="H201" s="69">
        <v>618000.0</v>
      </c>
      <c r="I201" s="69">
        <v>6400000.0</v>
      </c>
      <c r="J201" s="70">
        <f t="shared" si="7"/>
        <v>0.0965625</v>
      </c>
    </row>
    <row r="202" ht="22.5" customHeight="1" outlineLevel="2">
      <c r="A202" s="66" t="s">
        <v>452</v>
      </c>
      <c r="B202" s="67" t="s">
        <v>309</v>
      </c>
      <c r="C202" s="67" t="s">
        <v>453</v>
      </c>
      <c r="D202" s="68">
        <v>45084.0</v>
      </c>
      <c r="E202" s="68">
        <v>45097.0</v>
      </c>
      <c r="F202" s="69">
        <v>1.59E7</v>
      </c>
      <c r="G202" s="69">
        <v>1.59E7</v>
      </c>
      <c r="H202" s="69">
        <v>9805265.0</v>
      </c>
      <c r="I202" s="69">
        <v>1.59E7</v>
      </c>
      <c r="J202" s="70">
        <f t="shared" si="7"/>
        <v>0.6166833333</v>
      </c>
    </row>
    <row r="203" ht="22.5" customHeight="1" outlineLevel="2">
      <c r="A203" s="66" t="s">
        <v>454</v>
      </c>
      <c r="B203" s="67" t="s">
        <v>303</v>
      </c>
      <c r="C203" s="67" t="s">
        <v>455</v>
      </c>
      <c r="D203" s="68">
        <v>45062.0</v>
      </c>
      <c r="E203" s="68">
        <v>45114.0</v>
      </c>
      <c r="F203" s="69">
        <v>7.9E7</v>
      </c>
      <c r="G203" s="69">
        <v>7.9E7</v>
      </c>
      <c r="H203" s="69">
        <v>6320000.0</v>
      </c>
      <c r="I203" s="69">
        <v>7.9E7</v>
      </c>
      <c r="J203" s="70">
        <f t="shared" si="7"/>
        <v>0.08</v>
      </c>
    </row>
    <row r="204" ht="22.5" customHeight="1" outlineLevel="2">
      <c r="A204" s="66" t="s">
        <v>456</v>
      </c>
      <c r="B204" s="67" t="s">
        <v>457</v>
      </c>
      <c r="C204" s="67" t="s">
        <v>458</v>
      </c>
      <c r="D204" s="68">
        <v>45119.0</v>
      </c>
      <c r="E204" s="68">
        <v>45139.0</v>
      </c>
      <c r="F204" s="69">
        <v>9.0E7</v>
      </c>
      <c r="G204" s="69">
        <v>9.0E7</v>
      </c>
      <c r="H204" s="69">
        <v>4.5898E7</v>
      </c>
      <c r="I204" s="69">
        <v>9.0E7</v>
      </c>
      <c r="J204" s="70">
        <f t="shared" si="7"/>
        <v>0.5099777778</v>
      </c>
    </row>
    <row r="205" ht="22.5" customHeight="1" outlineLevel="2">
      <c r="A205" s="66" t="s">
        <v>459</v>
      </c>
      <c r="B205" s="67" t="s">
        <v>433</v>
      </c>
      <c r="C205" s="67" t="s">
        <v>460</v>
      </c>
      <c r="D205" s="68">
        <v>45089.0</v>
      </c>
      <c r="E205" s="68">
        <v>45208.0</v>
      </c>
      <c r="F205" s="69">
        <v>1.5642E8</v>
      </c>
      <c r="G205" s="69">
        <v>7.11E7</v>
      </c>
      <c r="H205" s="69">
        <v>7.6788E7</v>
      </c>
      <c r="I205" s="69">
        <v>7.6788E7</v>
      </c>
      <c r="J205" s="70">
        <f t="shared" si="7"/>
        <v>1.08</v>
      </c>
    </row>
    <row r="206" ht="22.5" customHeight="1" outlineLevel="2">
      <c r="A206" s="66" t="s">
        <v>461</v>
      </c>
      <c r="B206" s="67" t="s">
        <v>338</v>
      </c>
      <c r="C206" s="67" t="s">
        <v>462</v>
      </c>
      <c r="D206" s="68">
        <v>45097.0</v>
      </c>
      <c r="E206" s="68">
        <v>45110.0</v>
      </c>
      <c r="F206" s="69">
        <v>7.629E7</v>
      </c>
      <c r="G206" s="69">
        <v>7.629E7</v>
      </c>
      <c r="H206" s="69">
        <v>6785480.954999998</v>
      </c>
      <c r="I206" s="69">
        <v>7.629E7</v>
      </c>
      <c r="J206" s="70">
        <f t="shared" si="7"/>
        <v>0.08894325541</v>
      </c>
    </row>
    <row r="207" ht="22.5" customHeight="1" outlineLevel="2">
      <c r="A207" s="66" t="s">
        <v>463</v>
      </c>
      <c r="B207" s="67" t="s">
        <v>309</v>
      </c>
      <c r="C207" s="67" t="s">
        <v>340</v>
      </c>
      <c r="D207" s="68">
        <v>45097.0</v>
      </c>
      <c r="E207" s="68">
        <v>45099.0</v>
      </c>
      <c r="F207" s="69">
        <v>1.27E7</v>
      </c>
      <c r="G207" s="69">
        <v>1.27E7</v>
      </c>
      <c r="H207" s="69">
        <v>6605265.0</v>
      </c>
      <c r="I207" s="69">
        <v>1.27E7</v>
      </c>
      <c r="J207" s="70">
        <f t="shared" si="7"/>
        <v>0.5200996063</v>
      </c>
    </row>
    <row r="208" ht="22.5" customHeight="1" outlineLevel="2">
      <c r="A208" s="66" t="s">
        <v>464</v>
      </c>
      <c r="B208" s="67" t="s">
        <v>465</v>
      </c>
      <c r="C208" s="67" t="s">
        <v>466</v>
      </c>
      <c r="D208" s="68">
        <v>45096.0</v>
      </c>
      <c r="E208" s="68">
        <v>45103.0</v>
      </c>
      <c r="F208" s="69">
        <v>2.04E7</v>
      </c>
      <c r="G208" s="69">
        <v>2.04E7</v>
      </c>
      <c r="H208" s="69">
        <v>3895390.0</v>
      </c>
      <c r="I208" s="69">
        <v>2.04E7</v>
      </c>
      <c r="J208" s="70">
        <f t="shared" si="7"/>
        <v>0.1909504902</v>
      </c>
    </row>
    <row r="209" ht="22.5" customHeight="1" outlineLevel="2">
      <c r="A209" s="66" t="s">
        <v>467</v>
      </c>
      <c r="B209" s="67" t="s">
        <v>309</v>
      </c>
      <c r="C209" s="67" t="s">
        <v>468</v>
      </c>
      <c r="D209" s="68">
        <v>45098.0</v>
      </c>
      <c r="E209" s="68">
        <v>45100.0</v>
      </c>
      <c r="F209" s="69">
        <v>1.3072E7</v>
      </c>
      <c r="G209" s="69">
        <v>1.3072E7</v>
      </c>
      <c r="H209" s="69">
        <v>7936227.5</v>
      </c>
      <c r="I209" s="69">
        <v>1.3072E7</v>
      </c>
      <c r="J209" s="70">
        <f t="shared" si="7"/>
        <v>0.6071165468</v>
      </c>
    </row>
    <row r="210" ht="22.5" customHeight="1" outlineLevel="2">
      <c r="A210" s="66" t="s">
        <v>469</v>
      </c>
      <c r="B210" s="67" t="s">
        <v>309</v>
      </c>
      <c r="C210" s="67" t="s">
        <v>340</v>
      </c>
      <c r="D210" s="68">
        <v>45098.0</v>
      </c>
      <c r="E210" s="68">
        <v>45100.0</v>
      </c>
      <c r="F210" s="69">
        <v>1.27E7</v>
      </c>
      <c r="G210" s="69">
        <v>1.27E7</v>
      </c>
      <c r="H210" s="69">
        <v>6605265.0</v>
      </c>
      <c r="I210" s="69">
        <v>1.27E7</v>
      </c>
      <c r="J210" s="70">
        <f t="shared" si="7"/>
        <v>0.5200996063</v>
      </c>
    </row>
    <row r="211" ht="22.5" customHeight="1" outlineLevel="2">
      <c r="A211" s="66" t="s">
        <v>470</v>
      </c>
      <c r="B211" s="67" t="s">
        <v>338</v>
      </c>
      <c r="C211" s="67" t="s">
        <v>471</v>
      </c>
      <c r="D211" s="68">
        <v>45096.0</v>
      </c>
      <c r="E211" s="68">
        <v>45106.0</v>
      </c>
      <c r="F211" s="69">
        <v>4.75728E8</v>
      </c>
      <c r="G211" s="69">
        <v>4.75728E8</v>
      </c>
      <c r="H211" s="69">
        <v>1.0597108817000002E8</v>
      </c>
      <c r="I211" s="69">
        <v>4.75728E8</v>
      </c>
      <c r="J211" s="70">
        <f t="shared" si="7"/>
        <v>0.2227556254</v>
      </c>
    </row>
    <row r="212" ht="22.5" customHeight="1" outlineLevel="2">
      <c r="A212" s="66" t="s">
        <v>472</v>
      </c>
      <c r="B212" s="67" t="s">
        <v>309</v>
      </c>
      <c r="C212" s="67" t="s">
        <v>473</v>
      </c>
      <c r="D212" s="68">
        <v>45099.0</v>
      </c>
      <c r="E212" s="68">
        <v>45105.0</v>
      </c>
      <c r="F212" s="69">
        <v>2.125E8</v>
      </c>
      <c r="G212" s="69">
        <v>2.125E8</v>
      </c>
      <c r="H212" s="69">
        <v>1.3360714E8</v>
      </c>
      <c r="I212" s="69">
        <v>2.125E8</v>
      </c>
      <c r="J212" s="70">
        <f t="shared" si="7"/>
        <v>0.6287394824</v>
      </c>
    </row>
    <row r="213" ht="22.5" customHeight="1" outlineLevel="2">
      <c r="A213" s="66" t="s">
        <v>474</v>
      </c>
      <c r="B213" s="67" t="s">
        <v>475</v>
      </c>
      <c r="C213" s="67" t="s">
        <v>344</v>
      </c>
      <c r="D213" s="68">
        <v>45105.0</v>
      </c>
      <c r="E213" s="68">
        <v>45126.0</v>
      </c>
      <c r="F213" s="69">
        <v>3.05E8</v>
      </c>
      <c r="G213" s="69">
        <v>3.05E8</v>
      </c>
      <c r="H213" s="69">
        <v>1.0346329596585E8</v>
      </c>
      <c r="I213" s="69">
        <v>3.05E8</v>
      </c>
      <c r="J213" s="70">
        <f t="shared" si="7"/>
        <v>0.3392239212</v>
      </c>
    </row>
    <row r="214" ht="22.5" customHeight="1" outlineLevel="2">
      <c r="A214" s="66" t="s">
        <v>476</v>
      </c>
      <c r="B214" s="67" t="s">
        <v>309</v>
      </c>
      <c r="C214" s="67" t="s">
        <v>477</v>
      </c>
      <c r="D214" s="68">
        <v>45106.0</v>
      </c>
      <c r="E214" s="68">
        <v>45112.0</v>
      </c>
      <c r="F214" s="69">
        <v>4.725E7</v>
      </c>
      <c r="G214" s="69">
        <v>4.725E7</v>
      </c>
      <c r="H214" s="69">
        <v>3.032123025E7</v>
      </c>
      <c r="I214" s="69">
        <v>4.725E7</v>
      </c>
      <c r="J214" s="70">
        <f t="shared" si="7"/>
        <v>0.6417191587</v>
      </c>
    </row>
    <row r="215" ht="22.5" customHeight="1" outlineLevel="2">
      <c r="A215" s="66" t="s">
        <v>478</v>
      </c>
      <c r="B215" s="67" t="s">
        <v>358</v>
      </c>
      <c r="C215" s="67" t="s">
        <v>375</v>
      </c>
      <c r="D215" s="68">
        <v>45106.0</v>
      </c>
      <c r="E215" s="68">
        <v>45114.0</v>
      </c>
      <c r="F215" s="69">
        <v>3.738E8</v>
      </c>
      <c r="G215" s="69">
        <v>3.738E8</v>
      </c>
      <c r="H215" s="69">
        <v>2918424.0</v>
      </c>
      <c r="I215" s="69">
        <v>3.738E8</v>
      </c>
      <c r="J215" s="70">
        <f t="shared" si="7"/>
        <v>0.007807447833</v>
      </c>
    </row>
    <row r="216" ht="22.5" customHeight="1" outlineLevel="2">
      <c r="A216" s="66" t="s">
        <v>479</v>
      </c>
      <c r="B216" s="67" t="s">
        <v>297</v>
      </c>
      <c r="C216" s="67" t="s">
        <v>480</v>
      </c>
      <c r="D216" s="68">
        <v>45105.0</v>
      </c>
      <c r="E216" s="68">
        <v>45105.0</v>
      </c>
      <c r="F216" s="69">
        <v>8887000.0</v>
      </c>
      <c r="G216" s="69">
        <v>8887000.0</v>
      </c>
      <c r="H216" s="69">
        <v>2792265.0</v>
      </c>
      <c r="I216" s="69">
        <v>8887000.0</v>
      </c>
      <c r="J216" s="70">
        <f t="shared" si="7"/>
        <v>0.3141965793</v>
      </c>
    </row>
    <row r="217" ht="22.5" customHeight="1" outlineLevel="2">
      <c r="A217" s="66" t="s">
        <v>481</v>
      </c>
      <c r="B217" s="67" t="s">
        <v>330</v>
      </c>
      <c r="C217" s="67" t="s">
        <v>482</v>
      </c>
      <c r="D217" s="68">
        <v>45104.0</v>
      </c>
      <c r="E217" s="68">
        <v>45111.0</v>
      </c>
      <c r="F217" s="69">
        <v>5.4E7</v>
      </c>
      <c r="G217" s="69">
        <v>5.4E7</v>
      </c>
      <c r="H217" s="69">
        <v>2.1271215382000003E7</v>
      </c>
      <c r="I217" s="69">
        <v>5.4E7</v>
      </c>
      <c r="J217" s="70">
        <f t="shared" si="7"/>
        <v>0.393911396</v>
      </c>
    </row>
    <row r="218" ht="22.5" customHeight="1" outlineLevel="2">
      <c r="A218" s="66" t="s">
        <v>483</v>
      </c>
      <c r="B218" s="67" t="s">
        <v>484</v>
      </c>
      <c r="C218" s="67" t="s">
        <v>468</v>
      </c>
      <c r="D218" s="68">
        <v>45106.0</v>
      </c>
      <c r="E218" s="68">
        <v>45124.0</v>
      </c>
      <c r="F218" s="69">
        <v>1.5E7</v>
      </c>
      <c r="G218" s="69">
        <v>1.5E7</v>
      </c>
      <c r="H218" s="69">
        <v>4978000.0</v>
      </c>
      <c r="I218" s="69">
        <v>1.5E7</v>
      </c>
      <c r="J218" s="70">
        <f t="shared" si="7"/>
        <v>0.3318666667</v>
      </c>
    </row>
    <row r="219" ht="22.5" customHeight="1" outlineLevel="2">
      <c r="A219" s="66" t="s">
        <v>485</v>
      </c>
      <c r="B219" s="67" t="s">
        <v>309</v>
      </c>
      <c r="C219" s="67" t="s">
        <v>486</v>
      </c>
      <c r="D219" s="68">
        <v>45107.0</v>
      </c>
      <c r="E219" s="68">
        <v>45118.0</v>
      </c>
      <c r="F219" s="69">
        <v>1.81896E8</v>
      </c>
      <c r="G219" s="69">
        <v>1.81896E8</v>
      </c>
      <c r="H219" s="69">
        <v>6.1277465625E7</v>
      </c>
      <c r="I219" s="69">
        <v>1.81896E8</v>
      </c>
      <c r="J219" s="70">
        <f t="shared" si="7"/>
        <v>0.3368818755</v>
      </c>
    </row>
    <row r="220" ht="22.5" customHeight="1" outlineLevel="2">
      <c r="A220" s="66" t="s">
        <v>487</v>
      </c>
      <c r="B220" s="67" t="s">
        <v>309</v>
      </c>
      <c r="C220" s="67" t="s">
        <v>488</v>
      </c>
      <c r="D220" s="68">
        <v>45107.0</v>
      </c>
      <c r="E220" s="68">
        <v>45118.0</v>
      </c>
      <c r="F220" s="69">
        <v>9.9216E7</v>
      </c>
      <c r="G220" s="69">
        <v>9.9216E7</v>
      </c>
      <c r="H220" s="69">
        <v>6.527645625E7</v>
      </c>
      <c r="I220" s="69">
        <v>9.9216E7</v>
      </c>
      <c r="J220" s="70">
        <f t="shared" si="7"/>
        <v>0.6579226763</v>
      </c>
    </row>
    <row r="221" ht="22.5" customHeight="1" outlineLevel="2">
      <c r="A221" s="66" t="s">
        <v>489</v>
      </c>
      <c r="B221" s="67" t="s">
        <v>309</v>
      </c>
      <c r="C221" s="67" t="s">
        <v>490</v>
      </c>
      <c r="D221" s="68">
        <v>45035.0</v>
      </c>
      <c r="E221" s="68">
        <v>45061.0</v>
      </c>
      <c r="F221" s="69">
        <v>1.431332E8</v>
      </c>
      <c r="G221" s="69">
        <v>1.431332E8</v>
      </c>
      <c r="H221" s="69">
        <v>7.6856E7</v>
      </c>
      <c r="I221" s="69"/>
      <c r="J221" s="70">
        <f t="shared" si="7"/>
        <v>0.5369543893</v>
      </c>
    </row>
    <row r="222" ht="22.5" customHeight="1" outlineLevel="2">
      <c r="A222" s="66" t="s">
        <v>491</v>
      </c>
      <c r="B222" s="67" t="s">
        <v>358</v>
      </c>
      <c r="C222" s="67" t="s">
        <v>492</v>
      </c>
      <c r="D222" s="68">
        <v>45105.0</v>
      </c>
      <c r="E222" s="68">
        <v>45112.0</v>
      </c>
      <c r="F222" s="69">
        <v>4.78E7</v>
      </c>
      <c r="G222" s="69">
        <v>4.78E7</v>
      </c>
      <c r="H222" s="69">
        <v>4978000.0</v>
      </c>
      <c r="I222" s="69">
        <v>4.78E7</v>
      </c>
      <c r="J222" s="70">
        <f t="shared" si="7"/>
        <v>0.1041422594</v>
      </c>
    </row>
    <row r="223" ht="22.5" customHeight="1" outlineLevel="2">
      <c r="A223" s="66" t="s">
        <v>493</v>
      </c>
      <c r="B223" s="67" t="s">
        <v>293</v>
      </c>
      <c r="C223" s="67" t="s">
        <v>494</v>
      </c>
      <c r="D223" s="68">
        <v>45061.0</v>
      </c>
      <c r="E223" s="68">
        <v>45138.0</v>
      </c>
      <c r="F223" s="69">
        <v>9.34E7</v>
      </c>
      <c r="G223" s="69">
        <v>9.34E7</v>
      </c>
      <c r="H223" s="69">
        <v>2.374578375E7</v>
      </c>
      <c r="I223" s="69">
        <v>9.34E7</v>
      </c>
      <c r="J223" s="70">
        <f t="shared" si="7"/>
        <v>0.2542375134</v>
      </c>
    </row>
    <row r="224" ht="22.5" customHeight="1" outlineLevel="2">
      <c r="A224" s="66" t="s">
        <v>495</v>
      </c>
      <c r="B224" s="67" t="s">
        <v>309</v>
      </c>
      <c r="C224" s="67" t="s">
        <v>468</v>
      </c>
      <c r="D224" s="68">
        <v>45114.0</v>
      </c>
      <c r="E224" s="68">
        <v>45120.0</v>
      </c>
      <c r="F224" s="69">
        <v>1.74E7</v>
      </c>
      <c r="G224" s="69">
        <v>1.74E7</v>
      </c>
      <c r="H224" s="69">
        <v>1.1305265E7</v>
      </c>
      <c r="I224" s="69">
        <v>1.74E7</v>
      </c>
      <c r="J224" s="70">
        <f t="shared" si="7"/>
        <v>0.6497278736</v>
      </c>
    </row>
    <row r="225" ht="22.5" customHeight="1" outlineLevel="2">
      <c r="A225" s="66" t="s">
        <v>496</v>
      </c>
      <c r="B225" s="67" t="s">
        <v>293</v>
      </c>
      <c r="C225" s="67" t="s">
        <v>497</v>
      </c>
      <c r="D225" s="68">
        <v>45125.0</v>
      </c>
      <c r="E225" s="68">
        <v>45133.0</v>
      </c>
      <c r="F225" s="69">
        <v>3.696E7</v>
      </c>
      <c r="G225" s="69">
        <v>3.696E7</v>
      </c>
      <c r="H225" s="69">
        <v>2.365863355E7</v>
      </c>
      <c r="I225" s="69">
        <v>3.696E7</v>
      </c>
      <c r="J225" s="70">
        <f t="shared" si="7"/>
        <v>0.6401145441</v>
      </c>
    </row>
    <row r="226" ht="22.5" customHeight="1" outlineLevel="2">
      <c r="A226" s="66" t="s">
        <v>498</v>
      </c>
      <c r="B226" s="67" t="s">
        <v>312</v>
      </c>
      <c r="C226" s="67" t="s">
        <v>499</v>
      </c>
      <c r="D226" s="68">
        <v>45127.0</v>
      </c>
      <c r="E226" s="68">
        <v>45141.0</v>
      </c>
      <c r="F226" s="69">
        <v>7.155E7</v>
      </c>
      <c r="G226" s="69">
        <v>7.155E7</v>
      </c>
      <c r="H226" s="69">
        <v>1.6465988E7</v>
      </c>
      <c r="I226" s="69">
        <v>7.155E7</v>
      </c>
      <c r="J226" s="70">
        <f t="shared" si="7"/>
        <v>0.2301326066</v>
      </c>
    </row>
    <row r="227" ht="22.5" customHeight="1" outlineLevel="2">
      <c r="A227" s="66" t="s">
        <v>500</v>
      </c>
      <c r="B227" s="67" t="s">
        <v>293</v>
      </c>
      <c r="C227" s="67" t="s">
        <v>501</v>
      </c>
      <c r="D227" s="68">
        <v>45131.0</v>
      </c>
      <c r="E227" s="68">
        <v>45152.0</v>
      </c>
      <c r="F227" s="69">
        <v>3.3222E8</v>
      </c>
      <c r="G227" s="69">
        <v>3.3222E8</v>
      </c>
      <c r="H227" s="69">
        <v>1.365769487E8</v>
      </c>
      <c r="I227" s="69">
        <v>3.3222E8</v>
      </c>
      <c r="J227" s="70">
        <f t="shared" si="7"/>
        <v>0.4111039332</v>
      </c>
    </row>
    <row r="228" ht="22.5" customHeight="1" outlineLevel="2">
      <c r="A228" s="66" t="s">
        <v>502</v>
      </c>
      <c r="B228" s="67" t="s">
        <v>297</v>
      </c>
      <c r="C228" s="67" t="s">
        <v>503</v>
      </c>
      <c r="D228" s="68">
        <v>45128.0</v>
      </c>
      <c r="E228" s="68">
        <v>45131.0</v>
      </c>
      <c r="F228" s="69">
        <v>8909000.0</v>
      </c>
      <c r="G228" s="69">
        <v>8909000.0</v>
      </c>
      <c r="H228" s="69">
        <v>2326360.0</v>
      </c>
      <c r="I228" s="69">
        <v>2.2887E7</v>
      </c>
      <c r="J228" s="70">
        <f t="shared" si="7"/>
        <v>0.2611247054</v>
      </c>
    </row>
    <row r="229" ht="22.5" customHeight="1" outlineLevel="2">
      <c r="A229" s="66" t="s">
        <v>504</v>
      </c>
      <c r="B229" s="67" t="s">
        <v>293</v>
      </c>
      <c r="C229" s="67" t="s">
        <v>505</v>
      </c>
      <c r="D229" s="68">
        <v>45132.0</v>
      </c>
      <c r="E229" s="68">
        <v>45203.0</v>
      </c>
      <c r="F229" s="69">
        <v>3.70689E8</v>
      </c>
      <c r="G229" s="69">
        <v>3.70689E8</v>
      </c>
      <c r="H229" s="69">
        <v>2.67385225E7</v>
      </c>
      <c r="I229" s="69">
        <v>3.70689E8</v>
      </c>
      <c r="J229" s="70">
        <f t="shared" si="7"/>
        <v>0.07213195563</v>
      </c>
    </row>
    <row r="230" ht="22.5" customHeight="1" outlineLevel="2">
      <c r="A230" s="66" t="s">
        <v>506</v>
      </c>
      <c r="B230" s="67" t="s">
        <v>309</v>
      </c>
      <c r="C230" s="67" t="s">
        <v>507</v>
      </c>
      <c r="D230" s="68">
        <v>45128.0</v>
      </c>
      <c r="E230" s="68">
        <v>45139.0</v>
      </c>
      <c r="F230" s="69">
        <v>3.18E7</v>
      </c>
      <c r="G230" s="69">
        <v>3.18E7</v>
      </c>
      <c r="H230" s="69">
        <v>1.9593474666666664E7</v>
      </c>
      <c r="I230" s="69">
        <v>3.18E7</v>
      </c>
      <c r="J230" s="70">
        <f t="shared" si="7"/>
        <v>0.6161470021</v>
      </c>
    </row>
    <row r="231" ht="22.5" customHeight="1" outlineLevel="2">
      <c r="A231" s="66" t="s">
        <v>508</v>
      </c>
      <c r="B231" s="67" t="s">
        <v>299</v>
      </c>
      <c r="C231" s="67" t="s">
        <v>509</v>
      </c>
      <c r="D231" s="68">
        <v>45132.0</v>
      </c>
      <c r="E231" s="68">
        <v>45140.0</v>
      </c>
      <c r="F231" s="69">
        <v>1.64376E8</v>
      </c>
      <c r="G231" s="69">
        <v>1.64376E8</v>
      </c>
      <c r="H231" s="69">
        <v>6.3399620511999995E7</v>
      </c>
      <c r="I231" s="69">
        <v>1.64376E8</v>
      </c>
      <c r="J231" s="70">
        <f t="shared" si="7"/>
        <v>0.3856987669</v>
      </c>
    </row>
    <row r="232" ht="22.5" customHeight="1" outlineLevel="2">
      <c r="A232" s="66" t="s">
        <v>510</v>
      </c>
      <c r="B232" s="67" t="s">
        <v>338</v>
      </c>
      <c r="C232" s="67" t="s">
        <v>511</v>
      </c>
      <c r="D232" s="68">
        <v>45131.0</v>
      </c>
      <c r="E232" s="68">
        <v>45152.0</v>
      </c>
      <c r="F232" s="69">
        <v>1.00872E8</v>
      </c>
      <c r="G232" s="69">
        <v>1.00872E8</v>
      </c>
      <c r="H232" s="69">
        <v>8021095.140000001</v>
      </c>
      <c r="I232" s="69">
        <v>1.00872E8</v>
      </c>
      <c r="J232" s="70">
        <f t="shared" si="7"/>
        <v>0.07951755829</v>
      </c>
    </row>
    <row r="233" ht="22.5" customHeight="1" outlineLevel="2">
      <c r="A233" s="66" t="s">
        <v>512</v>
      </c>
      <c r="B233" s="67" t="s">
        <v>513</v>
      </c>
      <c r="C233" s="67" t="s">
        <v>514</v>
      </c>
      <c r="D233" s="68">
        <v>45146.0</v>
      </c>
      <c r="E233" s="68">
        <v>45222.0</v>
      </c>
      <c r="F233" s="69">
        <v>3.4144E8</v>
      </c>
      <c r="G233" s="69">
        <v>3.4144E8</v>
      </c>
      <c r="H233" s="69">
        <v>5.8992425E7</v>
      </c>
      <c r="I233" s="69">
        <v>3.4144E8</v>
      </c>
      <c r="J233" s="70">
        <f t="shared" si="7"/>
        <v>0.1727753778</v>
      </c>
    </row>
    <row r="234" ht="22.5" customHeight="1" outlineLevel="2">
      <c r="A234" s="66" t="s">
        <v>515</v>
      </c>
      <c r="B234" s="67" t="s">
        <v>338</v>
      </c>
      <c r="C234" s="67" t="s">
        <v>516</v>
      </c>
      <c r="D234" s="68">
        <v>45139.0</v>
      </c>
      <c r="E234" s="68">
        <v>45156.0</v>
      </c>
      <c r="F234" s="69">
        <v>2.8557E8</v>
      </c>
      <c r="G234" s="69">
        <v>2.8557E8</v>
      </c>
      <c r="H234" s="69">
        <v>4.633834870750001E7</v>
      </c>
      <c r="I234" s="69">
        <v>2.8557E8</v>
      </c>
      <c r="J234" s="70">
        <f t="shared" si="7"/>
        <v>0.1622661649</v>
      </c>
    </row>
    <row r="235" ht="22.5" customHeight="1" outlineLevel="2">
      <c r="A235" s="66" t="s">
        <v>517</v>
      </c>
      <c r="B235" s="67" t="s">
        <v>293</v>
      </c>
      <c r="C235" s="67" t="s">
        <v>518</v>
      </c>
      <c r="D235" s="68">
        <v>45142.0</v>
      </c>
      <c r="E235" s="68">
        <v>45166.0</v>
      </c>
      <c r="F235" s="69">
        <v>1.060099E8</v>
      </c>
      <c r="G235" s="69">
        <v>1.05434018E8</v>
      </c>
      <c r="H235" s="69">
        <v>3.7232417675E7</v>
      </c>
      <c r="I235" s="69">
        <v>1.054340175E8</v>
      </c>
      <c r="J235" s="70">
        <f t="shared" si="7"/>
        <v>0.3531347698</v>
      </c>
    </row>
    <row r="236" ht="22.5" customHeight="1" outlineLevel="2">
      <c r="A236" s="66" t="s">
        <v>519</v>
      </c>
      <c r="B236" s="67" t="s">
        <v>309</v>
      </c>
      <c r="C236" s="67" t="s">
        <v>520</v>
      </c>
      <c r="D236" s="68">
        <v>45138.0</v>
      </c>
      <c r="E236" s="68">
        <v>45174.0</v>
      </c>
      <c r="F236" s="69">
        <v>2.856E8</v>
      </c>
      <c r="G236" s="69">
        <v>2.856E8</v>
      </c>
      <c r="H236" s="69">
        <v>1.1719270555555555E8</v>
      </c>
      <c r="I236" s="69">
        <v>2.856E8</v>
      </c>
      <c r="J236" s="70">
        <f t="shared" si="7"/>
        <v>0.4103386049</v>
      </c>
    </row>
    <row r="237" ht="22.5" customHeight="1" outlineLevel="2">
      <c r="A237" s="66" t="s">
        <v>521</v>
      </c>
      <c r="B237" s="67" t="s">
        <v>297</v>
      </c>
      <c r="C237" s="67" t="s">
        <v>522</v>
      </c>
      <c r="D237" s="68">
        <v>45147.0</v>
      </c>
      <c r="E237" s="68">
        <v>45148.0</v>
      </c>
      <c r="F237" s="69">
        <v>8968000.0</v>
      </c>
      <c r="G237" s="69">
        <v>8968000.0</v>
      </c>
      <c r="H237" s="69">
        <v>2742937.333333333</v>
      </c>
      <c r="I237" s="69">
        <v>8968000.0</v>
      </c>
      <c r="J237" s="70">
        <f t="shared" si="7"/>
        <v>0.305858311</v>
      </c>
    </row>
    <row r="238" ht="22.5" customHeight="1" outlineLevel="2">
      <c r="A238" s="66" t="s">
        <v>523</v>
      </c>
      <c r="B238" s="67" t="s">
        <v>297</v>
      </c>
      <c r="C238" s="67" t="s">
        <v>524</v>
      </c>
      <c r="D238" s="68">
        <v>45148.0</v>
      </c>
      <c r="E238" s="68">
        <v>45148.0</v>
      </c>
      <c r="F238" s="69">
        <v>3.5872E7</v>
      </c>
      <c r="G238" s="69">
        <v>3.5872E7</v>
      </c>
      <c r="H238" s="69">
        <v>1.2898841866666667E7</v>
      </c>
      <c r="I238" s="69">
        <v>3.5872E7</v>
      </c>
      <c r="J238" s="70">
        <f t="shared" si="7"/>
        <v>0.3595796685</v>
      </c>
    </row>
    <row r="239" ht="22.5" customHeight="1" outlineLevel="2">
      <c r="A239" s="66" t="s">
        <v>525</v>
      </c>
      <c r="B239" s="67" t="s">
        <v>297</v>
      </c>
      <c r="C239" s="67" t="s">
        <v>526</v>
      </c>
      <c r="D239" s="68">
        <v>45153.0</v>
      </c>
      <c r="E239" s="68">
        <v>45154.0</v>
      </c>
      <c r="F239" s="69">
        <v>2.1837E7</v>
      </c>
      <c r="G239" s="69">
        <v>2.1837E7</v>
      </c>
      <c r="H239" s="69">
        <v>8420587.9</v>
      </c>
      <c r="I239" s="69">
        <v>2.1837E7</v>
      </c>
      <c r="J239" s="70">
        <f t="shared" si="7"/>
        <v>0.3856110226</v>
      </c>
    </row>
    <row r="240" ht="22.5" customHeight="1" outlineLevel="2">
      <c r="A240" s="66" t="s">
        <v>527</v>
      </c>
      <c r="B240" s="67" t="s">
        <v>297</v>
      </c>
      <c r="C240" s="67" t="s">
        <v>528</v>
      </c>
      <c r="D240" s="68">
        <v>45153.0</v>
      </c>
      <c r="E240" s="68">
        <v>45155.0</v>
      </c>
      <c r="F240" s="69">
        <v>7382000.0</v>
      </c>
      <c r="G240" s="69">
        <v>7382000.0</v>
      </c>
      <c r="H240" s="69">
        <v>2516360.666666667</v>
      </c>
      <c r="I240" s="69">
        <v>7382000.0</v>
      </c>
      <c r="J240" s="70">
        <f t="shared" si="7"/>
        <v>0.3408779012</v>
      </c>
    </row>
    <row r="241" ht="22.5" customHeight="1" outlineLevel="2">
      <c r="A241" s="66" t="s">
        <v>529</v>
      </c>
      <c r="B241" s="67" t="s">
        <v>530</v>
      </c>
      <c r="C241" s="67" t="s">
        <v>345</v>
      </c>
      <c r="D241" s="68">
        <v>45156.0</v>
      </c>
      <c r="E241" s="68">
        <v>45174.0</v>
      </c>
      <c r="F241" s="69">
        <v>5.43268E8</v>
      </c>
      <c r="G241" s="69">
        <v>5.43268E8</v>
      </c>
      <c r="H241" s="69">
        <v>2.0130823739999998E8</v>
      </c>
      <c r="I241" s="69">
        <v>5.43268E8</v>
      </c>
      <c r="J241" s="70">
        <f t="shared" si="7"/>
        <v>0.3705505154</v>
      </c>
    </row>
    <row r="242" ht="22.5" customHeight="1" outlineLevel="2">
      <c r="A242" s="66" t="s">
        <v>531</v>
      </c>
      <c r="B242" s="67" t="s">
        <v>293</v>
      </c>
      <c r="C242" s="67" t="s">
        <v>532</v>
      </c>
      <c r="D242" s="68">
        <v>45156.0</v>
      </c>
      <c r="E242" s="68">
        <v>45160.0</v>
      </c>
      <c r="F242" s="69">
        <v>1.63616E8</v>
      </c>
      <c r="G242" s="69">
        <v>1.63616E8</v>
      </c>
      <c r="H242" s="69">
        <v>5.666250195E7</v>
      </c>
      <c r="I242" s="69">
        <v>1.63616E8</v>
      </c>
      <c r="J242" s="70">
        <f t="shared" si="7"/>
        <v>0.3463139421</v>
      </c>
    </row>
    <row r="243" ht="22.5" customHeight="1" outlineLevel="2">
      <c r="A243" s="66" t="s">
        <v>533</v>
      </c>
      <c r="B243" s="67" t="s">
        <v>433</v>
      </c>
      <c r="C243" s="67" t="s">
        <v>534</v>
      </c>
      <c r="D243" s="68">
        <v>45146.0</v>
      </c>
      <c r="E243" s="68">
        <v>45280.0</v>
      </c>
      <c r="F243" s="69">
        <v>9.72981E8</v>
      </c>
      <c r="G243" s="69">
        <v>9.00908333E8</v>
      </c>
      <c r="H243" s="69">
        <v>3.0164590913750005E8</v>
      </c>
      <c r="I243" s="69">
        <v>8.75682E8</v>
      </c>
      <c r="J243" s="70">
        <f t="shared" si="7"/>
        <v>0.334824197</v>
      </c>
    </row>
    <row r="244" ht="22.5" customHeight="1" outlineLevel="2">
      <c r="A244" s="66" t="s">
        <v>535</v>
      </c>
      <c r="B244" s="67" t="s">
        <v>433</v>
      </c>
      <c r="C244" s="67" t="s">
        <v>536</v>
      </c>
      <c r="D244" s="68">
        <v>45153.0</v>
      </c>
      <c r="E244" s="68">
        <v>45162.0</v>
      </c>
      <c r="F244" s="69">
        <v>4.86E9</v>
      </c>
      <c r="G244" s="69">
        <v>9.0E8</v>
      </c>
      <c r="H244" s="69">
        <v>2.25791E8</v>
      </c>
      <c r="I244" s="69">
        <v>9.72E8</v>
      </c>
      <c r="J244" s="70">
        <f t="shared" si="7"/>
        <v>0.2508788889</v>
      </c>
    </row>
    <row r="245" ht="22.5" customHeight="1" outlineLevel="2">
      <c r="A245" s="66" t="s">
        <v>537</v>
      </c>
      <c r="B245" s="67" t="s">
        <v>465</v>
      </c>
      <c r="C245" s="67" t="s">
        <v>360</v>
      </c>
      <c r="D245" s="68">
        <v>45167.0</v>
      </c>
      <c r="E245" s="68">
        <v>45176.0</v>
      </c>
      <c r="F245" s="69">
        <v>7992000.0</v>
      </c>
      <c r="G245" s="69">
        <v>7992000.0</v>
      </c>
      <c r="H245" s="69">
        <v>3606397.2894736845</v>
      </c>
      <c r="I245" s="69">
        <v>7992000.0</v>
      </c>
      <c r="J245" s="70">
        <f t="shared" si="7"/>
        <v>0.4512509121</v>
      </c>
    </row>
    <row r="246" ht="22.5" customHeight="1" outlineLevel="2">
      <c r="A246" s="66" t="s">
        <v>538</v>
      </c>
      <c r="B246" s="67" t="s">
        <v>539</v>
      </c>
      <c r="C246" s="67" t="s">
        <v>540</v>
      </c>
      <c r="D246" s="68">
        <v>45187.0</v>
      </c>
      <c r="E246" s="68">
        <v>45278.0</v>
      </c>
      <c r="F246" s="69">
        <v>1.696E8</v>
      </c>
      <c r="G246" s="69">
        <v>1.696E8</v>
      </c>
      <c r="H246" s="69">
        <v>4.410612333333333E7</v>
      </c>
      <c r="I246" s="69"/>
      <c r="J246" s="70">
        <f t="shared" si="7"/>
        <v>0.2600596895</v>
      </c>
    </row>
    <row r="247" ht="22.5" customHeight="1" outlineLevel="2">
      <c r="A247" s="66" t="s">
        <v>541</v>
      </c>
      <c r="B247" s="67" t="s">
        <v>297</v>
      </c>
      <c r="C247" s="67" t="s">
        <v>542</v>
      </c>
      <c r="D247" s="68">
        <v>45177.0</v>
      </c>
      <c r="E247" s="68">
        <v>45180.0</v>
      </c>
      <c r="F247" s="69">
        <v>3200000.0</v>
      </c>
      <c r="G247" s="69">
        <v>3200000.0</v>
      </c>
      <c r="H247" s="69">
        <v>1033100.710526316</v>
      </c>
      <c r="I247" s="69">
        <v>3200000.0</v>
      </c>
      <c r="J247" s="70">
        <f t="shared" si="7"/>
        <v>0.322843972</v>
      </c>
    </row>
    <row r="248" ht="22.5" customHeight="1" outlineLevel="2">
      <c r="A248" s="66" t="s">
        <v>543</v>
      </c>
      <c r="B248" s="67" t="s">
        <v>293</v>
      </c>
      <c r="C248" s="67" t="s">
        <v>544</v>
      </c>
      <c r="D248" s="68">
        <v>45181.0</v>
      </c>
      <c r="E248" s="68">
        <v>45194.0</v>
      </c>
      <c r="F248" s="69">
        <v>5.5E7</v>
      </c>
      <c r="G248" s="69">
        <v>5.5E7</v>
      </c>
      <c r="H248" s="69">
        <v>2.254511895E7</v>
      </c>
      <c r="I248" s="69">
        <v>5.5E7</v>
      </c>
      <c r="J248" s="70">
        <f t="shared" si="7"/>
        <v>0.4099112536</v>
      </c>
    </row>
    <row r="249" ht="22.5" customHeight="1" outlineLevel="2">
      <c r="A249" s="66" t="s">
        <v>545</v>
      </c>
      <c r="B249" s="67" t="s">
        <v>297</v>
      </c>
      <c r="C249" s="67" t="s">
        <v>546</v>
      </c>
      <c r="D249" s="68">
        <v>45181.0</v>
      </c>
      <c r="E249" s="68">
        <v>45181.0</v>
      </c>
      <c r="F249" s="69">
        <v>4696000.0</v>
      </c>
      <c r="G249" s="69">
        <v>4696000.0</v>
      </c>
      <c r="H249" s="69">
        <v>867349.9736842103</v>
      </c>
      <c r="I249" s="69">
        <v>4696000.0</v>
      </c>
      <c r="J249" s="70">
        <f t="shared" si="7"/>
        <v>0.1846997389</v>
      </c>
    </row>
    <row r="250" ht="22.5" customHeight="1" outlineLevel="2">
      <c r="A250" s="66" t="s">
        <v>547</v>
      </c>
      <c r="B250" s="67" t="s">
        <v>312</v>
      </c>
      <c r="C250" s="67" t="s">
        <v>401</v>
      </c>
      <c r="D250" s="68">
        <v>45190.0</v>
      </c>
      <c r="E250" s="68">
        <v>45198.0</v>
      </c>
      <c r="F250" s="69">
        <v>5.5E7</v>
      </c>
      <c r="G250" s="69">
        <v>5.5E7</v>
      </c>
      <c r="H250" s="69">
        <v>1.0209E7</v>
      </c>
      <c r="I250" s="69">
        <v>5.5E7</v>
      </c>
      <c r="J250" s="70">
        <f t="shared" si="7"/>
        <v>0.1856181818</v>
      </c>
    </row>
    <row r="251" ht="22.5" customHeight="1" outlineLevel="2">
      <c r="A251" s="66" t="s">
        <v>548</v>
      </c>
      <c r="B251" s="67" t="s">
        <v>358</v>
      </c>
      <c r="C251" s="67" t="s">
        <v>549</v>
      </c>
      <c r="D251" s="68">
        <v>45184.0</v>
      </c>
      <c r="E251" s="68">
        <v>45233.0</v>
      </c>
      <c r="F251" s="69">
        <v>2.9744E9</v>
      </c>
      <c r="G251" s="69">
        <v>2.9744E9</v>
      </c>
      <c r="H251" s="69">
        <v>2.47322874E8</v>
      </c>
      <c r="I251" s="69">
        <v>2.9744E9</v>
      </c>
      <c r="J251" s="70">
        <f t="shared" si="7"/>
        <v>0.08315050901</v>
      </c>
    </row>
    <row r="252" ht="22.5" customHeight="1" outlineLevel="2">
      <c r="A252" s="66" t="s">
        <v>550</v>
      </c>
      <c r="B252" s="67" t="s">
        <v>358</v>
      </c>
      <c r="C252" s="67" t="s">
        <v>551</v>
      </c>
      <c r="D252" s="68">
        <v>45184.0</v>
      </c>
      <c r="E252" s="68">
        <v>45233.0</v>
      </c>
      <c r="F252" s="69">
        <v>1.39842E9</v>
      </c>
      <c r="G252" s="69">
        <v>1.39842E9</v>
      </c>
      <c r="H252" s="69">
        <v>1.4690767E8</v>
      </c>
      <c r="I252" s="69">
        <v>1.39842E9</v>
      </c>
      <c r="J252" s="70">
        <f t="shared" si="7"/>
        <v>0.1050526094</v>
      </c>
    </row>
    <row r="253" ht="22.5" customHeight="1" outlineLevel="2">
      <c r="A253" s="66" t="s">
        <v>552</v>
      </c>
      <c r="B253" s="67" t="s">
        <v>358</v>
      </c>
      <c r="C253" s="67" t="s">
        <v>553</v>
      </c>
      <c r="D253" s="68">
        <v>45184.0</v>
      </c>
      <c r="E253" s="68">
        <v>45236.0</v>
      </c>
      <c r="F253" s="69">
        <v>1.39842E9</v>
      </c>
      <c r="G253" s="69">
        <v>1.39842E9</v>
      </c>
      <c r="H253" s="69">
        <v>1.5315767E8</v>
      </c>
      <c r="I253" s="69">
        <v>1.39842E9</v>
      </c>
      <c r="J253" s="70">
        <f t="shared" si="7"/>
        <v>0.109521939</v>
      </c>
    </row>
    <row r="254" ht="22.5" customHeight="1" outlineLevel="2">
      <c r="A254" s="66" t="s">
        <v>554</v>
      </c>
      <c r="B254" s="67" t="s">
        <v>358</v>
      </c>
      <c r="C254" s="67" t="s">
        <v>555</v>
      </c>
      <c r="D254" s="68">
        <v>45184.0</v>
      </c>
      <c r="E254" s="68">
        <v>45233.0</v>
      </c>
      <c r="F254" s="69">
        <v>6.9921E8</v>
      </c>
      <c r="G254" s="69">
        <v>6.9921E8</v>
      </c>
      <c r="H254" s="69">
        <v>7.6578835E7</v>
      </c>
      <c r="I254" s="69">
        <v>6.9921E8</v>
      </c>
      <c r="J254" s="70">
        <f t="shared" si="7"/>
        <v>0.109521939</v>
      </c>
    </row>
    <row r="255" ht="22.5" customHeight="1" outlineLevel="2">
      <c r="A255" s="66" t="s">
        <v>556</v>
      </c>
      <c r="B255" s="67" t="s">
        <v>358</v>
      </c>
      <c r="C255" s="67" t="s">
        <v>557</v>
      </c>
      <c r="D255" s="68">
        <v>45184.0</v>
      </c>
      <c r="E255" s="68">
        <v>45233.0</v>
      </c>
      <c r="F255" s="69">
        <v>4.19526E8</v>
      </c>
      <c r="G255" s="69">
        <v>4.19526E8</v>
      </c>
      <c r="H255" s="69">
        <v>4.5947301E7</v>
      </c>
      <c r="I255" s="69">
        <v>4.19526E8</v>
      </c>
      <c r="J255" s="70">
        <f t="shared" si="7"/>
        <v>0.109521939</v>
      </c>
    </row>
    <row r="256" ht="22.5" customHeight="1" outlineLevel="2">
      <c r="A256" s="66" t="s">
        <v>558</v>
      </c>
      <c r="B256" s="67" t="s">
        <v>358</v>
      </c>
      <c r="C256" s="67" t="s">
        <v>559</v>
      </c>
      <c r="D256" s="68">
        <v>45184.0</v>
      </c>
      <c r="E256" s="68">
        <v>45233.0</v>
      </c>
      <c r="F256" s="69">
        <v>4.19526E8</v>
      </c>
      <c r="G256" s="69">
        <v>4.19526E8</v>
      </c>
      <c r="H256" s="69">
        <v>4.5947301E7</v>
      </c>
      <c r="I256" s="69">
        <v>4.19526E8</v>
      </c>
      <c r="J256" s="70">
        <f t="shared" si="7"/>
        <v>0.109521939</v>
      </c>
    </row>
    <row r="257" ht="22.5" customHeight="1" outlineLevel="2">
      <c r="A257" s="66" t="s">
        <v>560</v>
      </c>
      <c r="B257" s="67" t="s">
        <v>358</v>
      </c>
      <c r="C257" s="67" t="s">
        <v>561</v>
      </c>
      <c r="D257" s="68">
        <v>45184.0</v>
      </c>
      <c r="E257" s="68">
        <v>45233.0</v>
      </c>
      <c r="F257" s="69">
        <v>2.79684E8</v>
      </c>
      <c r="G257" s="69">
        <v>2.79684E8</v>
      </c>
      <c r="H257" s="69">
        <v>3.0631534E7</v>
      </c>
      <c r="I257" s="69">
        <v>2.79684E8</v>
      </c>
      <c r="J257" s="70">
        <f t="shared" si="7"/>
        <v>0.109521939</v>
      </c>
    </row>
    <row r="258" ht="22.5" customHeight="1" outlineLevel="2">
      <c r="A258" s="66" t="s">
        <v>562</v>
      </c>
      <c r="B258" s="67" t="s">
        <v>358</v>
      </c>
      <c r="C258" s="67" t="s">
        <v>563</v>
      </c>
      <c r="D258" s="68">
        <v>45184.0</v>
      </c>
      <c r="E258" s="68">
        <v>45233.0</v>
      </c>
      <c r="F258" s="69">
        <v>2.79684E8</v>
      </c>
      <c r="G258" s="69">
        <v>2.79684E8</v>
      </c>
      <c r="H258" s="69">
        <v>3.0631534E7</v>
      </c>
      <c r="I258" s="69">
        <v>2.79684E8</v>
      </c>
      <c r="J258" s="70">
        <f t="shared" si="7"/>
        <v>0.109521939</v>
      </c>
    </row>
    <row r="259" ht="22.5" customHeight="1" outlineLevel="2">
      <c r="A259" s="66" t="s">
        <v>564</v>
      </c>
      <c r="B259" s="67" t="s">
        <v>358</v>
      </c>
      <c r="C259" s="67" t="s">
        <v>565</v>
      </c>
      <c r="D259" s="68">
        <v>45184.0</v>
      </c>
      <c r="E259" s="68">
        <v>45233.0</v>
      </c>
      <c r="F259" s="69">
        <v>1.39842E8</v>
      </c>
      <c r="G259" s="69">
        <v>1.39842E8</v>
      </c>
      <c r="H259" s="69">
        <v>1.5315767E7</v>
      </c>
      <c r="I259" s="69">
        <v>1.39842E8</v>
      </c>
      <c r="J259" s="70">
        <f t="shared" si="7"/>
        <v>0.109521939</v>
      </c>
    </row>
    <row r="260" ht="22.5" customHeight="1" outlineLevel="2">
      <c r="A260" s="66" t="s">
        <v>566</v>
      </c>
      <c r="B260" s="67" t="s">
        <v>358</v>
      </c>
      <c r="C260" s="67" t="s">
        <v>567</v>
      </c>
      <c r="D260" s="68">
        <v>45184.0</v>
      </c>
      <c r="E260" s="68">
        <v>45236.0</v>
      </c>
      <c r="F260" s="69">
        <v>1.39842E8</v>
      </c>
      <c r="G260" s="69">
        <v>1.39842E8</v>
      </c>
      <c r="H260" s="69">
        <v>1.5315767E7</v>
      </c>
      <c r="I260" s="69">
        <v>1.39842E8</v>
      </c>
      <c r="J260" s="70">
        <f t="shared" si="7"/>
        <v>0.109521939</v>
      </c>
    </row>
    <row r="261" ht="22.5" customHeight="1" outlineLevel="2">
      <c r="A261" s="66" t="s">
        <v>568</v>
      </c>
      <c r="B261" s="67" t="s">
        <v>358</v>
      </c>
      <c r="C261" s="67" t="s">
        <v>569</v>
      </c>
      <c r="D261" s="68">
        <v>45184.0</v>
      </c>
      <c r="E261" s="68">
        <v>45236.0</v>
      </c>
      <c r="F261" s="69">
        <v>1.39842E8</v>
      </c>
      <c r="G261" s="69">
        <v>1.39842E8</v>
      </c>
      <c r="H261" s="69">
        <v>1.5315767E7</v>
      </c>
      <c r="I261" s="69">
        <v>1.39842E8</v>
      </c>
      <c r="J261" s="70">
        <f t="shared" si="7"/>
        <v>0.109521939</v>
      </c>
    </row>
    <row r="262" ht="22.5" customHeight="1" outlineLevel="2">
      <c r="A262" s="66" t="s">
        <v>570</v>
      </c>
      <c r="B262" s="67" t="s">
        <v>338</v>
      </c>
      <c r="C262" s="67" t="s">
        <v>571</v>
      </c>
      <c r="D262" s="68">
        <v>45183.0</v>
      </c>
      <c r="E262" s="68">
        <v>45201.0</v>
      </c>
      <c r="F262" s="69">
        <v>2.6375E9</v>
      </c>
      <c r="G262" s="69">
        <v>2.6375E9</v>
      </c>
      <c r="H262" s="69">
        <v>4.1906925E8</v>
      </c>
      <c r="I262" s="69"/>
      <c r="J262" s="70">
        <f t="shared" si="7"/>
        <v>0.1588888152</v>
      </c>
    </row>
    <row r="263" ht="22.5" customHeight="1" outlineLevel="2">
      <c r="A263" s="66" t="s">
        <v>572</v>
      </c>
      <c r="B263" s="67" t="s">
        <v>297</v>
      </c>
      <c r="C263" s="67" t="s">
        <v>573</v>
      </c>
      <c r="D263" s="68">
        <v>45188.0</v>
      </c>
      <c r="E263" s="68">
        <v>45188.0</v>
      </c>
      <c r="F263" s="69">
        <v>1.5034E7</v>
      </c>
      <c r="G263" s="69">
        <v>1.5034E7</v>
      </c>
      <c r="H263" s="69">
        <v>5478570.555555556</v>
      </c>
      <c r="I263" s="69">
        <v>1.5034E7</v>
      </c>
      <c r="J263" s="70">
        <f t="shared" si="7"/>
        <v>0.3644120364</v>
      </c>
    </row>
    <row r="264" ht="22.5" customHeight="1" outlineLevel="2">
      <c r="A264" s="66" t="s">
        <v>574</v>
      </c>
      <c r="B264" s="67" t="s">
        <v>338</v>
      </c>
      <c r="C264" s="67" t="s">
        <v>363</v>
      </c>
      <c r="D264" s="68">
        <v>45188.0</v>
      </c>
      <c r="E264" s="68">
        <v>45195.0</v>
      </c>
      <c r="F264" s="69">
        <v>1.615923E9</v>
      </c>
      <c r="G264" s="69">
        <v>1.615923E9</v>
      </c>
      <c r="H264" s="69">
        <v>1.170676405250001E8</v>
      </c>
      <c r="I264" s="69">
        <v>1.615923E9</v>
      </c>
      <c r="J264" s="70">
        <f t="shared" si="7"/>
        <v>0.07244629882</v>
      </c>
    </row>
    <row r="265" ht="22.5" customHeight="1" outlineLevel="2">
      <c r="A265" s="66" t="s">
        <v>575</v>
      </c>
      <c r="B265" s="67" t="s">
        <v>293</v>
      </c>
      <c r="C265" s="67" t="s">
        <v>363</v>
      </c>
      <c r="D265" s="68">
        <v>45188.0</v>
      </c>
      <c r="E265" s="68">
        <v>45191.0</v>
      </c>
      <c r="F265" s="69">
        <v>2.247168E9</v>
      </c>
      <c r="G265" s="69">
        <v>2.247168E9</v>
      </c>
      <c r="H265" s="69">
        <v>1.3913661E8</v>
      </c>
      <c r="I265" s="69">
        <v>2.247168E9</v>
      </c>
      <c r="J265" s="70">
        <f t="shared" si="7"/>
        <v>0.06191642547</v>
      </c>
    </row>
    <row r="266" ht="22.5" customHeight="1" outlineLevel="2">
      <c r="A266" s="66" t="s">
        <v>576</v>
      </c>
      <c r="B266" s="67" t="s">
        <v>577</v>
      </c>
      <c r="C266" s="67" t="s">
        <v>578</v>
      </c>
      <c r="D266" s="68">
        <v>45194.0</v>
      </c>
      <c r="E266" s="68">
        <v>45195.0</v>
      </c>
      <c r="F266" s="69">
        <v>9808000.0</v>
      </c>
      <c r="G266" s="69">
        <v>9808000.0</v>
      </c>
      <c r="H266" s="69">
        <v>3808389.166666667</v>
      </c>
      <c r="I266" s="69">
        <v>9808000.0</v>
      </c>
      <c r="J266" s="70">
        <f t="shared" si="7"/>
        <v>0.3882941646</v>
      </c>
    </row>
    <row r="267" ht="22.5" customHeight="1" outlineLevel="2">
      <c r="A267" s="66" t="s">
        <v>579</v>
      </c>
      <c r="B267" s="67" t="s">
        <v>309</v>
      </c>
      <c r="C267" s="67" t="s">
        <v>580</v>
      </c>
      <c r="D267" s="68">
        <v>45191.0</v>
      </c>
      <c r="E267" s="68">
        <v>45196.0</v>
      </c>
      <c r="F267" s="69">
        <v>4.32E7</v>
      </c>
      <c r="G267" s="69">
        <v>4.32E7</v>
      </c>
      <c r="H267" s="69">
        <v>2.7336199166666664E7</v>
      </c>
      <c r="I267" s="69">
        <v>4.32E7</v>
      </c>
      <c r="J267" s="70">
        <f t="shared" si="7"/>
        <v>0.6327823881</v>
      </c>
    </row>
    <row r="268" ht="22.5" customHeight="1" outlineLevel="2">
      <c r="A268" s="66" t="s">
        <v>581</v>
      </c>
      <c r="B268" s="67" t="s">
        <v>293</v>
      </c>
      <c r="C268" s="67" t="s">
        <v>582</v>
      </c>
      <c r="D268" s="68">
        <v>45197.0</v>
      </c>
      <c r="E268" s="68">
        <v>45201.0</v>
      </c>
      <c r="F268" s="69">
        <v>1.58392E8</v>
      </c>
      <c r="G268" s="69">
        <v>1.58392E8</v>
      </c>
      <c r="H268" s="69">
        <v>6.486141225E7</v>
      </c>
      <c r="I268" s="69">
        <v>1.58392E8</v>
      </c>
      <c r="J268" s="70">
        <f t="shared" si="7"/>
        <v>0.4094992945</v>
      </c>
    </row>
    <row r="269" ht="22.5" customHeight="1" outlineLevel="2">
      <c r="A269" s="66" t="s">
        <v>583</v>
      </c>
      <c r="B269" s="67" t="s">
        <v>297</v>
      </c>
      <c r="C269" s="67" t="s">
        <v>584</v>
      </c>
      <c r="D269" s="68">
        <v>45195.0</v>
      </c>
      <c r="E269" s="68">
        <v>45198.0</v>
      </c>
      <c r="F269" s="69">
        <v>7992000.0</v>
      </c>
      <c r="G269" s="69">
        <v>7992000.0</v>
      </c>
      <c r="H269" s="69">
        <v>1718383.888888889</v>
      </c>
      <c r="I269" s="69"/>
      <c r="J269" s="70">
        <f t="shared" si="7"/>
        <v>0.2150129991</v>
      </c>
    </row>
    <row r="270" ht="22.5" customHeight="1" outlineLevel="2">
      <c r="A270" s="66" t="s">
        <v>585</v>
      </c>
      <c r="B270" s="67" t="s">
        <v>309</v>
      </c>
      <c r="C270" s="67" t="s">
        <v>586</v>
      </c>
      <c r="D270" s="68">
        <v>45197.0</v>
      </c>
      <c r="E270" s="68">
        <v>45198.0</v>
      </c>
      <c r="F270" s="69">
        <v>7.2E7</v>
      </c>
      <c r="G270" s="69">
        <v>7.2E7</v>
      </c>
      <c r="H270" s="69">
        <v>2.6702673E7</v>
      </c>
      <c r="I270" s="69">
        <v>7.2E7</v>
      </c>
      <c r="J270" s="70">
        <f t="shared" si="7"/>
        <v>0.3708704583</v>
      </c>
    </row>
    <row r="271" ht="22.5" customHeight="1" outlineLevel="2">
      <c r="A271" s="66" t="s">
        <v>587</v>
      </c>
      <c r="B271" s="67" t="s">
        <v>293</v>
      </c>
      <c r="C271" s="67" t="s">
        <v>588</v>
      </c>
      <c r="D271" s="68">
        <v>45196.0</v>
      </c>
      <c r="E271" s="68">
        <v>45203.0</v>
      </c>
      <c r="F271" s="69">
        <v>1.4514E8</v>
      </c>
      <c r="G271" s="69">
        <v>1.4514E8</v>
      </c>
      <c r="H271" s="69">
        <v>3.751895E7</v>
      </c>
      <c r="I271" s="69">
        <v>1.4514E8</v>
      </c>
      <c r="J271" s="70">
        <f t="shared" si="7"/>
        <v>0.2585017914</v>
      </c>
    </row>
    <row r="272" ht="22.5" customHeight="1" outlineLevel="2">
      <c r="A272" s="66" t="s">
        <v>589</v>
      </c>
      <c r="B272" s="67" t="s">
        <v>293</v>
      </c>
      <c r="C272" s="67" t="s">
        <v>379</v>
      </c>
      <c r="D272" s="68">
        <v>45201.0</v>
      </c>
      <c r="E272" s="68">
        <v>45205.0</v>
      </c>
      <c r="F272" s="69">
        <v>2.4125E7</v>
      </c>
      <c r="G272" s="69">
        <v>2.4125E7</v>
      </c>
      <c r="H272" s="69">
        <v>9339456.0</v>
      </c>
      <c r="I272" s="69">
        <v>2.4125E7</v>
      </c>
      <c r="J272" s="70">
        <f t="shared" si="7"/>
        <v>0.3871277098</v>
      </c>
    </row>
    <row r="273" ht="22.5" customHeight="1" outlineLevel="2">
      <c r="A273" s="66" t="s">
        <v>590</v>
      </c>
      <c r="B273" s="67" t="s">
        <v>309</v>
      </c>
      <c r="C273" s="67" t="s">
        <v>580</v>
      </c>
      <c r="D273" s="68">
        <v>45202.0</v>
      </c>
      <c r="E273" s="68">
        <v>45208.0</v>
      </c>
      <c r="F273" s="69">
        <v>2.88E7</v>
      </c>
      <c r="G273" s="69">
        <v>2.88E7</v>
      </c>
      <c r="H273" s="69">
        <v>1.7600538888888888E7</v>
      </c>
      <c r="I273" s="69">
        <v>2.88E7</v>
      </c>
      <c r="J273" s="70">
        <f t="shared" si="7"/>
        <v>0.6111298225</v>
      </c>
    </row>
    <row r="274" ht="22.5" customHeight="1" outlineLevel="2">
      <c r="A274" s="66" t="s">
        <v>591</v>
      </c>
      <c r="B274" s="67" t="s">
        <v>297</v>
      </c>
      <c r="C274" s="67" t="s">
        <v>592</v>
      </c>
      <c r="D274" s="68">
        <v>45202.0</v>
      </c>
      <c r="E274" s="68">
        <v>45204.0</v>
      </c>
      <c r="F274" s="69">
        <v>9722000.0</v>
      </c>
      <c r="G274" s="69">
        <v>9722000.0</v>
      </c>
      <c r="H274" s="69">
        <v>3454633.888888889</v>
      </c>
      <c r="I274" s="69">
        <v>9722000.0</v>
      </c>
      <c r="J274" s="70">
        <f t="shared" si="7"/>
        <v>0.3553418935</v>
      </c>
    </row>
    <row r="275" ht="22.5" customHeight="1" outlineLevel="2">
      <c r="A275" s="66" t="s">
        <v>593</v>
      </c>
      <c r="B275" s="67" t="s">
        <v>293</v>
      </c>
      <c r="C275" s="67" t="s">
        <v>482</v>
      </c>
      <c r="D275" s="68">
        <v>45177.0</v>
      </c>
      <c r="E275" s="68">
        <v>45209.0</v>
      </c>
      <c r="F275" s="69">
        <v>4.84E7</v>
      </c>
      <c r="G275" s="69">
        <v>4.84E7</v>
      </c>
      <c r="H275" s="69">
        <v>1.361265E7</v>
      </c>
      <c r="I275" s="69">
        <v>4.84E7</v>
      </c>
      <c r="J275" s="70">
        <f t="shared" si="7"/>
        <v>0.2812530992</v>
      </c>
    </row>
    <row r="276" ht="22.5" customHeight="1" outlineLevel="2">
      <c r="A276" s="66" t="s">
        <v>594</v>
      </c>
      <c r="B276" s="67" t="s">
        <v>293</v>
      </c>
      <c r="C276" s="67" t="s">
        <v>399</v>
      </c>
      <c r="D276" s="68">
        <v>45203.0</v>
      </c>
      <c r="E276" s="68">
        <v>45224.0</v>
      </c>
      <c r="F276" s="69">
        <v>2.315E7</v>
      </c>
      <c r="G276" s="69">
        <v>2.315E7</v>
      </c>
      <c r="H276" s="69">
        <v>1.4977109125E7</v>
      </c>
      <c r="I276" s="69">
        <v>2.315E7</v>
      </c>
      <c r="J276" s="70">
        <f t="shared" si="7"/>
        <v>0.6469593575</v>
      </c>
    </row>
    <row r="277" ht="22.5" customHeight="1" outlineLevel="2">
      <c r="A277" s="66" t="s">
        <v>595</v>
      </c>
      <c r="B277" s="67" t="s">
        <v>596</v>
      </c>
      <c r="C277" s="67" t="s">
        <v>399</v>
      </c>
      <c r="D277" s="68">
        <v>45203.0</v>
      </c>
      <c r="E277" s="68">
        <v>45224.0</v>
      </c>
      <c r="F277" s="69">
        <v>1.164E7</v>
      </c>
      <c r="G277" s="69">
        <v>1.164E7</v>
      </c>
      <c r="H277" s="69">
        <v>4799626.0</v>
      </c>
      <c r="I277" s="69">
        <v>1.164E7</v>
      </c>
      <c r="J277" s="70">
        <f t="shared" si="7"/>
        <v>0.4123390034</v>
      </c>
    </row>
    <row r="278" ht="22.5" customHeight="1" outlineLevel="2">
      <c r="A278" s="66" t="s">
        <v>597</v>
      </c>
      <c r="B278" s="67" t="s">
        <v>299</v>
      </c>
      <c r="C278" s="67" t="s">
        <v>482</v>
      </c>
      <c r="D278" s="68">
        <v>45208.0</v>
      </c>
      <c r="E278" s="68">
        <v>45209.0</v>
      </c>
      <c r="F278" s="69">
        <v>1.3608E8</v>
      </c>
      <c r="G278" s="69">
        <v>1.3608E8</v>
      </c>
      <c r="H278" s="69">
        <v>4.5562352E7</v>
      </c>
      <c r="I278" s="69">
        <v>1.3608E8</v>
      </c>
      <c r="J278" s="70">
        <f t="shared" si="7"/>
        <v>0.334820341</v>
      </c>
    </row>
    <row r="279" ht="22.5" customHeight="1" outlineLevel="2">
      <c r="A279" s="66" t="s">
        <v>598</v>
      </c>
      <c r="B279" s="67" t="s">
        <v>293</v>
      </c>
      <c r="C279" s="67" t="s">
        <v>599</v>
      </c>
      <c r="D279" s="68">
        <v>45201.0</v>
      </c>
      <c r="E279" s="68">
        <v>45210.0</v>
      </c>
      <c r="F279" s="69">
        <v>7.4694375E8</v>
      </c>
      <c r="G279" s="69">
        <v>7.4694375E8</v>
      </c>
      <c r="H279" s="69">
        <v>5.17636188125E7</v>
      </c>
      <c r="I279" s="69">
        <v>1.4938875E9</v>
      </c>
      <c r="J279" s="70">
        <f t="shared" si="7"/>
        <v>0.06930055819</v>
      </c>
    </row>
    <row r="280" ht="22.5" customHeight="1" outlineLevel="2">
      <c r="A280" s="66" t="s">
        <v>600</v>
      </c>
      <c r="B280" s="67" t="s">
        <v>303</v>
      </c>
      <c r="C280" s="67" t="s">
        <v>601</v>
      </c>
      <c r="D280" s="68">
        <v>45205.0</v>
      </c>
      <c r="E280" s="68">
        <v>45229.0</v>
      </c>
      <c r="F280" s="69">
        <v>5.4E7</v>
      </c>
      <c r="G280" s="69">
        <v>5.4E7</v>
      </c>
      <c r="H280" s="69">
        <v>1.603116E7</v>
      </c>
      <c r="I280" s="69">
        <v>5.4E7</v>
      </c>
      <c r="J280" s="70">
        <f t="shared" si="7"/>
        <v>0.2968733333</v>
      </c>
    </row>
    <row r="281" ht="22.5" customHeight="1" outlineLevel="2">
      <c r="A281" s="66" t="s">
        <v>602</v>
      </c>
      <c r="B281" s="67" t="s">
        <v>297</v>
      </c>
      <c r="C281" s="67" t="s">
        <v>603</v>
      </c>
      <c r="D281" s="68">
        <v>45212.0</v>
      </c>
      <c r="E281" s="68">
        <v>45212.0</v>
      </c>
      <c r="F281" s="69">
        <v>9760000.0</v>
      </c>
      <c r="G281" s="69">
        <v>9760000.0</v>
      </c>
      <c r="H281" s="69">
        <v>3468079.444444444</v>
      </c>
      <c r="I281" s="69">
        <v>9760000.0</v>
      </c>
      <c r="J281" s="70">
        <f t="shared" si="7"/>
        <v>0.3553360087</v>
      </c>
    </row>
    <row r="282" ht="22.5" customHeight="1" outlineLevel="2">
      <c r="A282" s="66" t="s">
        <v>604</v>
      </c>
      <c r="B282" s="67" t="s">
        <v>297</v>
      </c>
      <c r="C282" s="67" t="s">
        <v>423</v>
      </c>
      <c r="D282" s="68">
        <v>45215.0</v>
      </c>
      <c r="E282" s="68">
        <v>45217.0</v>
      </c>
      <c r="F282" s="69">
        <v>9753000.0</v>
      </c>
      <c r="G282" s="69">
        <v>9753000.0</v>
      </c>
      <c r="H282" s="69">
        <v>3461079.444444444</v>
      </c>
      <c r="I282" s="69">
        <v>9753000.0</v>
      </c>
      <c r="J282" s="70">
        <f t="shared" si="7"/>
        <v>0.3548733153</v>
      </c>
    </row>
    <row r="283" ht="22.5" customHeight="1" outlineLevel="2">
      <c r="A283" s="66" t="s">
        <v>605</v>
      </c>
      <c r="B283" s="67" t="s">
        <v>309</v>
      </c>
      <c r="C283" s="67" t="s">
        <v>353</v>
      </c>
      <c r="D283" s="68">
        <v>45216.0</v>
      </c>
      <c r="E283" s="68">
        <v>45224.0</v>
      </c>
      <c r="F283" s="69">
        <v>6.95E7</v>
      </c>
      <c r="G283" s="69">
        <v>6.95E7</v>
      </c>
      <c r="H283" s="69">
        <v>3.32737325E7</v>
      </c>
      <c r="I283" s="69">
        <v>6.95E7</v>
      </c>
      <c r="J283" s="70">
        <f t="shared" si="7"/>
        <v>0.478758741</v>
      </c>
    </row>
    <row r="284" ht="22.5" customHeight="1" outlineLevel="2">
      <c r="A284" s="66" t="s">
        <v>606</v>
      </c>
      <c r="B284" s="67" t="s">
        <v>457</v>
      </c>
      <c r="C284" s="67" t="s">
        <v>607</v>
      </c>
      <c r="D284" s="68">
        <v>45217.0</v>
      </c>
      <c r="E284" s="68">
        <v>45231.0</v>
      </c>
      <c r="F284" s="69">
        <v>5.0E7</v>
      </c>
      <c r="G284" s="69">
        <v>5.0E7</v>
      </c>
      <c r="H284" s="69">
        <v>3.75E7</v>
      </c>
      <c r="I284" s="69">
        <v>5.0E7</v>
      </c>
      <c r="J284" s="70">
        <f t="shared" si="7"/>
        <v>0.75</v>
      </c>
    </row>
    <row r="285" ht="22.5" customHeight="1" outlineLevel="2">
      <c r="A285" s="66" t="s">
        <v>608</v>
      </c>
      <c r="B285" s="67" t="s">
        <v>297</v>
      </c>
      <c r="C285" s="67" t="s">
        <v>609</v>
      </c>
      <c r="D285" s="68">
        <v>45217.0</v>
      </c>
      <c r="E285" s="68">
        <v>45217.0</v>
      </c>
      <c r="F285" s="69">
        <v>2.2638E7</v>
      </c>
      <c r="G285" s="69">
        <v>2.2638E7</v>
      </c>
      <c r="H285" s="69">
        <v>9039838.475</v>
      </c>
      <c r="I285" s="69">
        <v>2.2638E7</v>
      </c>
      <c r="J285" s="70">
        <f t="shared" si="7"/>
        <v>0.3993214275</v>
      </c>
    </row>
    <row r="286" ht="22.5" customHeight="1" outlineLevel="2">
      <c r="A286" s="66" t="s">
        <v>610</v>
      </c>
      <c r="B286" s="67" t="s">
        <v>358</v>
      </c>
      <c r="C286" s="67" t="s">
        <v>488</v>
      </c>
      <c r="D286" s="68">
        <v>45215.0</v>
      </c>
      <c r="E286" s="68">
        <v>45222.0</v>
      </c>
      <c r="F286" s="69">
        <v>1.65E7</v>
      </c>
      <c r="G286" s="69">
        <v>1.65E7</v>
      </c>
      <c r="H286" s="69">
        <v>748324.0</v>
      </c>
      <c r="I286" s="69">
        <v>1.65E7</v>
      </c>
      <c r="J286" s="70">
        <f t="shared" si="7"/>
        <v>0.0453529697</v>
      </c>
    </row>
    <row r="287" ht="22.5" customHeight="1" outlineLevel="2">
      <c r="A287" s="66" t="s">
        <v>611</v>
      </c>
      <c r="B287" s="67" t="s">
        <v>303</v>
      </c>
      <c r="C287" s="67" t="s">
        <v>612</v>
      </c>
      <c r="D287" s="68">
        <v>45229.0</v>
      </c>
      <c r="E287" s="68"/>
      <c r="F287" s="69">
        <v>1.2E8</v>
      </c>
      <c r="G287" s="69">
        <v>0.0</v>
      </c>
      <c r="H287" s="69"/>
      <c r="I287" s="69">
        <v>6.0E7</v>
      </c>
      <c r="J287" s="70" t="str">
        <f t="shared" si="7"/>
        <v>#DIV/0!</v>
      </c>
    </row>
    <row r="288" ht="22.5" customHeight="1" outlineLevel="2">
      <c r="A288" s="66" t="s">
        <v>613</v>
      </c>
      <c r="B288" s="67" t="s">
        <v>358</v>
      </c>
      <c r="C288" s="67" t="s">
        <v>612</v>
      </c>
      <c r="D288" s="68">
        <v>45219.0</v>
      </c>
      <c r="E288" s="68">
        <v>45250.0</v>
      </c>
      <c r="F288" s="69">
        <v>3.45E8</v>
      </c>
      <c r="G288" s="69">
        <v>3.45E8</v>
      </c>
      <c r="H288" s="69">
        <v>3.8640836399999976E7</v>
      </c>
      <c r="I288" s="69">
        <v>3.45E8</v>
      </c>
      <c r="J288" s="70">
        <f t="shared" si="7"/>
        <v>0.1120024243</v>
      </c>
    </row>
    <row r="289" ht="22.5" customHeight="1" outlineLevel="2">
      <c r="A289" s="66" t="s">
        <v>614</v>
      </c>
      <c r="B289" s="67" t="s">
        <v>297</v>
      </c>
      <c r="C289" s="67" t="s">
        <v>615</v>
      </c>
      <c r="D289" s="68">
        <v>45217.0</v>
      </c>
      <c r="E289" s="68">
        <v>45217.0</v>
      </c>
      <c r="F289" s="69">
        <v>7555000.0</v>
      </c>
      <c r="G289" s="69">
        <v>7555000.0</v>
      </c>
      <c r="H289" s="69">
        <v>2621449.444444444</v>
      </c>
      <c r="I289" s="69">
        <v>7555000.0</v>
      </c>
      <c r="J289" s="70">
        <f t="shared" si="7"/>
        <v>0.3469820575</v>
      </c>
    </row>
    <row r="290" ht="22.5" customHeight="1" outlineLevel="2">
      <c r="A290" s="66" t="s">
        <v>616</v>
      </c>
      <c r="B290" s="67" t="s">
        <v>297</v>
      </c>
      <c r="C290" s="67" t="s">
        <v>394</v>
      </c>
      <c r="D290" s="68">
        <v>45217.0</v>
      </c>
      <c r="E290" s="68">
        <v>45217.0</v>
      </c>
      <c r="F290" s="69">
        <v>9777000.0</v>
      </c>
      <c r="G290" s="69">
        <v>9777000.0</v>
      </c>
      <c r="H290" s="69">
        <v>3465052.222222222</v>
      </c>
      <c r="I290" s="69">
        <v>9777000.0</v>
      </c>
      <c r="J290" s="70">
        <f t="shared" si="7"/>
        <v>0.3544085325</v>
      </c>
    </row>
    <row r="291" ht="22.5" customHeight="1" outlineLevel="2">
      <c r="A291" s="66" t="s">
        <v>617</v>
      </c>
      <c r="B291" s="67" t="s">
        <v>293</v>
      </c>
      <c r="C291" s="67" t="s">
        <v>618</v>
      </c>
      <c r="D291" s="68">
        <v>45217.0</v>
      </c>
      <c r="E291" s="68">
        <v>45225.0</v>
      </c>
      <c r="F291" s="69">
        <v>1.473908E8</v>
      </c>
      <c r="G291" s="69">
        <v>1.473908E8</v>
      </c>
      <c r="H291" s="69">
        <v>5.751445E7</v>
      </c>
      <c r="I291" s="69">
        <v>1.473908E8</v>
      </c>
      <c r="J291" s="70">
        <f t="shared" si="7"/>
        <v>0.3902173677</v>
      </c>
    </row>
    <row r="292" ht="22.5" customHeight="1" outlineLevel="2">
      <c r="A292" s="66" t="s">
        <v>619</v>
      </c>
      <c r="B292" s="67" t="s">
        <v>293</v>
      </c>
      <c r="C292" s="67" t="s">
        <v>620</v>
      </c>
      <c r="D292" s="68">
        <v>45222.0</v>
      </c>
      <c r="E292" s="68">
        <v>45225.0</v>
      </c>
      <c r="F292" s="69">
        <v>7.431365E7</v>
      </c>
      <c r="G292" s="69">
        <v>7.431365E7</v>
      </c>
      <c r="H292" s="69">
        <v>2.9251975E7</v>
      </c>
      <c r="I292" s="69">
        <v>7.431365E7</v>
      </c>
      <c r="J292" s="70">
        <f t="shared" si="7"/>
        <v>0.3936285595</v>
      </c>
    </row>
    <row r="293" ht="22.5" customHeight="1" outlineLevel="2">
      <c r="A293" s="66" t="s">
        <v>621</v>
      </c>
      <c r="B293" s="67" t="s">
        <v>309</v>
      </c>
      <c r="C293" s="67" t="s">
        <v>622</v>
      </c>
      <c r="D293" s="68">
        <v>45222.0</v>
      </c>
      <c r="E293" s="68">
        <v>45223.0</v>
      </c>
      <c r="F293" s="69">
        <v>1.44E7</v>
      </c>
      <c r="G293" s="69">
        <v>1.44E7</v>
      </c>
      <c r="H293" s="69">
        <v>8088052.222222222</v>
      </c>
      <c r="I293" s="69">
        <v>1.44E7</v>
      </c>
      <c r="J293" s="70">
        <f t="shared" si="7"/>
        <v>0.5616702932</v>
      </c>
    </row>
    <row r="294" ht="22.5" customHeight="1" outlineLevel="2">
      <c r="A294" s="66" t="s">
        <v>623</v>
      </c>
      <c r="B294" s="67" t="s">
        <v>338</v>
      </c>
      <c r="C294" s="67" t="s">
        <v>624</v>
      </c>
      <c r="D294" s="68">
        <v>45222.0</v>
      </c>
      <c r="E294" s="68">
        <v>45225.0</v>
      </c>
      <c r="F294" s="69">
        <v>3.92E7</v>
      </c>
      <c r="G294" s="69">
        <v>3.92E7</v>
      </c>
      <c r="H294" s="69">
        <v>3488640.3999999985</v>
      </c>
      <c r="I294" s="69">
        <v>3.92E7</v>
      </c>
      <c r="J294" s="70">
        <f t="shared" si="7"/>
        <v>0.08899592857</v>
      </c>
    </row>
    <row r="295" ht="22.5" customHeight="1" outlineLevel="2">
      <c r="A295" s="66" t="s">
        <v>625</v>
      </c>
      <c r="B295" s="67" t="s">
        <v>626</v>
      </c>
      <c r="C295" s="67" t="s">
        <v>627</v>
      </c>
      <c r="D295" s="68">
        <v>45223.0</v>
      </c>
      <c r="E295" s="68">
        <v>45229.0</v>
      </c>
      <c r="F295" s="69">
        <v>1.652238E8</v>
      </c>
      <c r="G295" s="69">
        <v>1.652238E8</v>
      </c>
      <c r="H295" s="69">
        <v>5.778263739999999E7</v>
      </c>
      <c r="I295" s="69">
        <v>1.652238E8</v>
      </c>
      <c r="J295" s="70">
        <f t="shared" si="7"/>
        <v>0.3497234503</v>
      </c>
    </row>
    <row r="296" ht="22.5" customHeight="1" outlineLevel="2">
      <c r="A296" s="66" t="s">
        <v>628</v>
      </c>
      <c r="B296" s="67" t="s">
        <v>297</v>
      </c>
      <c r="C296" s="67" t="s">
        <v>603</v>
      </c>
      <c r="D296" s="68">
        <v>45225.0</v>
      </c>
      <c r="E296" s="68">
        <v>45226.0</v>
      </c>
      <c r="F296" s="69">
        <v>9789000.0</v>
      </c>
      <c r="G296" s="69">
        <v>9789000.0</v>
      </c>
      <c r="H296" s="69">
        <v>3469385.888888889</v>
      </c>
      <c r="I296" s="69">
        <v>9789000.0</v>
      </c>
      <c r="J296" s="70">
        <f t="shared" si="7"/>
        <v>0.354416783</v>
      </c>
    </row>
    <row r="297" ht="22.5" customHeight="1" outlineLevel="2">
      <c r="A297" s="66" t="s">
        <v>629</v>
      </c>
      <c r="B297" s="67" t="s">
        <v>303</v>
      </c>
      <c r="C297" s="67" t="s">
        <v>630</v>
      </c>
      <c r="D297" s="68">
        <v>45226.0</v>
      </c>
      <c r="E297" s="68">
        <v>45251.0</v>
      </c>
      <c r="F297" s="69">
        <v>5.4E7</v>
      </c>
      <c r="G297" s="69">
        <v>5.4E7</v>
      </c>
      <c r="H297" s="69">
        <v>1.9803344E7</v>
      </c>
      <c r="I297" s="69">
        <v>5.4E7</v>
      </c>
      <c r="J297" s="70">
        <f t="shared" si="7"/>
        <v>0.3667285926</v>
      </c>
    </row>
    <row r="298" ht="22.5" customHeight="1" outlineLevel="2">
      <c r="A298" s="66" t="s">
        <v>631</v>
      </c>
      <c r="B298" s="67" t="s">
        <v>632</v>
      </c>
      <c r="C298" s="67" t="s">
        <v>633</v>
      </c>
      <c r="D298" s="68">
        <v>45230.0</v>
      </c>
      <c r="E298" s="68">
        <v>44996.0</v>
      </c>
      <c r="F298" s="69">
        <v>4.6875E7</v>
      </c>
      <c r="G298" s="69">
        <v>4.6875E7</v>
      </c>
      <c r="H298" s="69">
        <v>5708333.333333336</v>
      </c>
      <c r="I298" s="69">
        <v>4.6875E7</v>
      </c>
      <c r="J298" s="70">
        <f t="shared" si="7"/>
        <v>0.1217777778</v>
      </c>
    </row>
    <row r="299" ht="22.5" customHeight="1" outlineLevel="2">
      <c r="A299" s="66" t="s">
        <v>634</v>
      </c>
      <c r="B299" s="67" t="s">
        <v>293</v>
      </c>
      <c r="C299" s="67" t="s">
        <v>438</v>
      </c>
      <c r="D299" s="68">
        <v>45203.0</v>
      </c>
      <c r="E299" s="68">
        <v>45149.0</v>
      </c>
      <c r="F299" s="69">
        <v>5.4945E7</v>
      </c>
      <c r="G299" s="69">
        <v>5.4945E7</v>
      </c>
      <c r="H299" s="69">
        <v>8845987.5</v>
      </c>
      <c r="I299" s="69">
        <v>5.4945E7</v>
      </c>
      <c r="J299" s="70">
        <f t="shared" si="7"/>
        <v>0.1609971335</v>
      </c>
    </row>
    <row r="300" ht="22.5" customHeight="1" outlineLevel="2">
      <c r="A300" s="66" t="s">
        <v>635</v>
      </c>
      <c r="B300" s="67" t="s">
        <v>636</v>
      </c>
      <c r="C300" s="67" t="s">
        <v>637</v>
      </c>
      <c r="D300" s="68">
        <v>45231.0</v>
      </c>
      <c r="E300" s="68"/>
      <c r="F300" s="69">
        <v>1.0E8</v>
      </c>
      <c r="G300" s="69">
        <v>0.0</v>
      </c>
      <c r="H300" s="69"/>
      <c r="I300" s="69">
        <v>5.0E7</v>
      </c>
      <c r="J300" s="70" t="str">
        <f t="shared" si="7"/>
        <v>#DIV/0!</v>
      </c>
    </row>
    <row r="301" ht="22.5" customHeight="1" outlineLevel="2">
      <c r="A301" s="66" t="s">
        <v>638</v>
      </c>
      <c r="B301" s="67" t="s">
        <v>297</v>
      </c>
      <c r="C301" s="67" t="s">
        <v>639</v>
      </c>
      <c r="D301" s="68">
        <v>45232.0</v>
      </c>
      <c r="E301" s="68">
        <v>45233.0</v>
      </c>
      <c r="F301" s="69">
        <v>2.271E7</v>
      </c>
      <c r="G301" s="69">
        <v>2.271E7</v>
      </c>
      <c r="H301" s="69">
        <v>9089808.241666667</v>
      </c>
      <c r="I301" s="69">
        <v>2.271E7</v>
      </c>
      <c r="J301" s="70">
        <f t="shared" si="7"/>
        <v>0.400255757</v>
      </c>
    </row>
    <row r="302" ht="22.5" customHeight="1" outlineLevel="2">
      <c r="A302" s="66" t="s">
        <v>640</v>
      </c>
      <c r="B302" s="67" t="s">
        <v>457</v>
      </c>
      <c r="C302" s="67" t="s">
        <v>607</v>
      </c>
      <c r="D302" s="68">
        <v>45105.0</v>
      </c>
      <c r="E302" s="68">
        <v>45180.0</v>
      </c>
      <c r="F302" s="69">
        <v>1.0E7</v>
      </c>
      <c r="G302" s="69">
        <v>1.0E7</v>
      </c>
      <c r="H302" s="69">
        <v>1.0E7</v>
      </c>
      <c r="I302" s="69">
        <v>1.0E7</v>
      </c>
      <c r="J302" s="70">
        <f t="shared" si="7"/>
        <v>1</v>
      </c>
    </row>
    <row r="303" ht="22.5" customHeight="1" outlineLevel="2">
      <c r="A303" s="66" t="s">
        <v>641</v>
      </c>
      <c r="B303" s="67" t="s">
        <v>418</v>
      </c>
      <c r="C303" s="67" t="s">
        <v>642</v>
      </c>
      <c r="D303" s="68">
        <v>45230.0</v>
      </c>
      <c r="E303" s="68">
        <v>45289.0</v>
      </c>
      <c r="F303" s="69">
        <v>7.9978564E8</v>
      </c>
      <c r="G303" s="69">
        <v>7.97413295E8</v>
      </c>
      <c r="H303" s="69">
        <v>1.290677716754545E8</v>
      </c>
      <c r="I303" s="69">
        <v>7.9978564E8</v>
      </c>
      <c r="J303" s="70">
        <f t="shared" si="7"/>
        <v>0.1618580634</v>
      </c>
    </row>
    <row r="304" ht="22.5" customHeight="1" outlineLevel="2">
      <c r="A304" s="66" t="s">
        <v>643</v>
      </c>
      <c r="B304" s="67" t="s">
        <v>410</v>
      </c>
      <c r="C304" s="67" t="s">
        <v>644</v>
      </c>
      <c r="D304" s="68">
        <v>45236.0</v>
      </c>
      <c r="E304" s="68">
        <v>45243.0</v>
      </c>
      <c r="F304" s="69">
        <v>3.004375E8</v>
      </c>
      <c r="G304" s="69">
        <v>3.004375E8</v>
      </c>
      <c r="H304" s="69">
        <v>6.813631875E7</v>
      </c>
      <c r="I304" s="69">
        <v>3.004375E8</v>
      </c>
      <c r="J304" s="70">
        <f t="shared" si="7"/>
        <v>0.2267903266</v>
      </c>
    </row>
    <row r="305" ht="22.5" customHeight="1" outlineLevel="2">
      <c r="A305" s="66" t="s">
        <v>645</v>
      </c>
      <c r="B305" s="67" t="s">
        <v>297</v>
      </c>
      <c r="C305" s="67" t="s">
        <v>646</v>
      </c>
      <c r="D305" s="68">
        <v>45236.0</v>
      </c>
      <c r="E305" s="68">
        <v>45237.0</v>
      </c>
      <c r="F305" s="69">
        <v>5.7208E7</v>
      </c>
      <c r="G305" s="69">
        <v>5.7208E7</v>
      </c>
      <c r="H305" s="69">
        <v>2.31765524E7</v>
      </c>
      <c r="I305" s="69">
        <v>5.7208E7</v>
      </c>
      <c r="J305" s="70">
        <f t="shared" si="7"/>
        <v>0.4051278213</v>
      </c>
    </row>
    <row r="306" ht="22.5" customHeight="1" outlineLevel="2">
      <c r="A306" s="66" t="s">
        <v>647</v>
      </c>
      <c r="B306" s="67" t="s">
        <v>309</v>
      </c>
      <c r="C306" s="67" t="s">
        <v>648</v>
      </c>
      <c r="D306" s="68">
        <v>45237.0</v>
      </c>
      <c r="E306" s="68">
        <v>45238.0</v>
      </c>
      <c r="F306" s="69">
        <v>1.2E7</v>
      </c>
      <c r="G306" s="69">
        <v>1.2E7</v>
      </c>
      <c r="H306" s="69">
        <v>7060457.277777778</v>
      </c>
      <c r="I306" s="69">
        <v>1.2E7</v>
      </c>
      <c r="J306" s="70">
        <f t="shared" si="7"/>
        <v>0.5883714398</v>
      </c>
    </row>
    <row r="307" ht="22.5" customHeight="1" outlineLevel="2">
      <c r="A307" s="66" t="s">
        <v>649</v>
      </c>
      <c r="B307" s="67" t="s">
        <v>309</v>
      </c>
      <c r="C307" s="67" t="s">
        <v>650</v>
      </c>
      <c r="D307" s="68">
        <v>45236.0</v>
      </c>
      <c r="E307" s="68">
        <v>45253.0</v>
      </c>
      <c r="F307" s="69">
        <v>1.1532E8</v>
      </c>
      <c r="G307" s="69">
        <v>1.1532E8</v>
      </c>
      <c r="H307" s="69">
        <v>5.1826644E7</v>
      </c>
      <c r="I307" s="69">
        <v>1.1532E8</v>
      </c>
      <c r="J307" s="70">
        <f t="shared" si="7"/>
        <v>0.4494159209</v>
      </c>
    </row>
    <row r="308" ht="22.5" customHeight="1" outlineLevel="2">
      <c r="A308" s="66" t="s">
        <v>651</v>
      </c>
      <c r="B308" s="67" t="s">
        <v>293</v>
      </c>
      <c r="C308" s="67" t="s">
        <v>652</v>
      </c>
      <c r="D308" s="68">
        <v>45240.0</v>
      </c>
      <c r="E308" s="68">
        <v>45289.0</v>
      </c>
      <c r="F308" s="69">
        <v>1.61625E8</v>
      </c>
      <c r="G308" s="69">
        <v>1.61625E8</v>
      </c>
      <c r="H308" s="69">
        <v>1.811198375E7</v>
      </c>
      <c r="I308" s="69">
        <v>1.61625E8</v>
      </c>
      <c r="J308" s="70">
        <f t="shared" si="7"/>
        <v>0.1120617711</v>
      </c>
    </row>
    <row r="309" ht="22.5" customHeight="1" outlineLevel="2">
      <c r="A309" s="66" t="s">
        <v>653</v>
      </c>
      <c r="B309" s="67" t="s">
        <v>293</v>
      </c>
      <c r="C309" s="67" t="s">
        <v>654</v>
      </c>
      <c r="D309" s="68">
        <v>45239.0</v>
      </c>
      <c r="E309" s="68">
        <v>45285.0</v>
      </c>
      <c r="F309" s="69">
        <v>4.62E8</v>
      </c>
      <c r="G309" s="69">
        <v>4.62E8</v>
      </c>
      <c r="H309" s="69">
        <v>1.1207864E8</v>
      </c>
      <c r="I309" s="69">
        <v>4.62E8</v>
      </c>
      <c r="J309" s="70">
        <f t="shared" si="7"/>
        <v>0.2425944589</v>
      </c>
    </row>
    <row r="310" ht="22.5" customHeight="1" outlineLevel="2">
      <c r="A310" s="66" t="s">
        <v>655</v>
      </c>
      <c r="B310" s="67" t="s">
        <v>656</v>
      </c>
      <c r="C310" s="67" t="s">
        <v>344</v>
      </c>
      <c r="D310" s="68">
        <v>45240.0</v>
      </c>
      <c r="E310" s="68">
        <v>45264.0</v>
      </c>
      <c r="F310" s="69">
        <v>2.06183E8</v>
      </c>
      <c r="G310" s="69">
        <v>2.06183E8</v>
      </c>
      <c r="H310" s="69">
        <v>6.376231469999999E7</v>
      </c>
      <c r="I310" s="69">
        <v>2.06183E8</v>
      </c>
      <c r="J310" s="70">
        <f t="shared" si="7"/>
        <v>0.3092510765</v>
      </c>
    </row>
    <row r="311" ht="22.5" customHeight="1" outlineLevel="2">
      <c r="A311" s="66" t="s">
        <v>657</v>
      </c>
      <c r="B311" s="67" t="s">
        <v>352</v>
      </c>
      <c r="C311" s="67" t="s">
        <v>368</v>
      </c>
      <c r="D311" s="68">
        <v>45243.0</v>
      </c>
      <c r="E311" s="68">
        <v>45243.0</v>
      </c>
      <c r="F311" s="69">
        <v>1.31E7</v>
      </c>
      <c r="G311" s="69">
        <v>1.31E7</v>
      </c>
      <c r="H311" s="69">
        <v>6780385.888888889</v>
      </c>
      <c r="I311" s="69">
        <v>1.31E7</v>
      </c>
      <c r="J311" s="70">
        <f t="shared" si="7"/>
        <v>0.5175867091</v>
      </c>
    </row>
    <row r="312" ht="22.5" customHeight="1" outlineLevel="2">
      <c r="A312" s="66" t="s">
        <v>658</v>
      </c>
      <c r="B312" s="67" t="s">
        <v>659</v>
      </c>
      <c r="C312" s="67" t="s">
        <v>660</v>
      </c>
      <c r="D312" s="68">
        <v>45245.0</v>
      </c>
      <c r="E312" s="68">
        <v>45260.0</v>
      </c>
      <c r="F312" s="69">
        <v>3200000.0</v>
      </c>
      <c r="G312" s="69">
        <v>1.28E7</v>
      </c>
      <c r="H312" s="69">
        <v>2796713.157894736</v>
      </c>
      <c r="I312" s="69">
        <v>3200000.0</v>
      </c>
      <c r="J312" s="70">
        <f t="shared" si="7"/>
        <v>0.2184932155</v>
      </c>
    </row>
    <row r="313" ht="22.5" customHeight="1" outlineLevel="2">
      <c r="A313" s="66" t="s">
        <v>661</v>
      </c>
      <c r="B313" s="67" t="s">
        <v>457</v>
      </c>
      <c r="C313" s="67" t="s">
        <v>662</v>
      </c>
      <c r="D313" s="68">
        <v>45245.0</v>
      </c>
      <c r="E313" s="68">
        <v>45260.0</v>
      </c>
      <c r="F313" s="69">
        <v>1.2E7</v>
      </c>
      <c r="G313" s="69">
        <v>1.2E7</v>
      </c>
      <c r="H313" s="69"/>
      <c r="I313" s="69">
        <v>1.2E7</v>
      </c>
      <c r="J313" s="70">
        <f t="shared" si="7"/>
        <v>0</v>
      </c>
    </row>
    <row r="314" ht="22.5" customHeight="1" outlineLevel="2">
      <c r="A314" s="66" t="s">
        <v>663</v>
      </c>
      <c r="B314" s="67" t="s">
        <v>297</v>
      </c>
      <c r="C314" s="67" t="s">
        <v>664</v>
      </c>
      <c r="D314" s="68">
        <v>45245.0</v>
      </c>
      <c r="E314" s="68">
        <v>45246.0</v>
      </c>
      <c r="F314" s="69">
        <v>1.9356E7</v>
      </c>
      <c r="G314" s="69">
        <v>1.9356E7</v>
      </c>
      <c r="H314" s="69">
        <v>6964071.777777778</v>
      </c>
      <c r="I314" s="69">
        <v>1.9356E7</v>
      </c>
      <c r="J314" s="70">
        <f t="shared" si="7"/>
        <v>0.3597887879</v>
      </c>
    </row>
    <row r="315" ht="22.5" customHeight="1" outlineLevel="2">
      <c r="A315" s="66" t="s">
        <v>665</v>
      </c>
      <c r="B315" s="67" t="s">
        <v>457</v>
      </c>
      <c r="C315" s="67" t="s">
        <v>666</v>
      </c>
      <c r="D315" s="68">
        <v>45247.0</v>
      </c>
      <c r="E315" s="68">
        <v>45250.0</v>
      </c>
      <c r="F315" s="69">
        <v>2.4E7</v>
      </c>
      <c r="G315" s="69">
        <v>2.4E7</v>
      </c>
      <c r="H315" s="69">
        <v>1951000.0</v>
      </c>
      <c r="I315" s="69">
        <v>2.4E7</v>
      </c>
      <c r="J315" s="70">
        <f t="shared" si="7"/>
        <v>0.08129166667</v>
      </c>
    </row>
    <row r="316" ht="22.5" customHeight="1" outlineLevel="2">
      <c r="A316" s="66" t="s">
        <v>667</v>
      </c>
      <c r="B316" s="67" t="s">
        <v>668</v>
      </c>
      <c r="C316" s="67" t="s">
        <v>669</v>
      </c>
      <c r="D316" s="68">
        <v>45250.0</v>
      </c>
      <c r="E316" s="68">
        <v>45273.0</v>
      </c>
      <c r="F316" s="69">
        <v>2.8E8</v>
      </c>
      <c r="G316" s="69">
        <v>2.8E8</v>
      </c>
      <c r="H316" s="69">
        <v>6.572158E7</v>
      </c>
      <c r="I316" s="69">
        <v>2.8E8</v>
      </c>
      <c r="J316" s="70">
        <f t="shared" si="7"/>
        <v>0.2347199286</v>
      </c>
    </row>
    <row r="317" ht="22.5" customHeight="1" outlineLevel="2">
      <c r="A317" s="66" t="s">
        <v>670</v>
      </c>
      <c r="B317" s="67" t="s">
        <v>338</v>
      </c>
      <c r="C317" s="67" t="s">
        <v>671</v>
      </c>
      <c r="D317" s="68">
        <v>45226.0</v>
      </c>
      <c r="E317" s="68"/>
      <c r="F317" s="69">
        <v>9.12339E8</v>
      </c>
      <c r="G317" s="69"/>
      <c r="H317" s="69"/>
      <c r="I317" s="69"/>
      <c r="J317" s="70" t="str">
        <f t="shared" si="7"/>
        <v>#DIV/0!</v>
      </c>
    </row>
    <row r="318" ht="22.5" customHeight="1" outlineLevel="2">
      <c r="A318" s="66" t="s">
        <v>672</v>
      </c>
      <c r="B318" s="67" t="s">
        <v>673</v>
      </c>
      <c r="C318" s="67" t="s">
        <v>339</v>
      </c>
      <c r="D318" s="68">
        <v>45250.0</v>
      </c>
      <c r="E318" s="68">
        <v>45271.0</v>
      </c>
      <c r="F318" s="69">
        <v>3.0005E8</v>
      </c>
      <c r="G318" s="69">
        <v>3.0005E8</v>
      </c>
      <c r="H318" s="69">
        <v>9.900133486000001E7</v>
      </c>
      <c r="I318" s="69">
        <v>3.0005E8</v>
      </c>
      <c r="J318" s="70">
        <f t="shared" si="7"/>
        <v>0.329949458</v>
      </c>
    </row>
    <row r="319" ht="22.5" customHeight="1" outlineLevel="2">
      <c r="A319" s="66" t="s">
        <v>674</v>
      </c>
      <c r="B319" s="67" t="s">
        <v>297</v>
      </c>
      <c r="C319" s="67" t="s">
        <v>609</v>
      </c>
      <c r="D319" s="68">
        <v>45251.0</v>
      </c>
      <c r="E319" s="68">
        <v>45252.0</v>
      </c>
      <c r="F319" s="69">
        <v>2.2278E7</v>
      </c>
      <c r="G319" s="69">
        <v>2.2278E7</v>
      </c>
      <c r="H319" s="69">
        <v>8856080.341666667</v>
      </c>
      <c r="I319" s="69">
        <v>2.2278E7</v>
      </c>
      <c r="J319" s="70">
        <f t="shared" si="7"/>
        <v>0.3975258256</v>
      </c>
    </row>
    <row r="320" ht="22.5" customHeight="1" outlineLevel="2">
      <c r="A320" s="66" t="s">
        <v>675</v>
      </c>
      <c r="B320" s="67" t="s">
        <v>312</v>
      </c>
      <c r="C320" s="67" t="s">
        <v>676</v>
      </c>
      <c r="D320" s="68">
        <v>45253.0</v>
      </c>
      <c r="E320" s="68">
        <v>45281.0</v>
      </c>
      <c r="F320" s="69">
        <v>3.9E7</v>
      </c>
      <c r="G320" s="69">
        <v>3.9E7</v>
      </c>
      <c r="H320" s="69">
        <v>1.0053031296E7</v>
      </c>
      <c r="I320" s="69">
        <v>3.9E7</v>
      </c>
      <c r="J320" s="70">
        <f t="shared" si="7"/>
        <v>0.2577700332</v>
      </c>
    </row>
    <row r="321" ht="22.5" customHeight="1" outlineLevel="2">
      <c r="A321" s="66" t="s">
        <v>677</v>
      </c>
      <c r="B321" s="67" t="s">
        <v>293</v>
      </c>
      <c r="C321" s="67" t="s">
        <v>678</v>
      </c>
      <c r="D321" s="68">
        <v>45253.0</v>
      </c>
      <c r="E321" s="68">
        <v>45259.0</v>
      </c>
      <c r="F321" s="69">
        <v>9.49E7</v>
      </c>
      <c r="G321" s="69">
        <v>9.49E7</v>
      </c>
      <c r="H321" s="69">
        <v>4.3056827675E7</v>
      </c>
      <c r="I321" s="69">
        <v>9.49E7</v>
      </c>
      <c r="J321" s="70">
        <f t="shared" si="7"/>
        <v>0.4537073517</v>
      </c>
    </row>
    <row r="322" ht="22.5" customHeight="1" outlineLevel="2">
      <c r="A322" s="66" t="s">
        <v>679</v>
      </c>
      <c r="B322" s="67" t="s">
        <v>680</v>
      </c>
      <c r="C322" s="67" t="s">
        <v>393</v>
      </c>
      <c r="D322" s="68">
        <v>45247.0</v>
      </c>
      <c r="E322" s="68">
        <v>45259.0</v>
      </c>
      <c r="F322" s="69">
        <v>4.5E7</v>
      </c>
      <c r="G322" s="69">
        <v>4.5E7</v>
      </c>
      <c r="H322" s="69">
        <v>1.4629505E7</v>
      </c>
      <c r="I322" s="69">
        <v>4.5E7</v>
      </c>
      <c r="J322" s="70">
        <f t="shared" si="7"/>
        <v>0.3251001111</v>
      </c>
    </row>
    <row r="323" ht="22.5" customHeight="1" outlineLevel="2">
      <c r="A323" s="66" t="s">
        <v>681</v>
      </c>
      <c r="B323" s="67" t="s">
        <v>682</v>
      </c>
      <c r="C323" s="67" t="s">
        <v>399</v>
      </c>
      <c r="D323" s="68">
        <v>45203.0</v>
      </c>
      <c r="E323" s="68">
        <v>45285.0</v>
      </c>
      <c r="F323" s="69">
        <v>2.0E7</v>
      </c>
      <c r="G323" s="69">
        <v>2.0E7</v>
      </c>
      <c r="H323" s="69">
        <v>1627186.0</v>
      </c>
      <c r="I323" s="69"/>
      <c r="J323" s="70">
        <f t="shared" si="7"/>
        <v>0.0813593</v>
      </c>
    </row>
    <row r="324" ht="22.5" customHeight="1" outlineLevel="2">
      <c r="A324" s="66" t="s">
        <v>683</v>
      </c>
      <c r="B324" s="67" t="s">
        <v>297</v>
      </c>
      <c r="C324" s="67" t="s">
        <v>394</v>
      </c>
      <c r="D324" s="68">
        <v>45260.0</v>
      </c>
      <c r="E324" s="68">
        <v>45261.0</v>
      </c>
      <c r="F324" s="69">
        <v>1.9348E7</v>
      </c>
      <c r="G324" s="69">
        <v>1.9348E7</v>
      </c>
      <c r="H324" s="69">
        <v>7136463.777777778</v>
      </c>
      <c r="I324" s="69">
        <v>1.9348E7</v>
      </c>
      <c r="J324" s="70">
        <f t="shared" si="7"/>
        <v>0.3688476213</v>
      </c>
    </row>
    <row r="325" ht="22.5" customHeight="1" outlineLevel="2">
      <c r="A325" s="66" t="s">
        <v>684</v>
      </c>
      <c r="B325" s="67" t="s">
        <v>685</v>
      </c>
      <c r="C325" s="67" t="s">
        <v>549</v>
      </c>
      <c r="D325" s="68">
        <v>45260.0</v>
      </c>
      <c r="E325" s="68">
        <v>45287.0</v>
      </c>
      <c r="F325" s="69">
        <v>1.38312E8</v>
      </c>
      <c r="G325" s="69">
        <v>1.38312E8</v>
      </c>
      <c r="H325" s="69">
        <v>3.327685E7</v>
      </c>
      <c r="I325" s="69">
        <v>1.38312E8</v>
      </c>
      <c r="J325" s="70">
        <f t="shared" si="7"/>
        <v>0.2405926456</v>
      </c>
    </row>
    <row r="326" ht="22.5" customHeight="1" outlineLevel="2">
      <c r="A326" s="66" t="s">
        <v>686</v>
      </c>
      <c r="B326" s="67" t="s">
        <v>297</v>
      </c>
      <c r="C326" s="67" t="s">
        <v>394</v>
      </c>
      <c r="D326" s="68">
        <v>45264.0</v>
      </c>
      <c r="E326" s="68">
        <v>45264.0</v>
      </c>
      <c r="F326" s="69">
        <v>7181000.0</v>
      </c>
      <c r="G326" s="69">
        <v>7181000.0</v>
      </c>
      <c r="H326" s="69">
        <v>708585.2388888886</v>
      </c>
      <c r="I326" s="69">
        <v>7181000.0</v>
      </c>
      <c r="J326" s="70">
        <f t="shared" si="7"/>
        <v>0.0986750089</v>
      </c>
    </row>
    <row r="327" ht="22.5" customHeight="1" outlineLevel="2">
      <c r="A327" s="66" t="s">
        <v>687</v>
      </c>
      <c r="B327" s="67" t="s">
        <v>303</v>
      </c>
      <c r="C327" s="67" t="s">
        <v>688</v>
      </c>
      <c r="D327" s="68">
        <v>45265.0</v>
      </c>
      <c r="E327" s="68">
        <v>45271.0</v>
      </c>
      <c r="F327" s="69">
        <v>9.114E7</v>
      </c>
      <c r="G327" s="69">
        <v>9.114E7</v>
      </c>
      <c r="H327" s="69">
        <v>7530768.0</v>
      </c>
      <c r="I327" s="69">
        <v>9.114E7</v>
      </c>
      <c r="J327" s="70">
        <f t="shared" si="7"/>
        <v>0.08262857143</v>
      </c>
    </row>
    <row r="328" ht="22.5" customHeight="1" outlineLevel="2">
      <c r="A328" s="66" t="s">
        <v>689</v>
      </c>
      <c r="B328" s="67" t="s">
        <v>309</v>
      </c>
      <c r="C328" s="67" t="s">
        <v>690</v>
      </c>
      <c r="D328" s="68">
        <v>45259.0</v>
      </c>
      <c r="E328" s="68">
        <v>45289.0</v>
      </c>
      <c r="F328" s="69">
        <v>4.966E8</v>
      </c>
      <c r="G328" s="69">
        <v>4.966E8</v>
      </c>
      <c r="H328" s="69">
        <v>1.975157277777778E8</v>
      </c>
      <c r="I328" s="69"/>
      <c r="J328" s="70">
        <f t="shared" si="7"/>
        <v>0.3977360608</v>
      </c>
    </row>
    <row r="329" ht="22.5" customHeight="1" outlineLevel="2">
      <c r="A329" s="66" t="s">
        <v>691</v>
      </c>
      <c r="B329" s="67" t="s">
        <v>293</v>
      </c>
      <c r="C329" s="67" t="s">
        <v>624</v>
      </c>
      <c r="D329" s="68">
        <v>45265.0</v>
      </c>
      <c r="E329" s="68">
        <v>45267.0</v>
      </c>
      <c r="F329" s="69">
        <v>6.3063E7</v>
      </c>
      <c r="G329" s="69">
        <v>6.3063E7</v>
      </c>
      <c r="H329" s="69">
        <v>1.1678625E7</v>
      </c>
      <c r="I329" s="69">
        <v>6.3063E7</v>
      </c>
      <c r="J329" s="70">
        <f t="shared" si="7"/>
        <v>0.1851898102</v>
      </c>
    </row>
    <row r="330" ht="22.5" customHeight="1" outlineLevel="2">
      <c r="A330" s="66" t="s">
        <v>692</v>
      </c>
      <c r="B330" s="67" t="s">
        <v>293</v>
      </c>
      <c r="C330" s="67" t="s">
        <v>693</v>
      </c>
      <c r="D330" s="68">
        <v>45212.0</v>
      </c>
      <c r="E330" s="68">
        <v>45229.0</v>
      </c>
      <c r="F330" s="69">
        <v>1.284745E8</v>
      </c>
      <c r="G330" s="69">
        <v>1.284745E8</v>
      </c>
      <c r="H330" s="69">
        <v>6000000.0</v>
      </c>
      <c r="I330" s="69"/>
      <c r="J330" s="70">
        <f t="shared" si="7"/>
        <v>0.04670187469</v>
      </c>
    </row>
    <row r="331" ht="22.5" customHeight="1" outlineLevel="2">
      <c r="A331" s="66" t="s">
        <v>694</v>
      </c>
      <c r="B331" s="67" t="s">
        <v>299</v>
      </c>
      <c r="C331" s="67" t="s">
        <v>300</v>
      </c>
      <c r="D331" s="68">
        <v>45272.0</v>
      </c>
      <c r="E331" s="68">
        <v>45274.0</v>
      </c>
      <c r="F331" s="69">
        <v>7.425E7</v>
      </c>
      <c r="G331" s="69">
        <v>7.425E7</v>
      </c>
      <c r="H331" s="69">
        <v>2.464135E7</v>
      </c>
      <c r="I331" s="69">
        <v>7.425E7</v>
      </c>
      <c r="J331" s="70">
        <f t="shared" si="7"/>
        <v>0.3318700337</v>
      </c>
    </row>
    <row r="332" ht="22.5" customHeight="1" outlineLevel="2">
      <c r="A332" s="66" t="s">
        <v>695</v>
      </c>
      <c r="B332" s="67" t="s">
        <v>303</v>
      </c>
      <c r="C332" s="67" t="s">
        <v>696</v>
      </c>
      <c r="D332" s="68">
        <v>45272.0</v>
      </c>
      <c r="E332" s="68">
        <v>45280.0</v>
      </c>
      <c r="F332" s="69">
        <v>2.2932E8</v>
      </c>
      <c r="G332" s="69">
        <v>2.2932E8</v>
      </c>
      <c r="H332" s="69">
        <v>1.894838399999997E7</v>
      </c>
      <c r="I332" s="69">
        <v>2.2932E8</v>
      </c>
      <c r="J332" s="70">
        <f t="shared" si="7"/>
        <v>0.08262857143</v>
      </c>
    </row>
    <row r="333" ht="22.5" customHeight="1" outlineLevel="2">
      <c r="A333" s="66" t="s">
        <v>697</v>
      </c>
      <c r="B333" s="67" t="s">
        <v>293</v>
      </c>
      <c r="C333" s="67" t="s">
        <v>698</v>
      </c>
      <c r="D333" s="68">
        <v>45268.0</v>
      </c>
      <c r="E333" s="68">
        <v>45281.0</v>
      </c>
      <c r="F333" s="69">
        <v>4.433275E8</v>
      </c>
      <c r="G333" s="69">
        <v>4.433275E8</v>
      </c>
      <c r="H333" s="69">
        <v>4.209277625E7</v>
      </c>
      <c r="I333" s="69">
        <v>4.433275E8</v>
      </c>
      <c r="J333" s="70">
        <f t="shared" si="7"/>
        <v>0.09494736115</v>
      </c>
    </row>
    <row r="334" ht="22.5" customHeight="1" outlineLevel="2">
      <c r="A334" s="66" t="s">
        <v>699</v>
      </c>
      <c r="B334" s="67" t="s">
        <v>312</v>
      </c>
      <c r="C334" s="67" t="s">
        <v>700</v>
      </c>
      <c r="D334" s="68">
        <v>45264.0</v>
      </c>
      <c r="E334" s="68">
        <v>45282.0</v>
      </c>
      <c r="F334" s="69">
        <v>8.0E7</v>
      </c>
      <c r="G334" s="69">
        <v>8.0E7</v>
      </c>
      <c r="H334" s="69">
        <v>1.9693815200000003E7</v>
      </c>
      <c r="I334" s="69">
        <v>8.0E7</v>
      </c>
      <c r="J334" s="70">
        <f t="shared" si="7"/>
        <v>0.24617269</v>
      </c>
    </row>
    <row r="335" ht="22.5" customHeight="1" outlineLevel="2">
      <c r="A335" s="66" t="s">
        <v>701</v>
      </c>
      <c r="B335" s="67" t="s">
        <v>297</v>
      </c>
      <c r="C335" s="67" t="s">
        <v>664</v>
      </c>
      <c r="D335" s="68">
        <v>45272.0</v>
      </c>
      <c r="E335" s="68">
        <v>45273.0</v>
      </c>
      <c r="F335" s="69">
        <v>1.9348E7</v>
      </c>
      <c r="G335" s="69">
        <v>1.9348E7</v>
      </c>
      <c r="H335" s="69">
        <v>7106998.444444444</v>
      </c>
      <c r="I335" s="69">
        <v>1.9348E7</v>
      </c>
      <c r="J335" s="70">
        <f t="shared" si="7"/>
        <v>0.3673247077</v>
      </c>
    </row>
    <row r="336" ht="22.5" customHeight="1" outlineLevel="2">
      <c r="A336" s="66" t="s">
        <v>702</v>
      </c>
      <c r="B336" s="67" t="s">
        <v>293</v>
      </c>
      <c r="C336" s="67" t="s">
        <v>703</v>
      </c>
      <c r="D336" s="68">
        <v>45278.0</v>
      </c>
      <c r="E336" s="68"/>
      <c r="F336" s="69">
        <v>4.81327E8</v>
      </c>
      <c r="G336" s="69"/>
      <c r="H336" s="69"/>
      <c r="I336" s="69"/>
      <c r="J336" s="70" t="str">
        <f t="shared" si="7"/>
        <v>#DIV/0!</v>
      </c>
    </row>
    <row r="337" ht="22.5" customHeight="1" outlineLevel="2">
      <c r="A337" s="66" t="s">
        <v>704</v>
      </c>
      <c r="B337" s="67" t="s">
        <v>312</v>
      </c>
      <c r="C337" s="67" t="s">
        <v>705</v>
      </c>
      <c r="D337" s="68">
        <v>45272.0</v>
      </c>
      <c r="E337" s="68">
        <v>45281.0</v>
      </c>
      <c r="F337" s="69">
        <v>4.48E7</v>
      </c>
      <c r="G337" s="69">
        <v>4.48E7</v>
      </c>
      <c r="H337" s="69">
        <v>1.0269845799999997E7</v>
      </c>
      <c r="I337" s="69">
        <v>4.48E7</v>
      </c>
      <c r="J337" s="70">
        <f t="shared" si="7"/>
        <v>0.2292376295</v>
      </c>
    </row>
    <row r="338" ht="22.5" customHeight="1" outlineLevel="2">
      <c r="A338" s="66" t="s">
        <v>706</v>
      </c>
      <c r="B338" s="67" t="s">
        <v>707</v>
      </c>
      <c r="C338" s="67" t="s">
        <v>492</v>
      </c>
      <c r="D338" s="68">
        <v>45274.0</v>
      </c>
      <c r="E338" s="68">
        <v>45286.0</v>
      </c>
      <c r="F338" s="69">
        <v>1.64603E8</v>
      </c>
      <c r="G338" s="69">
        <v>1.64603E8</v>
      </c>
      <c r="H338" s="69">
        <v>4.640966925E7</v>
      </c>
      <c r="I338" s="69">
        <v>1.64603E8</v>
      </c>
      <c r="J338" s="70">
        <f t="shared" si="7"/>
        <v>0.2819491094</v>
      </c>
    </row>
    <row r="339" ht="22.5" customHeight="1" outlineLevel="2">
      <c r="A339" s="66" t="s">
        <v>708</v>
      </c>
      <c r="B339" s="67" t="s">
        <v>303</v>
      </c>
      <c r="C339" s="67" t="s">
        <v>709</v>
      </c>
      <c r="D339" s="68">
        <v>45274.0</v>
      </c>
      <c r="E339" s="68"/>
      <c r="F339" s="69">
        <v>5.4E7</v>
      </c>
      <c r="G339" s="69">
        <v>0.0</v>
      </c>
      <c r="H339" s="69"/>
      <c r="I339" s="69">
        <v>5.4E7</v>
      </c>
      <c r="J339" s="70" t="str">
        <f t="shared" si="7"/>
        <v>#DIV/0!</v>
      </c>
    </row>
    <row r="340" ht="22.5" customHeight="1" outlineLevel="2">
      <c r="A340" s="66" t="s">
        <v>710</v>
      </c>
      <c r="B340" s="67" t="s">
        <v>309</v>
      </c>
      <c r="C340" s="67" t="s">
        <v>711</v>
      </c>
      <c r="D340" s="68">
        <v>45266.0</v>
      </c>
      <c r="E340" s="68">
        <v>45278.0</v>
      </c>
      <c r="F340" s="69">
        <v>1.632E8</v>
      </c>
      <c r="G340" s="69">
        <v>1.632E8</v>
      </c>
      <c r="H340" s="69">
        <v>6.631753941666667E7</v>
      </c>
      <c r="I340" s="69">
        <v>1.632E8</v>
      </c>
      <c r="J340" s="70">
        <f t="shared" si="7"/>
        <v>0.4063574719</v>
      </c>
    </row>
    <row r="341" ht="22.5" customHeight="1" outlineLevel="2">
      <c r="A341" s="66" t="s">
        <v>712</v>
      </c>
      <c r="B341" s="67" t="s">
        <v>338</v>
      </c>
      <c r="C341" s="67" t="s">
        <v>363</v>
      </c>
      <c r="D341" s="68">
        <v>45274.0</v>
      </c>
      <c r="E341" s="68">
        <v>45280.0</v>
      </c>
      <c r="F341" s="69">
        <v>1.734903E9</v>
      </c>
      <c r="G341" s="69">
        <v>1.734903E9</v>
      </c>
      <c r="H341" s="69">
        <v>1.6291382079999995E8</v>
      </c>
      <c r="I341" s="69">
        <v>1.734903E9</v>
      </c>
      <c r="J341" s="70">
        <f t="shared" si="7"/>
        <v>0.09390370574</v>
      </c>
    </row>
    <row r="342" ht="22.5" customHeight="1" outlineLevel="2">
      <c r="A342" s="66" t="s">
        <v>713</v>
      </c>
      <c r="B342" s="67" t="s">
        <v>451</v>
      </c>
      <c r="C342" s="67" t="s">
        <v>360</v>
      </c>
      <c r="D342" s="68">
        <v>45279.0</v>
      </c>
      <c r="E342" s="68">
        <v>45280.0</v>
      </c>
      <c r="F342" s="69">
        <v>9900000.0</v>
      </c>
      <c r="G342" s="69">
        <v>9900000.0</v>
      </c>
      <c r="H342" s="69">
        <v>1729000.0</v>
      </c>
      <c r="I342" s="69">
        <v>9900000.0</v>
      </c>
      <c r="J342" s="70">
        <f t="shared" si="7"/>
        <v>0.1746464646</v>
      </c>
    </row>
    <row r="343" ht="22.5" customHeight="1" outlineLevel="2">
      <c r="A343" s="66" t="s">
        <v>714</v>
      </c>
      <c r="B343" s="67" t="s">
        <v>293</v>
      </c>
      <c r="C343" s="67" t="s">
        <v>715</v>
      </c>
      <c r="D343" s="68">
        <v>45280.0</v>
      </c>
      <c r="E343" s="68">
        <v>45281.0</v>
      </c>
      <c r="F343" s="69">
        <v>1.3392E8</v>
      </c>
      <c r="G343" s="69">
        <v>1.3392E8</v>
      </c>
      <c r="H343" s="69">
        <v>3.094797E7</v>
      </c>
      <c r="I343" s="69"/>
      <c r="J343" s="70">
        <f t="shared" si="7"/>
        <v>0.2310929659</v>
      </c>
    </row>
    <row r="344" ht="22.5" customHeight="1" outlineLevel="2">
      <c r="A344" s="66" t="s">
        <v>716</v>
      </c>
      <c r="B344" s="67" t="s">
        <v>297</v>
      </c>
      <c r="C344" s="67" t="s">
        <v>603</v>
      </c>
      <c r="D344" s="68">
        <v>45281.0</v>
      </c>
      <c r="E344" s="68">
        <v>45281.0</v>
      </c>
      <c r="F344" s="69">
        <v>9702000.0</v>
      </c>
      <c r="G344" s="69">
        <v>9702000.0</v>
      </c>
      <c r="H344" s="69">
        <v>3441161.111111111</v>
      </c>
      <c r="I344" s="69"/>
      <c r="J344" s="70">
        <f t="shared" si="7"/>
        <v>0.3546857464</v>
      </c>
    </row>
    <row r="345" ht="22.5" customHeight="1" outlineLevel="2">
      <c r="A345" s="66" t="s">
        <v>717</v>
      </c>
      <c r="B345" s="67" t="s">
        <v>309</v>
      </c>
      <c r="C345" s="67" t="s">
        <v>622</v>
      </c>
      <c r="D345" s="68">
        <v>45278.0</v>
      </c>
      <c r="E345" s="68">
        <v>45281.0</v>
      </c>
      <c r="F345" s="69">
        <v>2.88E7</v>
      </c>
      <c r="G345" s="69">
        <v>2.88E7</v>
      </c>
      <c r="H345" s="69">
        <v>1.6523322222222222E7</v>
      </c>
      <c r="I345" s="69">
        <v>2.88E7</v>
      </c>
      <c r="J345" s="70">
        <f t="shared" si="7"/>
        <v>0.573726466</v>
      </c>
    </row>
    <row r="346" ht="22.5" customHeight="1" outlineLevel="2">
      <c r="A346" s="66" t="s">
        <v>718</v>
      </c>
      <c r="B346" s="67" t="s">
        <v>338</v>
      </c>
      <c r="C346" s="67" t="s">
        <v>719</v>
      </c>
      <c r="D346" s="68">
        <v>45282.0</v>
      </c>
      <c r="E346" s="68"/>
      <c r="F346" s="69">
        <v>1.2655E8</v>
      </c>
      <c r="G346" s="69"/>
      <c r="H346" s="69"/>
      <c r="I346" s="69"/>
      <c r="J346" s="70" t="str">
        <f t="shared" si="7"/>
        <v>#DIV/0!</v>
      </c>
    </row>
    <row r="347" ht="22.5" customHeight="1" outlineLevel="2">
      <c r="A347" s="66" t="s">
        <v>720</v>
      </c>
      <c r="B347" s="67" t="s">
        <v>293</v>
      </c>
      <c r="C347" s="67" t="s">
        <v>721</v>
      </c>
      <c r="D347" s="68">
        <v>45280.0</v>
      </c>
      <c r="E347" s="68">
        <v>45289.0</v>
      </c>
      <c r="F347" s="69">
        <v>1.90773E8</v>
      </c>
      <c r="G347" s="69">
        <v>1.90773E8</v>
      </c>
      <c r="H347" s="69">
        <v>1.867526125E7</v>
      </c>
      <c r="I347" s="69"/>
      <c r="J347" s="70">
        <f t="shared" si="7"/>
        <v>0.09789258045</v>
      </c>
    </row>
    <row r="348" ht="22.5" customHeight="1" outlineLevel="2">
      <c r="A348" s="66" t="s">
        <v>722</v>
      </c>
      <c r="B348" s="67" t="s">
        <v>309</v>
      </c>
      <c r="C348" s="67" t="s">
        <v>723</v>
      </c>
      <c r="D348" s="68">
        <v>45285.0</v>
      </c>
      <c r="E348" s="68">
        <v>45287.0</v>
      </c>
      <c r="F348" s="69">
        <v>2.9E8</v>
      </c>
      <c r="G348" s="69">
        <v>2.9E8</v>
      </c>
      <c r="H348" s="69"/>
      <c r="I348" s="69"/>
      <c r="J348" s="70">
        <f t="shared" si="7"/>
        <v>0</v>
      </c>
    </row>
    <row r="349" ht="22.5" customHeight="1" outlineLevel="2">
      <c r="A349" s="66" t="s">
        <v>724</v>
      </c>
      <c r="B349" s="67" t="s">
        <v>358</v>
      </c>
      <c r="C349" s="67" t="s">
        <v>725</v>
      </c>
      <c r="D349" s="68">
        <v>45285.0</v>
      </c>
      <c r="E349" s="68"/>
      <c r="F349" s="69">
        <v>3.18099375E9</v>
      </c>
      <c r="G349" s="69"/>
      <c r="H349" s="69"/>
      <c r="I349" s="69"/>
      <c r="J349" s="70" t="str">
        <f t="shared" si="7"/>
        <v>#DIV/0!</v>
      </c>
    </row>
    <row r="350" ht="22.5" customHeight="1" outlineLevel="2">
      <c r="A350" s="66" t="s">
        <v>726</v>
      </c>
      <c r="B350" s="67" t="s">
        <v>293</v>
      </c>
      <c r="C350" s="67" t="s">
        <v>294</v>
      </c>
      <c r="D350" s="68">
        <v>45285.0</v>
      </c>
      <c r="E350" s="68"/>
      <c r="F350" s="69">
        <v>8.82E7</v>
      </c>
      <c r="G350" s="69"/>
      <c r="H350" s="69"/>
      <c r="I350" s="69"/>
      <c r="J350" s="70" t="str">
        <f t="shared" si="7"/>
        <v>#DIV/0!</v>
      </c>
    </row>
    <row r="351" ht="22.5" customHeight="1" outlineLevel="2">
      <c r="A351" s="66" t="s">
        <v>727</v>
      </c>
      <c r="B351" s="67" t="s">
        <v>309</v>
      </c>
      <c r="C351" s="67" t="s">
        <v>728</v>
      </c>
      <c r="D351" s="68">
        <v>45286.0</v>
      </c>
      <c r="E351" s="68"/>
      <c r="F351" s="69">
        <v>3.4496E8</v>
      </c>
      <c r="G351" s="69"/>
      <c r="H351" s="69"/>
      <c r="I351" s="69"/>
      <c r="J351" s="70" t="str">
        <f t="shared" si="7"/>
        <v>#DIV/0!</v>
      </c>
    </row>
    <row r="352" ht="22.5" customHeight="1" outlineLevel="2">
      <c r="A352" s="66" t="s">
        <v>729</v>
      </c>
      <c r="B352" s="67" t="s">
        <v>303</v>
      </c>
      <c r="C352" s="67" t="s">
        <v>730</v>
      </c>
      <c r="D352" s="68">
        <v>45287.0</v>
      </c>
      <c r="E352" s="68"/>
      <c r="F352" s="69">
        <v>7.84E7</v>
      </c>
      <c r="G352" s="69"/>
      <c r="H352" s="69"/>
      <c r="I352" s="69"/>
      <c r="J352" s="70" t="str">
        <f t="shared" si="7"/>
        <v>#DIV/0!</v>
      </c>
    </row>
    <row r="353" ht="22.5" customHeight="1" outlineLevel="2">
      <c r="A353" s="66" t="s">
        <v>731</v>
      </c>
      <c r="B353" s="67" t="s">
        <v>338</v>
      </c>
      <c r="C353" s="67" t="s">
        <v>339</v>
      </c>
      <c r="D353" s="68">
        <v>45287.0</v>
      </c>
      <c r="E353" s="68"/>
      <c r="F353" s="69">
        <v>3.83475E8</v>
      </c>
      <c r="G353" s="69"/>
      <c r="H353" s="69"/>
      <c r="I353" s="69">
        <v>3.83475E8</v>
      </c>
      <c r="J353" s="70" t="str">
        <f t="shared" si="7"/>
        <v>#DIV/0!</v>
      </c>
    </row>
    <row r="354" ht="22.5" customHeight="1" outlineLevel="2">
      <c r="A354" s="66" t="s">
        <v>732</v>
      </c>
      <c r="B354" s="67" t="s">
        <v>733</v>
      </c>
      <c r="C354" s="67" t="s">
        <v>734</v>
      </c>
      <c r="D354" s="68">
        <v>45265.0</v>
      </c>
      <c r="E354" s="68">
        <v>45289.0</v>
      </c>
      <c r="F354" s="69">
        <v>5000000.0</v>
      </c>
      <c r="G354" s="69">
        <v>4545455.0</v>
      </c>
      <c r="H354" s="69"/>
      <c r="I354" s="69">
        <v>5000000.0</v>
      </c>
      <c r="J354" s="70">
        <f t="shared" si="7"/>
        <v>0</v>
      </c>
    </row>
    <row r="355" ht="22.5" customHeight="1" outlineLevel="2">
      <c r="A355" s="66" t="s">
        <v>735</v>
      </c>
      <c r="B355" s="67" t="s">
        <v>293</v>
      </c>
      <c r="C355" s="67" t="s">
        <v>736</v>
      </c>
      <c r="D355" s="68">
        <v>45229.0</v>
      </c>
      <c r="E355" s="68">
        <v>45286.0</v>
      </c>
      <c r="F355" s="69">
        <v>1.279058E8</v>
      </c>
      <c r="G355" s="69">
        <v>1.279058E8</v>
      </c>
      <c r="H355" s="69">
        <v>6000000.0</v>
      </c>
      <c r="I355" s="69"/>
      <c r="J355" s="70">
        <f t="shared" si="7"/>
        <v>0.04690952248</v>
      </c>
    </row>
    <row r="356" ht="22.5" customHeight="1" outlineLevel="1">
      <c r="A356" s="63" t="s">
        <v>737</v>
      </c>
      <c r="F356" s="64">
        <f t="shared" ref="F356:I356" si="8">sum(F357:F675)</f>
        <v>36352943700</v>
      </c>
      <c r="G356" s="64">
        <f t="shared" si="8"/>
        <v>34799937700</v>
      </c>
      <c r="H356" s="64">
        <f t="shared" si="8"/>
        <v>6799024035</v>
      </c>
      <c r="I356" s="64">
        <f t="shared" si="8"/>
        <v>30482199992</v>
      </c>
      <c r="J356" s="65"/>
    </row>
    <row r="357" ht="22.5" customHeight="1" outlineLevel="2">
      <c r="A357" s="66" t="s">
        <v>738</v>
      </c>
      <c r="B357" s="67" t="s">
        <v>739</v>
      </c>
      <c r="C357" s="67" t="s">
        <v>740</v>
      </c>
      <c r="D357" s="68">
        <v>44929.0</v>
      </c>
      <c r="E357" s="68">
        <v>44942.0</v>
      </c>
      <c r="F357" s="69">
        <v>3500000.0</v>
      </c>
      <c r="G357" s="69">
        <v>3500000.0</v>
      </c>
      <c r="H357" s="69">
        <v>400000.0</v>
      </c>
      <c r="I357" s="69">
        <v>3500000.0</v>
      </c>
      <c r="J357" s="70">
        <f t="shared" ref="J357:J675" si="9">H357/G357</f>
        <v>0.1142857143</v>
      </c>
    </row>
    <row r="358" ht="22.5" customHeight="1" outlineLevel="2">
      <c r="A358" s="66" t="s">
        <v>741</v>
      </c>
      <c r="B358" s="67" t="s">
        <v>742</v>
      </c>
      <c r="C358" s="67" t="s">
        <v>743</v>
      </c>
      <c r="D358" s="68">
        <v>44930.0</v>
      </c>
      <c r="E358" s="68">
        <v>44957.0</v>
      </c>
      <c r="F358" s="69">
        <v>5.67567E7</v>
      </c>
      <c r="G358" s="69">
        <v>5.67567E7</v>
      </c>
      <c r="H358" s="69">
        <v>1.1498582104999997E7</v>
      </c>
      <c r="I358" s="69">
        <v>5.67567E7</v>
      </c>
      <c r="J358" s="70">
        <f t="shared" si="9"/>
        <v>0.2025942683</v>
      </c>
    </row>
    <row r="359" ht="22.5" customHeight="1" outlineLevel="2">
      <c r="A359" s="66" t="s">
        <v>744</v>
      </c>
      <c r="B359" s="67" t="s">
        <v>745</v>
      </c>
      <c r="C359" s="67" t="s">
        <v>746</v>
      </c>
      <c r="D359" s="68">
        <v>44932.0</v>
      </c>
      <c r="E359" s="68">
        <v>44942.0</v>
      </c>
      <c r="F359" s="69">
        <v>3.18E7</v>
      </c>
      <c r="G359" s="69">
        <v>3.18E7</v>
      </c>
      <c r="H359" s="69">
        <v>1.3739334888888888E7</v>
      </c>
      <c r="I359" s="69">
        <v>3.18E7</v>
      </c>
      <c r="J359" s="70">
        <f t="shared" si="9"/>
        <v>0.4320545563</v>
      </c>
    </row>
    <row r="360" ht="22.5" customHeight="1" outlineLevel="2">
      <c r="A360" s="66" t="s">
        <v>747</v>
      </c>
      <c r="B360" s="67" t="s">
        <v>748</v>
      </c>
      <c r="C360" s="67" t="s">
        <v>749</v>
      </c>
      <c r="D360" s="68">
        <v>44935.0</v>
      </c>
      <c r="E360" s="68">
        <v>44977.0</v>
      </c>
      <c r="F360" s="69">
        <v>1.625E8</v>
      </c>
      <c r="G360" s="69">
        <v>1.625E8</v>
      </c>
      <c r="H360" s="69">
        <v>7.1126190475E7</v>
      </c>
      <c r="I360" s="69">
        <v>1.625E8</v>
      </c>
      <c r="J360" s="70">
        <f t="shared" si="9"/>
        <v>0.4376996337</v>
      </c>
    </row>
    <row r="361" ht="22.5" customHeight="1" outlineLevel="2">
      <c r="A361" s="66" t="s">
        <v>750</v>
      </c>
      <c r="B361" s="67" t="s">
        <v>751</v>
      </c>
      <c r="C361" s="67" t="s">
        <v>752</v>
      </c>
      <c r="D361" s="68">
        <v>44932.0</v>
      </c>
      <c r="E361" s="68">
        <v>44944.0</v>
      </c>
      <c r="F361" s="69">
        <v>1.08E7</v>
      </c>
      <c r="G361" s="69">
        <v>1.08E7</v>
      </c>
      <c r="H361" s="69">
        <v>750000.0</v>
      </c>
      <c r="I361" s="69">
        <v>1.08E7</v>
      </c>
      <c r="J361" s="70">
        <f t="shared" si="9"/>
        <v>0.06944444444</v>
      </c>
    </row>
    <row r="362" ht="22.5" customHeight="1" outlineLevel="2">
      <c r="A362" s="66" t="s">
        <v>753</v>
      </c>
      <c r="B362" s="67" t="s">
        <v>754</v>
      </c>
      <c r="C362" s="67" t="s">
        <v>755</v>
      </c>
      <c r="D362" s="68">
        <v>44932.0</v>
      </c>
      <c r="E362" s="68">
        <v>44938.0</v>
      </c>
      <c r="F362" s="69">
        <v>1.84E7</v>
      </c>
      <c r="G362" s="69">
        <v>1.84E7</v>
      </c>
      <c r="H362" s="69">
        <v>812000.0</v>
      </c>
      <c r="I362" s="69">
        <v>1.84E7</v>
      </c>
      <c r="J362" s="70">
        <f t="shared" si="9"/>
        <v>0.04413043478</v>
      </c>
    </row>
    <row r="363" ht="22.5" customHeight="1" outlineLevel="2">
      <c r="A363" s="66" t="s">
        <v>756</v>
      </c>
      <c r="B363" s="67" t="s">
        <v>757</v>
      </c>
      <c r="C363" s="67" t="s">
        <v>755</v>
      </c>
      <c r="D363" s="68">
        <v>44936.0</v>
      </c>
      <c r="E363" s="68">
        <v>44942.0</v>
      </c>
      <c r="F363" s="69">
        <v>9200000.0</v>
      </c>
      <c r="G363" s="69">
        <v>9200000.0</v>
      </c>
      <c r="H363" s="69">
        <v>406000.0</v>
      </c>
      <c r="I363" s="69">
        <v>9200000.0</v>
      </c>
      <c r="J363" s="70">
        <f t="shared" si="9"/>
        <v>0.04413043478</v>
      </c>
    </row>
    <row r="364" ht="22.5" customHeight="1" outlineLevel="2">
      <c r="A364" s="66" t="s">
        <v>758</v>
      </c>
      <c r="B364" s="67" t="s">
        <v>759</v>
      </c>
      <c r="C364" s="67" t="s">
        <v>760</v>
      </c>
      <c r="D364" s="68">
        <v>44937.0</v>
      </c>
      <c r="E364" s="68">
        <v>44958.0</v>
      </c>
      <c r="F364" s="69">
        <v>7050000.0</v>
      </c>
      <c r="G364" s="69">
        <v>7050000.0</v>
      </c>
      <c r="H364" s="69">
        <v>687000.0</v>
      </c>
      <c r="I364" s="69">
        <v>7050000.0</v>
      </c>
      <c r="J364" s="70">
        <f t="shared" si="9"/>
        <v>0.09744680851</v>
      </c>
    </row>
    <row r="365" ht="22.5" customHeight="1" outlineLevel="2">
      <c r="A365" s="66" t="s">
        <v>761</v>
      </c>
      <c r="B365" s="67" t="s">
        <v>762</v>
      </c>
      <c r="C365" s="67" t="s">
        <v>763</v>
      </c>
      <c r="D365" s="68">
        <v>44942.0</v>
      </c>
      <c r="E365" s="68">
        <v>44971.0</v>
      </c>
      <c r="F365" s="69">
        <v>3.90192E7</v>
      </c>
      <c r="G365" s="69">
        <v>3.90192E7</v>
      </c>
      <c r="H365" s="69">
        <v>2686376.6149999946</v>
      </c>
      <c r="I365" s="69">
        <v>3.90192E7</v>
      </c>
      <c r="J365" s="70">
        <f t="shared" si="9"/>
        <v>0.06884755748</v>
      </c>
    </row>
    <row r="366" ht="22.5" customHeight="1" outlineLevel="2">
      <c r="A366" s="66" t="s">
        <v>764</v>
      </c>
      <c r="B366" s="67" t="s">
        <v>765</v>
      </c>
      <c r="C366" s="67" t="s">
        <v>746</v>
      </c>
      <c r="D366" s="68">
        <v>44942.0</v>
      </c>
      <c r="E366" s="68">
        <v>44971.0</v>
      </c>
      <c r="F366" s="69">
        <v>8.90675E7</v>
      </c>
      <c r="G366" s="69">
        <v>8.90675E7</v>
      </c>
      <c r="H366" s="69">
        <v>1.83175E7</v>
      </c>
      <c r="I366" s="69">
        <v>8.90675E7</v>
      </c>
      <c r="J366" s="70">
        <f t="shared" si="9"/>
        <v>0.2056586297</v>
      </c>
    </row>
    <row r="367" ht="22.5" customHeight="1" outlineLevel="2">
      <c r="A367" s="66" t="s">
        <v>766</v>
      </c>
      <c r="B367" s="67" t="s">
        <v>767</v>
      </c>
      <c r="C367" s="67" t="s">
        <v>768</v>
      </c>
      <c r="D367" s="68">
        <v>44939.0</v>
      </c>
      <c r="E367" s="68">
        <v>44944.0</v>
      </c>
      <c r="F367" s="69">
        <v>1.071E7</v>
      </c>
      <c r="G367" s="69">
        <v>1.071E7</v>
      </c>
      <c r="H367" s="69">
        <v>6002154.388888889</v>
      </c>
      <c r="I367" s="69">
        <v>1.071E7</v>
      </c>
      <c r="J367" s="70">
        <f t="shared" si="9"/>
        <v>0.5604252464</v>
      </c>
    </row>
    <row r="368" ht="22.5" customHeight="1" outlineLevel="2">
      <c r="A368" s="66" t="s">
        <v>769</v>
      </c>
      <c r="B368" s="67" t="s">
        <v>757</v>
      </c>
      <c r="C368" s="67" t="s">
        <v>755</v>
      </c>
      <c r="D368" s="68">
        <v>44942.0</v>
      </c>
      <c r="E368" s="68">
        <v>44957.0</v>
      </c>
      <c r="F368" s="69">
        <v>9200000.0</v>
      </c>
      <c r="G368" s="69">
        <v>9200000.0</v>
      </c>
      <c r="H368" s="69">
        <v>102500.0</v>
      </c>
      <c r="I368" s="69">
        <v>9200000.0</v>
      </c>
      <c r="J368" s="70">
        <f t="shared" si="9"/>
        <v>0.01114130435</v>
      </c>
    </row>
    <row r="369" ht="22.5" customHeight="1" outlineLevel="2">
      <c r="A369" s="66" t="s">
        <v>770</v>
      </c>
      <c r="B369" s="67" t="s">
        <v>771</v>
      </c>
      <c r="C369" s="67" t="s">
        <v>772</v>
      </c>
      <c r="D369" s="68">
        <v>44942.0</v>
      </c>
      <c r="E369" s="68">
        <v>44943.0</v>
      </c>
      <c r="F369" s="69">
        <v>2.096E7</v>
      </c>
      <c r="G369" s="69">
        <v>2.096E7</v>
      </c>
      <c r="H369" s="69">
        <v>1185000.0</v>
      </c>
      <c r="I369" s="69">
        <v>2.096E7</v>
      </c>
      <c r="J369" s="70">
        <f t="shared" si="9"/>
        <v>0.05653625954</v>
      </c>
    </row>
    <row r="370" ht="22.5" customHeight="1" outlineLevel="2">
      <c r="A370" s="66" t="s">
        <v>773</v>
      </c>
      <c r="B370" s="67" t="s">
        <v>774</v>
      </c>
      <c r="C370" s="67" t="s">
        <v>746</v>
      </c>
      <c r="D370" s="68">
        <v>44943.0</v>
      </c>
      <c r="E370" s="68">
        <v>44986.0</v>
      </c>
      <c r="F370" s="69">
        <v>7.86324E8</v>
      </c>
      <c r="G370" s="69">
        <v>7.86324E8</v>
      </c>
      <c r="H370" s="69">
        <v>1.2874E7</v>
      </c>
      <c r="I370" s="69">
        <v>7.86324E8</v>
      </c>
      <c r="J370" s="70">
        <f t="shared" si="9"/>
        <v>0.01637238594</v>
      </c>
    </row>
    <row r="371" ht="22.5" customHeight="1" outlineLevel="2">
      <c r="A371" s="66" t="s">
        <v>775</v>
      </c>
      <c r="B371" s="67" t="s">
        <v>776</v>
      </c>
      <c r="C371" s="67" t="s">
        <v>777</v>
      </c>
      <c r="D371" s="68">
        <v>44957.0</v>
      </c>
      <c r="E371" s="68">
        <v>44971.0</v>
      </c>
      <c r="F371" s="69">
        <v>1.5525E8</v>
      </c>
      <c r="G371" s="69">
        <v>1.5525E8</v>
      </c>
      <c r="H371" s="69">
        <v>5250000.0</v>
      </c>
      <c r="I371" s="69">
        <v>1.5525E8</v>
      </c>
      <c r="J371" s="70">
        <f t="shared" si="9"/>
        <v>0.03381642512</v>
      </c>
    </row>
    <row r="372" ht="22.5" customHeight="1" outlineLevel="2">
      <c r="A372" s="66" t="s">
        <v>778</v>
      </c>
      <c r="B372" s="67" t="s">
        <v>779</v>
      </c>
      <c r="C372" s="67" t="s">
        <v>780</v>
      </c>
      <c r="D372" s="68">
        <v>44956.0</v>
      </c>
      <c r="E372" s="68">
        <v>44988.0</v>
      </c>
      <c r="F372" s="69">
        <v>4.581E7</v>
      </c>
      <c r="G372" s="69">
        <v>4.581E7</v>
      </c>
      <c r="H372" s="69">
        <v>1.3476114E7</v>
      </c>
      <c r="I372" s="69">
        <v>4.581E7</v>
      </c>
      <c r="J372" s="70">
        <f t="shared" si="9"/>
        <v>0.2941740668</v>
      </c>
    </row>
    <row r="373" ht="22.5" customHeight="1" outlineLevel="2">
      <c r="A373" s="66" t="s">
        <v>781</v>
      </c>
      <c r="B373" s="67" t="s">
        <v>782</v>
      </c>
      <c r="C373" s="67" t="s">
        <v>783</v>
      </c>
      <c r="D373" s="68">
        <v>44966.0</v>
      </c>
      <c r="E373" s="68">
        <v>44988.0</v>
      </c>
      <c r="F373" s="69">
        <v>1.6E8</v>
      </c>
      <c r="G373" s="69">
        <v>1.6E8</v>
      </c>
      <c r="H373" s="69">
        <v>3.0229184E7</v>
      </c>
      <c r="I373" s="69">
        <v>1.6E8</v>
      </c>
      <c r="J373" s="70">
        <f t="shared" si="9"/>
        <v>0.1889324</v>
      </c>
    </row>
    <row r="374" ht="22.5" customHeight="1" outlineLevel="2">
      <c r="A374" s="66" t="s">
        <v>784</v>
      </c>
      <c r="B374" s="67" t="s">
        <v>785</v>
      </c>
      <c r="C374" s="67" t="s">
        <v>786</v>
      </c>
      <c r="D374" s="68">
        <v>44966.0</v>
      </c>
      <c r="E374" s="68">
        <v>44979.0</v>
      </c>
      <c r="F374" s="69">
        <v>2.7453E8</v>
      </c>
      <c r="G374" s="69">
        <v>2.7453E8</v>
      </c>
      <c r="H374" s="69">
        <v>2.2378186547500014E7</v>
      </c>
      <c r="I374" s="69">
        <v>2.7453E8</v>
      </c>
      <c r="J374" s="70">
        <f t="shared" si="9"/>
        <v>0.08151453957</v>
      </c>
    </row>
    <row r="375" ht="22.5" customHeight="1" outlineLevel="2">
      <c r="A375" s="66" t="s">
        <v>787</v>
      </c>
      <c r="B375" s="67" t="s">
        <v>788</v>
      </c>
      <c r="C375" s="67" t="s">
        <v>789</v>
      </c>
      <c r="D375" s="68">
        <v>44970.0</v>
      </c>
      <c r="E375" s="68">
        <v>45191.0</v>
      </c>
      <c r="F375" s="69">
        <v>8.627224E8</v>
      </c>
      <c r="G375" s="69">
        <v>4.381424E8</v>
      </c>
      <c r="H375" s="69">
        <v>1.624239999999994E7</v>
      </c>
      <c r="I375" s="69">
        <v>8.627224E8</v>
      </c>
      <c r="J375" s="70">
        <f t="shared" si="9"/>
        <v>0.0370710527</v>
      </c>
    </row>
    <row r="376" ht="22.5" customHeight="1" outlineLevel="2">
      <c r="A376" s="66" t="s">
        <v>790</v>
      </c>
      <c r="B376" s="67" t="s">
        <v>791</v>
      </c>
      <c r="C376" s="67" t="s">
        <v>792</v>
      </c>
      <c r="D376" s="68">
        <v>44967.0</v>
      </c>
      <c r="E376" s="68">
        <v>44977.0</v>
      </c>
      <c r="F376" s="69">
        <v>6.36E7</v>
      </c>
      <c r="G376" s="69">
        <v>6.36E7</v>
      </c>
      <c r="H376" s="69">
        <v>3.32426832E7</v>
      </c>
      <c r="I376" s="69">
        <v>6.36E7</v>
      </c>
      <c r="J376" s="70">
        <f t="shared" si="9"/>
        <v>0.5226836981</v>
      </c>
    </row>
    <row r="377" ht="22.5" customHeight="1" outlineLevel="2">
      <c r="A377" s="66" t="s">
        <v>793</v>
      </c>
      <c r="B377" s="67" t="s">
        <v>794</v>
      </c>
      <c r="C377" s="67" t="s">
        <v>795</v>
      </c>
      <c r="D377" s="68">
        <v>44978.0</v>
      </c>
      <c r="E377" s="68">
        <v>44985.0</v>
      </c>
      <c r="F377" s="69">
        <v>1.46E7</v>
      </c>
      <c r="G377" s="69">
        <v>1.46E7</v>
      </c>
      <c r="H377" s="69">
        <v>780000.0</v>
      </c>
      <c r="I377" s="69">
        <v>1.46E7</v>
      </c>
      <c r="J377" s="70">
        <f t="shared" si="9"/>
        <v>0.05342465753</v>
      </c>
    </row>
    <row r="378" ht="22.5" customHeight="1" outlineLevel="2">
      <c r="A378" s="66" t="s">
        <v>796</v>
      </c>
      <c r="B378" s="67" t="s">
        <v>797</v>
      </c>
      <c r="C378" s="67" t="s">
        <v>798</v>
      </c>
      <c r="D378" s="68">
        <v>44967.0</v>
      </c>
      <c r="E378" s="68">
        <v>44978.0</v>
      </c>
      <c r="F378" s="69">
        <v>4.738E7</v>
      </c>
      <c r="G378" s="69">
        <v>4.738E7</v>
      </c>
      <c r="H378" s="69">
        <v>2680000.0</v>
      </c>
      <c r="I378" s="69">
        <v>4.738E7</v>
      </c>
      <c r="J378" s="70">
        <f t="shared" si="9"/>
        <v>0.05656395103</v>
      </c>
    </row>
    <row r="379" ht="22.5" customHeight="1" outlineLevel="2">
      <c r="A379" s="66" t="s">
        <v>799</v>
      </c>
      <c r="B379" s="67" t="s">
        <v>800</v>
      </c>
      <c r="C379" s="67" t="s">
        <v>789</v>
      </c>
      <c r="D379" s="68">
        <v>44971.0</v>
      </c>
      <c r="E379" s="68">
        <v>45022.0</v>
      </c>
      <c r="F379" s="69">
        <v>2.9325E8</v>
      </c>
      <c r="G379" s="69">
        <v>2.9325E8</v>
      </c>
      <c r="H379" s="69">
        <v>1.124999999999994E7</v>
      </c>
      <c r="I379" s="69">
        <v>2.9325E8</v>
      </c>
      <c r="J379" s="70">
        <f t="shared" si="9"/>
        <v>0.03836317136</v>
      </c>
    </row>
    <row r="380" ht="22.5" customHeight="1" outlineLevel="2">
      <c r="A380" s="66" t="s">
        <v>801</v>
      </c>
      <c r="B380" s="67" t="s">
        <v>802</v>
      </c>
      <c r="C380" s="67" t="s">
        <v>740</v>
      </c>
      <c r="D380" s="68">
        <v>44958.0</v>
      </c>
      <c r="E380" s="68">
        <v>44974.0</v>
      </c>
      <c r="F380" s="69">
        <v>3800000.0</v>
      </c>
      <c r="G380" s="69">
        <v>3800000.0</v>
      </c>
      <c r="H380" s="69">
        <v>700000.0</v>
      </c>
      <c r="I380" s="69">
        <v>3800000.0</v>
      </c>
      <c r="J380" s="70">
        <f t="shared" si="9"/>
        <v>0.1842105263</v>
      </c>
    </row>
    <row r="381" ht="22.5" customHeight="1" outlineLevel="2">
      <c r="A381" s="66" t="s">
        <v>803</v>
      </c>
      <c r="B381" s="67" t="s">
        <v>804</v>
      </c>
      <c r="C381" s="67" t="s">
        <v>805</v>
      </c>
      <c r="D381" s="68">
        <v>44970.0</v>
      </c>
      <c r="E381" s="68">
        <v>44977.0</v>
      </c>
      <c r="F381" s="69">
        <v>3.65E7</v>
      </c>
      <c r="G381" s="69">
        <v>3.65E7</v>
      </c>
      <c r="H381" s="69">
        <v>1100000.0</v>
      </c>
      <c r="I381" s="69">
        <v>3.65E7</v>
      </c>
      <c r="J381" s="70">
        <f t="shared" si="9"/>
        <v>0.0301369863</v>
      </c>
    </row>
    <row r="382" ht="22.5" customHeight="1" outlineLevel="2">
      <c r="A382" s="66" t="s">
        <v>806</v>
      </c>
      <c r="B382" s="67" t="s">
        <v>807</v>
      </c>
      <c r="C382" s="67" t="s">
        <v>768</v>
      </c>
      <c r="D382" s="68">
        <v>44971.0</v>
      </c>
      <c r="E382" s="68">
        <v>44977.0</v>
      </c>
      <c r="F382" s="69">
        <v>1.071E7</v>
      </c>
      <c r="G382" s="69">
        <v>1.071E7</v>
      </c>
      <c r="H382" s="69">
        <v>5964204.0</v>
      </c>
      <c r="I382" s="69">
        <v>1.071E7</v>
      </c>
      <c r="J382" s="70">
        <f t="shared" si="9"/>
        <v>0.5568817927</v>
      </c>
    </row>
    <row r="383" ht="22.5" customHeight="1" outlineLevel="2">
      <c r="A383" s="66" t="s">
        <v>808</v>
      </c>
      <c r="B383" s="67" t="s">
        <v>809</v>
      </c>
      <c r="C383" s="67" t="s">
        <v>810</v>
      </c>
      <c r="D383" s="68">
        <v>44972.0</v>
      </c>
      <c r="E383" s="68">
        <v>45013.0</v>
      </c>
      <c r="F383" s="69">
        <v>7.06749E8</v>
      </c>
      <c r="G383" s="69">
        <v>7.06749E8</v>
      </c>
      <c r="H383" s="69">
        <v>3.143E7</v>
      </c>
      <c r="I383" s="69">
        <v>7.06749E8</v>
      </c>
      <c r="J383" s="70">
        <f t="shared" si="9"/>
        <v>0.04447123378</v>
      </c>
    </row>
    <row r="384" ht="22.5" customHeight="1" outlineLevel="2">
      <c r="A384" s="66" t="s">
        <v>811</v>
      </c>
      <c r="B384" s="67" t="s">
        <v>812</v>
      </c>
      <c r="C384" s="67" t="s">
        <v>813</v>
      </c>
      <c r="D384" s="68">
        <v>44974.0</v>
      </c>
      <c r="E384" s="68">
        <v>44980.0</v>
      </c>
      <c r="F384" s="69">
        <v>4.9875E7</v>
      </c>
      <c r="G384" s="69">
        <v>4.9875E7</v>
      </c>
      <c r="H384" s="69">
        <v>4975000.0</v>
      </c>
      <c r="I384" s="69">
        <v>4.9875E7</v>
      </c>
      <c r="J384" s="70">
        <f t="shared" si="9"/>
        <v>0.09974937343</v>
      </c>
    </row>
    <row r="385" ht="22.5" customHeight="1" outlineLevel="2">
      <c r="A385" s="66" t="s">
        <v>814</v>
      </c>
      <c r="B385" s="67" t="s">
        <v>815</v>
      </c>
      <c r="C385" s="67" t="s">
        <v>752</v>
      </c>
      <c r="D385" s="68">
        <v>44974.0</v>
      </c>
      <c r="E385" s="68">
        <v>44979.0</v>
      </c>
      <c r="F385" s="69">
        <v>8100000.0</v>
      </c>
      <c r="G385" s="69">
        <v>8100000.0</v>
      </c>
      <c r="H385" s="69">
        <v>625000.0</v>
      </c>
      <c r="I385" s="69">
        <v>8100000.0</v>
      </c>
      <c r="J385" s="70">
        <f t="shared" si="9"/>
        <v>0.07716049383</v>
      </c>
    </row>
    <row r="386" ht="22.5" customHeight="1" outlineLevel="2">
      <c r="A386" s="66" t="s">
        <v>816</v>
      </c>
      <c r="B386" s="67" t="s">
        <v>817</v>
      </c>
      <c r="C386" s="67" t="s">
        <v>818</v>
      </c>
      <c r="D386" s="68">
        <v>44978.0</v>
      </c>
      <c r="E386" s="68">
        <v>44979.0</v>
      </c>
      <c r="F386" s="69">
        <v>3.2E7</v>
      </c>
      <c r="G386" s="69">
        <v>3.2E7</v>
      </c>
      <c r="H386" s="69">
        <v>1.1969128E7</v>
      </c>
      <c r="I386" s="69">
        <v>3.2E7</v>
      </c>
      <c r="J386" s="70">
        <f t="shared" si="9"/>
        <v>0.37403525</v>
      </c>
    </row>
    <row r="387" ht="22.5" customHeight="1" outlineLevel="2">
      <c r="A387" s="66" t="s">
        <v>819</v>
      </c>
      <c r="B387" s="67" t="s">
        <v>820</v>
      </c>
      <c r="C387" s="67" t="s">
        <v>755</v>
      </c>
      <c r="D387" s="68">
        <v>44979.0</v>
      </c>
      <c r="E387" s="68">
        <v>45005.0</v>
      </c>
      <c r="F387" s="69">
        <v>5250000.0</v>
      </c>
      <c r="G387" s="69">
        <v>5250000.0</v>
      </c>
      <c r="H387" s="69">
        <v>400000.0</v>
      </c>
      <c r="I387" s="69">
        <v>5250000.0</v>
      </c>
      <c r="J387" s="70">
        <f t="shared" si="9"/>
        <v>0.07619047619</v>
      </c>
    </row>
    <row r="388" ht="22.5" customHeight="1" outlineLevel="2">
      <c r="A388" s="66" t="s">
        <v>821</v>
      </c>
      <c r="B388" s="67" t="s">
        <v>822</v>
      </c>
      <c r="C388" s="67" t="s">
        <v>823</v>
      </c>
      <c r="D388" s="68">
        <v>44980.0</v>
      </c>
      <c r="E388" s="68">
        <v>44998.0</v>
      </c>
      <c r="F388" s="69">
        <v>8.9835E7</v>
      </c>
      <c r="G388" s="69">
        <v>8.9835E7</v>
      </c>
      <c r="H388" s="69">
        <v>3989000.0</v>
      </c>
      <c r="I388" s="69">
        <v>8.9835E7</v>
      </c>
      <c r="J388" s="70">
        <f t="shared" si="9"/>
        <v>0.04440362888</v>
      </c>
    </row>
    <row r="389" ht="22.5" customHeight="1" outlineLevel="2">
      <c r="A389" s="66" t="s">
        <v>824</v>
      </c>
      <c r="B389" s="67" t="s">
        <v>825</v>
      </c>
      <c r="C389" s="67" t="s">
        <v>746</v>
      </c>
      <c r="D389" s="68">
        <v>44998.0</v>
      </c>
      <c r="E389" s="68">
        <v>45006.0</v>
      </c>
      <c r="F389" s="69">
        <v>3.125E8</v>
      </c>
      <c r="G389" s="69">
        <v>3.125E8</v>
      </c>
      <c r="H389" s="69">
        <v>7.355680806575E7</v>
      </c>
      <c r="I389" s="69">
        <v>3.125E8</v>
      </c>
      <c r="J389" s="70">
        <f t="shared" si="9"/>
        <v>0.2353817858</v>
      </c>
    </row>
    <row r="390" ht="22.5" customHeight="1" outlineLevel="2">
      <c r="A390" s="66" t="s">
        <v>826</v>
      </c>
      <c r="B390" s="67" t="s">
        <v>827</v>
      </c>
      <c r="C390" s="67" t="s">
        <v>828</v>
      </c>
      <c r="D390" s="68">
        <v>44987.0</v>
      </c>
      <c r="E390" s="68">
        <v>45006.0</v>
      </c>
      <c r="F390" s="69">
        <v>4.69175E7</v>
      </c>
      <c r="G390" s="69">
        <v>4.69175E7</v>
      </c>
      <c r="H390" s="69">
        <v>5081265.555555552</v>
      </c>
      <c r="I390" s="69">
        <v>4.69175E7</v>
      </c>
      <c r="J390" s="70">
        <f t="shared" si="9"/>
        <v>0.1083021379</v>
      </c>
    </row>
    <row r="391" ht="22.5" customHeight="1" outlineLevel="2">
      <c r="A391" s="66" t="s">
        <v>829</v>
      </c>
      <c r="B391" s="67" t="s">
        <v>830</v>
      </c>
      <c r="C391" s="67" t="s">
        <v>831</v>
      </c>
      <c r="D391" s="68">
        <v>44985.0</v>
      </c>
      <c r="E391" s="68">
        <v>44986.0</v>
      </c>
      <c r="F391" s="69">
        <v>1.59E7</v>
      </c>
      <c r="G391" s="69">
        <v>1.59E7</v>
      </c>
      <c r="H391" s="69">
        <v>7808827.5</v>
      </c>
      <c r="I391" s="69">
        <v>1.59E7</v>
      </c>
      <c r="J391" s="70">
        <f t="shared" si="9"/>
        <v>0.4911212264</v>
      </c>
    </row>
    <row r="392" ht="22.5" customHeight="1" outlineLevel="2">
      <c r="A392" s="66" t="s">
        <v>832</v>
      </c>
      <c r="B392" s="67" t="s">
        <v>833</v>
      </c>
      <c r="C392" s="67" t="s">
        <v>834</v>
      </c>
      <c r="D392" s="68">
        <v>44987.0</v>
      </c>
      <c r="E392" s="68">
        <v>44991.0</v>
      </c>
      <c r="F392" s="69">
        <v>1.272E7</v>
      </c>
      <c r="G392" s="69">
        <v>1.272E7</v>
      </c>
      <c r="H392" s="69">
        <v>6694262.0</v>
      </c>
      <c r="I392" s="69">
        <v>1.272E7</v>
      </c>
      <c r="J392" s="70">
        <f t="shared" si="9"/>
        <v>0.5262784591</v>
      </c>
    </row>
    <row r="393" ht="22.5" customHeight="1" outlineLevel="2">
      <c r="A393" s="66" t="s">
        <v>835</v>
      </c>
      <c r="B393" s="67" t="s">
        <v>836</v>
      </c>
      <c r="C393" s="67" t="s">
        <v>837</v>
      </c>
      <c r="D393" s="68">
        <v>44998.0</v>
      </c>
      <c r="E393" s="68">
        <v>45015.0</v>
      </c>
      <c r="F393" s="69">
        <v>2.19E8</v>
      </c>
      <c r="G393" s="69">
        <v>2.19E8</v>
      </c>
      <c r="H393" s="69">
        <v>8.380316685E7</v>
      </c>
      <c r="I393" s="69">
        <v>2.19E8</v>
      </c>
      <c r="J393" s="70">
        <f t="shared" si="9"/>
        <v>0.3826628623</v>
      </c>
    </row>
    <row r="394" ht="22.5" customHeight="1" outlineLevel="2">
      <c r="A394" s="66" t="s">
        <v>838</v>
      </c>
      <c r="B394" s="67" t="s">
        <v>839</v>
      </c>
      <c r="C394" s="67" t="s">
        <v>840</v>
      </c>
      <c r="D394" s="68">
        <v>44993.0</v>
      </c>
      <c r="E394" s="68">
        <v>45030.0</v>
      </c>
      <c r="F394" s="69">
        <v>1.339E8</v>
      </c>
      <c r="G394" s="69">
        <v>1.339E8</v>
      </c>
      <c r="H394" s="69">
        <v>3.4912379E7</v>
      </c>
      <c r="I394" s="69">
        <v>1.339E8</v>
      </c>
      <c r="J394" s="70">
        <f t="shared" si="9"/>
        <v>0.2607347199</v>
      </c>
    </row>
    <row r="395" ht="22.5" customHeight="1" outlineLevel="2">
      <c r="A395" s="66" t="s">
        <v>841</v>
      </c>
      <c r="B395" s="67" t="s">
        <v>842</v>
      </c>
      <c r="C395" s="67" t="s">
        <v>843</v>
      </c>
      <c r="D395" s="68">
        <v>44994.0</v>
      </c>
      <c r="E395" s="68">
        <v>45008.0</v>
      </c>
      <c r="F395" s="69">
        <v>1.7776E8</v>
      </c>
      <c r="G395" s="69">
        <v>1.7776E8</v>
      </c>
      <c r="H395" s="69">
        <v>3760000.0</v>
      </c>
      <c r="I395" s="69">
        <v>1.7776E8</v>
      </c>
      <c r="J395" s="70">
        <f t="shared" si="9"/>
        <v>0.02115211521</v>
      </c>
    </row>
    <row r="396" ht="22.5" customHeight="1" outlineLevel="2">
      <c r="A396" s="66" t="s">
        <v>844</v>
      </c>
      <c r="B396" s="67" t="s">
        <v>845</v>
      </c>
      <c r="C396" s="67" t="s">
        <v>846</v>
      </c>
      <c r="D396" s="68">
        <v>44994.0</v>
      </c>
      <c r="E396" s="68">
        <v>45050.0</v>
      </c>
      <c r="F396" s="69">
        <v>1.85588E8</v>
      </c>
      <c r="G396" s="69">
        <v>1.85588E8</v>
      </c>
      <c r="H396" s="69">
        <v>3.947816555000001E7</v>
      </c>
      <c r="I396" s="69">
        <v>1.85588E8</v>
      </c>
      <c r="J396" s="70">
        <f t="shared" si="9"/>
        <v>0.2127193868</v>
      </c>
    </row>
    <row r="397" ht="22.5" customHeight="1" outlineLevel="2">
      <c r="A397" s="66" t="s">
        <v>847</v>
      </c>
      <c r="B397" s="67" t="s">
        <v>848</v>
      </c>
      <c r="C397" s="67" t="s">
        <v>792</v>
      </c>
      <c r="D397" s="68">
        <v>44995.0</v>
      </c>
      <c r="E397" s="68">
        <v>45110.0</v>
      </c>
      <c r="F397" s="69">
        <v>2.04792E8</v>
      </c>
      <c r="G397" s="69">
        <v>2.04792E8</v>
      </c>
      <c r="H397" s="69">
        <v>8.50568101E7</v>
      </c>
      <c r="I397" s="69">
        <v>2.04792E8</v>
      </c>
      <c r="J397" s="70">
        <f t="shared" si="9"/>
        <v>0.4153326795</v>
      </c>
    </row>
    <row r="398" ht="22.5" customHeight="1" outlineLevel="2">
      <c r="A398" s="66" t="s">
        <v>849</v>
      </c>
      <c r="B398" s="67" t="s">
        <v>850</v>
      </c>
      <c r="C398" s="67" t="s">
        <v>851</v>
      </c>
      <c r="D398" s="68">
        <v>44999.0</v>
      </c>
      <c r="E398" s="68">
        <v>45020.0</v>
      </c>
      <c r="F398" s="69">
        <v>2.517291E8</v>
      </c>
      <c r="G398" s="69">
        <v>2.517291E8</v>
      </c>
      <c r="H398" s="69">
        <v>1.1424897E8</v>
      </c>
      <c r="I398" s="69">
        <v>2.517291E8</v>
      </c>
      <c r="J398" s="70">
        <f t="shared" si="9"/>
        <v>0.4538568247</v>
      </c>
    </row>
    <row r="399" ht="22.5" customHeight="1" outlineLevel="2">
      <c r="A399" s="66" t="s">
        <v>852</v>
      </c>
      <c r="B399" s="67" t="s">
        <v>853</v>
      </c>
      <c r="C399" s="67" t="s">
        <v>854</v>
      </c>
      <c r="D399" s="68">
        <v>44999.0</v>
      </c>
      <c r="E399" s="68">
        <v>45012.0</v>
      </c>
      <c r="F399" s="69">
        <v>1.95972E8</v>
      </c>
      <c r="G399" s="69">
        <v>1.95972E8</v>
      </c>
      <c r="H399" s="69">
        <v>8.415772581E7</v>
      </c>
      <c r="I399" s="69">
        <v>1.95972E8</v>
      </c>
      <c r="J399" s="70">
        <f t="shared" si="9"/>
        <v>0.4294375003</v>
      </c>
    </row>
    <row r="400" ht="22.5" customHeight="1" outlineLevel="2">
      <c r="A400" s="66" t="s">
        <v>855</v>
      </c>
      <c r="B400" s="67" t="s">
        <v>856</v>
      </c>
      <c r="C400" s="67" t="s">
        <v>857</v>
      </c>
      <c r="D400" s="68">
        <v>44999.0</v>
      </c>
      <c r="E400" s="68">
        <v>45007.0</v>
      </c>
      <c r="F400" s="69">
        <v>1.6647E7</v>
      </c>
      <c r="G400" s="69">
        <v>1.6647E7</v>
      </c>
      <c r="H400" s="69">
        <v>1514000.0</v>
      </c>
      <c r="I400" s="69">
        <v>1.6647E7</v>
      </c>
      <c r="J400" s="70">
        <f t="shared" si="9"/>
        <v>0.09094731784</v>
      </c>
    </row>
    <row r="401" ht="22.5" customHeight="1" outlineLevel="2">
      <c r="A401" s="66" t="s">
        <v>858</v>
      </c>
      <c r="B401" s="67" t="s">
        <v>859</v>
      </c>
      <c r="C401" s="67" t="s">
        <v>860</v>
      </c>
      <c r="D401" s="68">
        <v>44998.0</v>
      </c>
      <c r="E401" s="68">
        <v>45005.0</v>
      </c>
      <c r="F401" s="69">
        <v>2.58E7</v>
      </c>
      <c r="G401" s="69">
        <v>2.58E7</v>
      </c>
      <c r="H401" s="69">
        <v>700000.0</v>
      </c>
      <c r="I401" s="69">
        <v>2.58E7</v>
      </c>
      <c r="J401" s="70">
        <f t="shared" si="9"/>
        <v>0.02713178295</v>
      </c>
    </row>
    <row r="402" ht="22.5" customHeight="1" outlineLevel="2">
      <c r="A402" s="66" t="s">
        <v>861</v>
      </c>
      <c r="B402" s="67" t="s">
        <v>862</v>
      </c>
      <c r="C402" s="67" t="s">
        <v>863</v>
      </c>
      <c r="D402" s="68">
        <v>45001.0</v>
      </c>
      <c r="E402" s="68">
        <v>45005.0</v>
      </c>
      <c r="F402" s="69">
        <v>1.012E7</v>
      </c>
      <c r="G402" s="69">
        <v>1.012E7</v>
      </c>
      <c r="H402" s="69">
        <v>920000.0</v>
      </c>
      <c r="I402" s="69">
        <v>1.012E7</v>
      </c>
      <c r="J402" s="70">
        <f t="shared" si="9"/>
        <v>0.09090909091</v>
      </c>
    </row>
    <row r="403" ht="22.5" customHeight="1" outlineLevel="2">
      <c r="A403" s="66" t="s">
        <v>864</v>
      </c>
      <c r="B403" s="67" t="s">
        <v>865</v>
      </c>
      <c r="C403" s="67" t="s">
        <v>866</v>
      </c>
      <c r="D403" s="68">
        <v>45005.0</v>
      </c>
      <c r="E403" s="68">
        <v>45015.0</v>
      </c>
      <c r="F403" s="69">
        <v>1.295E8</v>
      </c>
      <c r="G403" s="69">
        <v>1.295E8</v>
      </c>
      <c r="H403" s="69">
        <v>1.6987405E7</v>
      </c>
      <c r="I403" s="69">
        <v>1.295E8</v>
      </c>
      <c r="J403" s="70">
        <f t="shared" si="9"/>
        <v>0.1311768726</v>
      </c>
    </row>
    <row r="404" ht="22.5" customHeight="1" outlineLevel="2">
      <c r="A404" s="66" t="s">
        <v>867</v>
      </c>
      <c r="B404" s="67" t="s">
        <v>868</v>
      </c>
      <c r="C404" s="67" t="s">
        <v>869</v>
      </c>
      <c r="D404" s="68">
        <v>45005.0</v>
      </c>
      <c r="E404" s="68">
        <v>45012.0</v>
      </c>
      <c r="F404" s="69">
        <v>6.36E7</v>
      </c>
      <c r="G404" s="69">
        <v>6.36E7</v>
      </c>
      <c r="H404" s="69">
        <v>2.29624356E7</v>
      </c>
      <c r="I404" s="69">
        <v>6.36E7</v>
      </c>
      <c r="J404" s="70">
        <f t="shared" si="9"/>
        <v>0.3610445849</v>
      </c>
    </row>
    <row r="405" ht="22.5" customHeight="1" outlineLevel="2">
      <c r="A405" s="66" t="s">
        <v>870</v>
      </c>
      <c r="B405" s="67" t="s">
        <v>871</v>
      </c>
      <c r="C405" s="67" t="s">
        <v>872</v>
      </c>
      <c r="D405" s="68">
        <v>45005.0</v>
      </c>
      <c r="E405" s="68">
        <v>45012.0</v>
      </c>
      <c r="F405" s="69">
        <v>3.2436E7</v>
      </c>
      <c r="G405" s="69">
        <v>3.2436E7</v>
      </c>
      <c r="H405" s="69">
        <v>1.7014E7</v>
      </c>
      <c r="I405" s="69">
        <v>3.2436E7</v>
      </c>
      <c r="J405" s="70">
        <f t="shared" si="9"/>
        <v>0.5245406339</v>
      </c>
    </row>
    <row r="406" ht="22.5" customHeight="1" outlineLevel="2">
      <c r="A406" s="66" t="s">
        <v>873</v>
      </c>
      <c r="B406" s="67" t="s">
        <v>874</v>
      </c>
      <c r="C406" s="67" t="s">
        <v>875</v>
      </c>
      <c r="D406" s="68">
        <v>45008.0</v>
      </c>
      <c r="E406" s="68">
        <v>45020.0</v>
      </c>
      <c r="F406" s="69">
        <v>1.905E8</v>
      </c>
      <c r="G406" s="69">
        <v>1.905E8</v>
      </c>
      <c r="H406" s="69">
        <v>7.538524912017544E7</v>
      </c>
      <c r="I406" s="69">
        <v>1.905E8</v>
      </c>
      <c r="J406" s="70">
        <f t="shared" si="9"/>
        <v>0.3957230925</v>
      </c>
    </row>
    <row r="407" ht="22.5" customHeight="1" outlineLevel="2">
      <c r="A407" s="66" t="s">
        <v>876</v>
      </c>
      <c r="B407" s="67" t="s">
        <v>877</v>
      </c>
      <c r="C407" s="67" t="s">
        <v>878</v>
      </c>
      <c r="D407" s="68">
        <v>45009.0</v>
      </c>
      <c r="E407" s="68">
        <v>45015.0</v>
      </c>
      <c r="F407" s="69">
        <v>7629000.0</v>
      </c>
      <c r="G407" s="69">
        <v>7629000.0</v>
      </c>
      <c r="H407" s="69">
        <v>749000.0</v>
      </c>
      <c r="I407" s="69">
        <v>7629000.0</v>
      </c>
      <c r="J407" s="70">
        <f t="shared" si="9"/>
        <v>0.09817800498</v>
      </c>
    </row>
    <row r="408" ht="22.5" customHeight="1" outlineLevel="2">
      <c r="A408" s="66" t="s">
        <v>879</v>
      </c>
      <c r="B408" s="67" t="s">
        <v>880</v>
      </c>
      <c r="C408" s="67" t="s">
        <v>881</v>
      </c>
      <c r="D408" s="68">
        <v>45009.0</v>
      </c>
      <c r="E408" s="68">
        <v>45016.0</v>
      </c>
      <c r="F408" s="69">
        <v>2.695E8</v>
      </c>
      <c r="G408" s="69">
        <v>2.695E8</v>
      </c>
      <c r="H408" s="69">
        <v>5.5617855E7</v>
      </c>
      <c r="I408" s="69">
        <v>2.695E8</v>
      </c>
      <c r="J408" s="70">
        <f t="shared" si="9"/>
        <v>0.2063742301</v>
      </c>
    </row>
    <row r="409" ht="22.5" customHeight="1" outlineLevel="2">
      <c r="A409" s="66" t="s">
        <v>882</v>
      </c>
      <c r="B409" s="67" t="s">
        <v>883</v>
      </c>
      <c r="C409" s="67" t="s">
        <v>884</v>
      </c>
      <c r="D409" s="68">
        <v>45000.0</v>
      </c>
      <c r="E409" s="68">
        <v>45001.0</v>
      </c>
      <c r="F409" s="69">
        <v>1.272E7</v>
      </c>
      <c r="G409" s="69">
        <v>1.272E7</v>
      </c>
      <c r="H409" s="69">
        <v>6694262.0</v>
      </c>
      <c r="I409" s="69">
        <v>1.272E7</v>
      </c>
      <c r="J409" s="70">
        <f t="shared" si="9"/>
        <v>0.5262784591</v>
      </c>
    </row>
    <row r="410" ht="22.5" customHeight="1" outlineLevel="2">
      <c r="A410" s="66" t="s">
        <v>885</v>
      </c>
      <c r="B410" s="67" t="s">
        <v>886</v>
      </c>
      <c r="C410" s="67" t="s">
        <v>772</v>
      </c>
      <c r="D410" s="68">
        <v>45001.0</v>
      </c>
      <c r="E410" s="68">
        <v>45007.0</v>
      </c>
      <c r="F410" s="69">
        <v>2.03E7</v>
      </c>
      <c r="G410" s="69">
        <v>2.03E7</v>
      </c>
      <c r="H410" s="69">
        <v>525000.0</v>
      </c>
      <c r="I410" s="69">
        <v>2.03E7</v>
      </c>
      <c r="J410" s="70">
        <f t="shared" si="9"/>
        <v>0.02586206897</v>
      </c>
    </row>
    <row r="411" ht="22.5" customHeight="1" outlineLevel="2">
      <c r="A411" s="66" t="s">
        <v>887</v>
      </c>
      <c r="B411" s="67" t="s">
        <v>888</v>
      </c>
      <c r="C411" s="67" t="s">
        <v>755</v>
      </c>
      <c r="D411" s="68">
        <v>45007.0</v>
      </c>
      <c r="E411" s="68">
        <v>45007.0</v>
      </c>
      <c r="F411" s="69">
        <v>9450000.0</v>
      </c>
      <c r="G411" s="69">
        <v>9450000.0</v>
      </c>
      <c r="H411" s="69">
        <v>70000.0</v>
      </c>
      <c r="I411" s="69">
        <v>9450000.0</v>
      </c>
      <c r="J411" s="70">
        <f t="shared" si="9"/>
        <v>0.007407407407</v>
      </c>
    </row>
    <row r="412" ht="22.5" customHeight="1" outlineLevel="2">
      <c r="A412" s="66" t="s">
        <v>889</v>
      </c>
      <c r="B412" s="67" t="s">
        <v>890</v>
      </c>
      <c r="C412" s="67" t="s">
        <v>891</v>
      </c>
      <c r="D412" s="68">
        <v>45000.0</v>
      </c>
      <c r="E412" s="68">
        <v>45007.0</v>
      </c>
      <c r="F412" s="69">
        <v>6000000.0</v>
      </c>
      <c r="G412" s="69">
        <v>6000000.0</v>
      </c>
      <c r="H412" s="69">
        <v>382500.0</v>
      </c>
      <c r="I412" s="69">
        <v>6000000.0</v>
      </c>
      <c r="J412" s="70">
        <f t="shared" si="9"/>
        <v>0.06375</v>
      </c>
    </row>
    <row r="413" ht="22.5" customHeight="1" outlineLevel="2">
      <c r="A413" s="66" t="s">
        <v>892</v>
      </c>
      <c r="B413" s="67" t="s">
        <v>893</v>
      </c>
      <c r="C413" s="67" t="s">
        <v>894</v>
      </c>
      <c r="D413" s="68">
        <v>45007.0</v>
      </c>
      <c r="E413" s="68">
        <v>45012.0</v>
      </c>
      <c r="F413" s="69">
        <v>5.67567E7</v>
      </c>
      <c r="G413" s="69">
        <v>5.67567E7</v>
      </c>
      <c r="H413" s="69">
        <v>3092212.735000007</v>
      </c>
      <c r="I413" s="69">
        <v>5.67567E7</v>
      </c>
      <c r="J413" s="70">
        <f t="shared" si="9"/>
        <v>0.05448189791</v>
      </c>
    </row>
    <row r="414" ht="22.5" customHeight="1" outlineLevel="2">
      <c r="A414" s="66" t="s">
        <v>895</v>
      </c>
      <c r="B414" s="67" t="s">
        <v>896</v>
      </c>
      <c r="C414" s="67" t="s">
        <v>897</v>
      </c>
      <c r="D414" s="68">
        <v>45009.0</v>
      </c>
      <c r="E414" s="68">
        <v>45020.0</v>
      </c>
      <c r="F414" s="69">
        <v>1.05875E7</v>
      </c>
      <c r="G414" s="69">
        <v>1.05875E7</v>
      </c>
      <c r="H414" s="69">
        <v>4613257.0875</v>
      </c>
      <c r="I414" s="69">
        <v>1.05875E7</v>
      </c>
      <c r="J414" s="70">
        <f t="shared" si="9"/>
        <v>0.4357267615</v>
      </c>
    </row>
    <row r="415" ht="22.5" customHeight="1" outlineLevel="2">
      <c r="A415" s="66" t="s">
        <v>898</v>
      </c>
      <c r="B415" s="67" t="s">
        <v>899</v>
      </c>
      <c r="C415" s="67" t="s">
        <v>823</v>
      </c>
      <c r="D415" s="68">
        <v>45012.0</v>
      </c>
      <c r="E415" s="68">
        <v>45021.0</v>
      </c>
      <c r="F415" s="69">
        <v>8290000.0</v>
      </c>
      <c r="G415" s="69">
        <v>8290000.0</v>
      </c>
      <c r="H415" s="69">
        <v>890000.0</v>
      </c>
      <c r="I415" s="69">
        <v>8290000.0</v>
      </c>
      <c r="J415" s="70">
        <f t="shared" si="9"/>
        <v>0.107358263</v>
      </c>
    </row>
    <row r="416" ht="22.5" customHeight="1" outlineLevel="2">
      <c r="A416" s="66" t="s">
        <v>900</v>
      </c>
      <c r="B416" s="67" t="s">
        <v>901</v>
      </c>
      <c r="C416" s="67" t="s">
        <v>902</v>
      </c>
      <c r="D416" s="68">
        <v>45012.0</v>
      </c>
      <c r="E416" s="68">
        <v>45016.0</v>
      </c>
      <c r="F416" s="69">
        <v>4.6935E7</v>
      </c>
      <c r="G416" s="69">
        <v>4.6935E7</v>
      </c>
      <c r="H416" s="69">
        <v>4935000.0</v>
      </c>
      <c r="I416" s="69">
        <v>4.6935E7</v>
      </c>
      <c r="J416" s="70">
        <f t="shared" si="9"/>
        <v>0.1051454139</v>
      </c>
    </row>
    <row r="417" ht="22.5" customHeight="1" outlineLevel="2">
      <c r="A417" s="66" t="s">
        <v>903</v>
      </c>
      <c r="B417" s="67" t="s">
        <v>904</v>
      </c>
      <c r="C417" s="67" t="s">
        <v>905</v>
      </c>
      <c r="D417" s="68">
        <v>45013.0</v>
      </c>
      <c r="E417" s="68">
        <v>45043.0</v>
      </c>
      <c r="F417" s="69">
        <v>2.4E7</v>
      </c>
      <c r="G417" s="69">
        <v>2.4E7</v>
      </c>
      <c r="H417" s="69">
        <v>1.20430136E7</v>
      </c>
      <c r="I417" s="69">
        <v>2.4E7</v>
      </c>
      <c r="J417" s="70">
        <f t="shared" si="9"/>
        <v>0.5017922333</v>
      </c>
    </row>
    <row r="418" ht="22.5" customHeight="1" outlineLevel="2">
      <c r="A418" s="66" t="s">
        <v>906</v>
      </c>
      <c r="B418" s="67" t="s">
        <v>907</v>
      </c>
      <c r="C418" s="67" t="s">
        <v>908</v>
      </c>
      <c r="D418" s="68">
        <v>45015.0</v>
      </c>
      <c r="E418" s="68">
        <v>45054.0</v>
      </c>
      <c r="F418" s="69">
        <v>1.91954E8</v>
      </c>
      <c r="G418" s="69">
        <v>1.91954E8</v>
      </c>
      <c r="H418" s="69">
        <v>6.17201599E7</v>
      </c>
      <c r="I418" s="69">
        <v>1.91954E8</v>
      </c>
      <c r="J418" s="70">
        <f t="shared" si="9"/>
        <v>0.3215362009</v>
      </c>
    </row>
    <row r="419" ht="22.5" customHeight="1" outlineLevel="2">
      <c r="A419" s="66" t="s">
        <v>909</v>
      </c>
      <c r="B419" s="67" t="s">
        <v>910</v>
      </c>
      <c r="C419" s="67" t="s">
        <v>786</v>
      </c>
      <c r="D419" s="68">
        <v>45015.0</v>
      </c>
      <c r="E419" s="68">
        <v>45027.0</v>
      </c>
      <c r="F419" s="69">
        <v>4.65E8</v>
      </c>
      <c r="G419" s="69">
        <v>4.65E8</v>
      </c>
      <c r="H419" s="69">
        <v>2.8768101685000002E7</v>
      </c>
      <c r="I419" s="69">
        <v>4.65E8</v>
      </c>
      <c r="J419" s="70">
        <f t="shared" si="9"/>
        <v>0.06186688534</v>
      </c>
    </row>
    <row r="420" ht="22.5" customHeight="1" outlineLevel="2">
      <c r="A420" s="66" t="s">
        <v>911</v>
      </c>
      <c r="B420" s="67" t="s">
        <v>912</v>
      </c>
      <c r="C420" s="67" t="s">
        <v>913</v>
      </c>
      <c r="D420" s="68">
        <v>45015.0</v>
      </c>
      <c r="E420" s="68">
        <v>45022.0</v>
      </c>
      <c r="F420" s="69">
        <v>3.5595E7</v>
      </c>
      <c r="G420" s="69">
        <v>3.5595E7</v>
      </c>
      <c r="H420" s="69">
        <v>1095000.0</v>
      </c>
      <c r="I420" s="69">
        <v>3.5595E7</v>
      </c>
      <c r="J420" s="70">
        <f t="shared" si="9"/>
        <v>0.03076274758</v>
      </c>
    </row>
    <row r="421" ht="22.5" customHeight="1" outlineLevel="2">
      <c r="A421" s="66" t="s">
        <v>914</v>
      </c>
      <c r="B421" s="67" t="s">
        <v>915</v>
      </c>
      <c r="C421" s="67" t="s">
        <v>916</v>
      </c>
      <c r="D421" s="68">
        <v>45015.0</v>
      </c>
      <c r="E421" s="68">
        <v>45019.0</v>
      </c>
      <c r="F421" s="69">
        <v>3.135E7</v>
      </c>
      <c r="G421" s="69">
        <v>3.135E7</v>
      </c>
      <c r="H421" s="69">
        <v>1000000.0</v>
      </c>
      <c r="I421" s="69">
        <v>3.135E7</v>
      </c>
      <c r="J421" s="70">
        <f t="shared" si="9"/>
        <v>0.03189792663</v>
      </c>
    </row>
    <row r="422" ht="22.5" customHeight="1" outlineLevel="2">
      <c r="A422" s="66" t="s">
        <v>917</v>
      </c>
      <c r="B422" s="67" t="s">
        <v>918</v>
      </c>
      <c r="C422" s="67" t="s">
        <v>919</v>
      </c>
      <c r="D422" s="68">
        <v>45019.0</v>
      </c>
      <c r="E422" s="68">
        <v>45034.0</v>
      </c>
      <c r="F422" s="69">
        <v>8.0E7</v>
      </c>
      <c r="G422" s="69">
        <v>8.0E7</v>
      </c>
      <c r="H422" s="69">
        <v>1.1261684599999994E7</v>
      </c>
      <c r="I422" s="69">
        <v>8.0E7</v>
      </c>
      <c r="J422" s="70">
        <f t="shared" si="9"/>
        <v>0.1407710575</v>
      </c>
    </row>
    <row r="423" ht="22.5" customHeight="1" outlineLevel="2">
      <c r="A423" s="66" t="s">
        <v>920</v>
      </c>
      <c r="B423" s="67" t="s">
        <v>921</v>
      </c>
      <c r="C423" s="67" t="s">
        <v>922</v>
      </c>
      <c r="D423" s="68">
        <v>45019.0</v>
      </c>
      <c r="E423" s="68">
        <v>45040.0</v>
      </c>
      <c r="F423" s="69">
        <v>2500000.0</v>
      </c>
      <c r="G423" s="69">
        <v>2500000.0</v>
      </c>
      <c r="H423" s="69">
        <v>545000.0</v>
      </c>
      <c r="I423" s="69">
        <v>2500000.0</v>
      </c>
      <c r="J423" s="70">
        <f t="shared" si="9"/>
        <v>0.218</v>
      </c>
    </row>
    <row r="424" ht="22.5" customHeight="1" outlineLevel="2">
      <c r="A424" s="66" t="s">
        <v>923</v>
      </c>
      <c r="B424" s="67" t="s">
        <v>924</v>
      </c>
      <c r="C424" s="67" t="s">
        <v>925</v>
      </c>
      <c r="D424" s="68">
        <v>45020.0</v>
      </c>
      <c r="E424" s="68">
        <v>45061.0</v>
      </c>
      <c r="F424" s="69">
        <v>2.6162E7</v>
      </c>
      <c r="G424" s="69">
        <v>2.6162E7</v>
      </c>
      <c r="H424" s="69">
        <v>762000.0</v>
      </c>
      <c r="I424" s="69">
        <v>2.6162E7</v>
      </c>
      <c r="J424" s="70">
        <f t="shared" si="9"/>
        <v>0.02912621359</v>
      </c>
    </row>
    <row r="425" ht="22.5" customHeight="1" outlineLevel="2">
      <c r="A425" s="66" t="s">
        <v>926</v>
      </c>
      <c r="B425" s="67" t="s">
        <v>927</v>
      </c>
      <c r="C425" s="67" t="s">
        <v>928</v>
      </c>
      <c r="D425" s="68">
        <v>45020.0</v>
      </c>
      <c r="E425" s="68">
        <v>45068.0</v>
      </c>
      <c r="F425" s="69">
        <v>3.90192E7</v>
      </c>
      <c r="G425" s="69">
        <v>3.90192E7</v>
      </c>
      <c r="H425" s="69">
        <v>3234348.9650000036</v>
      </c>
      <c r="I425" s="69">
        <v>3.90192E7</v>
      </c>
      <c r="J425" s="70">
        <f t="shared" si="9"/>
        <v>0.08289121676</v>
      </c>
    </row>
    <row r="426" ht="22.5" customHeight="1" outlineLevel="2">
      <c r="A426" s="66" t="s">
        <v>929</v>
      </c>
      <c r="B426" s="67" t="s">
        <v>930</v>
      </c>
      <c r="C426" s="67" t="s">
        <v>931</v>
      </c>
      <c r="D426" s="68">
        <v>45020.0</v>
      </c>
      <c r="E426" s="68">
        <v>45043.0</v>
      </c>
      <c r="F426" s="69">
        <v>6.60275E7</v>
      </c>
      <c r="G426" s="69">
        <v>6.60275E7</v>
      </c>
      <c r="H426" s="69">
        <v>1.5532891225000001E7</v>
      </c>
      <c r="I426" s="69">
        <v>6.60275E7</v>
      </c>
      <c r="J426" s="70">
        <f t="shared" si="9"/>
        <v>0.2352488164</v>
      </c>
    </row>
    <row r="427" ht="22.5" customHeight="1" outlineLevel="2">
      <c r="A427" s="66" t="s">
        <v>932</v>
      </c>
      <c r="B427" s="67" t="s">
        <v>933</v>
      </c>
      <c r="C427" s="67" t="s">
        <v>746</v>
      </c>
      <c r="D427" s="68">
        <v>45022.0</v>
      </c>
      <c r="E427" s="68">
        <v>45036.0</v>
      </c>
      <c r="F427" s="69">
        <v>1.9186E8</v>
      </c>
      <c r="G427" s="69">
        <v>1.9186E8</v>
      </c>
      <c r="H427" s="69">
        <v>5860000.0</v>
      </c>
      <c r="I427" s="69">
        <v>1.9186E8</v>
      </c>
      <c r="J427" s="70">
        <f t="shared" si="9"/>
        <v>0.03054310435</v>
      </c>
    </row>
    <row r="428" ht="22.5" customHeight="1" outlineLevel="2">
      <c r="A428" s="66" t="s">
        <v>934</v>
      </c>
      <c r="B428" s="67" t="s">
        <v>935</v>
      </c>
      <c r="C428" s="67" t="s">
        <v>936</v>
      </c>
      <c r="D428" s="68">
        <v>45026.0</v>
      </c>
      <c r="E428" s="68">
        <v>45029.0</v>
      </c>
      <c r="F428" s="69">
        <v>6.948E7</v>
      </c>
      <c r="G428" s="69">
        <v>6.948E7</v>
      </c>
      <c r="H428" s="69">
        <v>2.11692398375E7</v>
      </c>
      <c r="I428" s="69">
        <v>6.948E7</v>
      </c>
      <c r="J428" s="70">
        <f t="shared" si="9"/>
        <v>0.304681057</v>
      </c>
    </row>
    <row r="429" ht="22.5" customHeight="1" outlineLevel="2">
      <c r="A429" s="66" t="s">
        <v>937</v>
      </c>
      <c r="B429" s="67" t="s">
        <v>938</v>
      </c>
      <c r="C429" s="67" t="s">
        <v>939</v>
      </c>
      <c r="D429" s="68">
        <v>45026.0</v>
      </c>
      <c r="E429" s="68">
        <v>45071.0</v>
      </c>
      <c r="F429" s="69">
        <v>3.22E8</v>
      </c>
      <c r="G429" s="69">
        <v>3.22E8</v>
      </c>
      <c r="H429" s="69">
        <v>1.4E7</v>
      </c>
      <c r="I429" s="69">
        <v>3.22E8</v>
      </c>
      <c r="J429" s="70">
        <f t="shared" si="9"/>
        <v>0.04347826087</v>
      </c>
    </row>
    <row r="430" ht="22.5" customHeight="1" outlineLevel="2">
      <c r="A430" s="66" t="s">
        <v>940</v>
      </c>
      <c r="B430" s="67" t="s">
        <v>941</v>
      </c>
      <c r="C430" s="67" t="s">
        <v>942</v>
      </c>
      <c r="D430" s="68">
        <v>45027.0</v>
      </c>
      <c r="E430" s="68">
        <v>45040.0</v>
      </c>
      <c r="F430" s="69">
        <v>1.80144E8</v>
      </c>
      <c r="G430" s="69">
        <v>1.80144E8</v>
      </c>
      <c r="H430" s="69">
        <v>7.630825625000003E7</v>
      </c>
      <c r="I430" s="69">
        <v>1.80144E8</v>
      </c>
      <c r="J430" s="70">
        <f t="shared" si="9"/>
        <v>0.4235958802</v>
      </c>
    </row>
    <row r="431" ht="22.5" customHeight="1" outlineLevel="2">
      <c r="A431" s="66" t="s">
        <v>943</v>
      </c>
      <c r="B431" s="67" t="s">
        <v>944</v>
      </c>
      <c r="C431" s="67" t="s">
        <v>945</v>
      </c>
      <c r="D431" s="68">
        <v>45033.0</v>
      </c>
      <c r="E431" s="68">
        <v>45036.0</v>
      </c>
      <c r="F431" s="69">
        <v>2.72492E8</v>
      </c>
      <c r="G431" s="69">
        <v>2.72492E8</v>
      </c>
      <c r="H431" s="69">
        <v>1.2292E7</v>
      </c>
      <c r="I431" s="69">
        <v>2.72492E8</v>
      </c>
      <c r="J431" s="70">
        <f t="shared" si="9"/>
        <v>0.0451095812</v>
      </c>
    </row>
    <row r="432" ht="22.5" customHeight="1" outlineLevel="2">
      <c r="A432" s="66" t="s">
        <v>946</v>
      </c>
      <c r="B432" s="67" t="s">
        <v>947</v>
      </c>
      <c r="C432" s="67" t="s">
        <v>786</v>
      </c>
      <c r="D432" s="68">
        <v>45030.0</v>
      </c>
      <c r="E432" s="68">
        <v>45044.0</v>
      </c>
      <c r="F432" s="69">
        <v>7.4375E7</v>
      </c>
      <c r="G432" s="69">
        <v>7.4375E7</v>
      </c>
      <c r="H432" s="69">
        <v>3.0463235E7</v>
      </c>
      <c r="I432" s="69">
        <v>7.4375E7</v>
      </c>
      <c r="J432" s="70">
        <f t="shared" si="9"/>
        <v>0.4095897143</v>
      </c>
    </row>
    <row r="433" ht="22.5" customHeight="1" outlineLevel="2">
      <c r="A433" s="66" t="s">
        <v>948</v>
      </c>
      <c r="B433" s="67" t="s">
        <v>949</v>
      </c>
      <c r="C433" s="67" t="s">
        <v>786</v>
      </c>
      <c r="D433" s="68">
        <v>45033.0</v>
      </c>
      <c r="E433" s="68">
        <v>45040.0</v>
      </c>
      <c r="F433" s="69">
        <v>7400000.0</v>
      </c>
      <c r="G433" s="69">
        <v>7400000.0</v>
      </c>
      <c r="H433" s="69">
        <v>1064000.0</v>
      </c>
      <c r="I433" s="69">
        <v>7400000.0</v>
      </c>
      <c r="J433" s="70">
        <f t="shared" si="9"/>
        <v>0.1437837838</v>
      </c>
    </row>
    <row r="434" ht="22.5" customHeight="1" outlineLevel="2">
      <c r="A434" s="66" t="s">
        <v>950</v>
      </c>
      <c r="B434" s="67" t="s">
        <v>951</v>
      </c>
      <c r="C434" s="67" t="s">
        <v>952</v>
      </c>
      <c r="D434" s="68">
        <v>45035.0</v>
      </c>
      <c r="E434" s="68">
        <v>45243.0</v>
      </c>
      <c r="F434" s="69">
        <v>1.53556E8</v>
      </c>
      <c r="G434" s="69">
        <v>1.53556E8</v>
      </c>
      <c r="H434" s="69">
        <v>6956000.0</v>
      </c>
      <c r="I434" s="69">
        <v>1.53556E8</v>
      </c>
      <c r="J434" s="70">
        <f t="shared" si="9"/>
        <v>0.04529943473</v>
      </c>
    </row>
    <row r="435" ht="22.5" customHeight="1" outlineLevel="2">
      <c r="A435" s="66" t="s">
        <v>953</v>
      </c>
      <c r="B435" s="67" t="s">
        <v>954</v>
      </c>
      <c r="C435" s="67" t="s">
        <v>763</v>
      </c>
      <c r="D435" s="68">
        <v>45035.0</v>
      </c>
      <c r="E435" s="68">
        <v>45062.0</v>
      </c>
      <c r="F435" s="69">
        <v>1.042475E8</v>
      </c>
      <c r="G435" s="69">
        <v>1.042475E8</v>
      </c>
      <c r="H435" s="69">
        <v>4.34086046E7</v>
      </c>
      <c r="I435" s="69">
        <v>1.042475E8</v>
      </c>
      <c r="J435" s="70">
        <f t="shared" si="9"/>
        <v>0.4163994782</v>
      </c>
    </row>
    <row r="436" ht="22.5" customHeight="1" outlineLevel="2">
      <c r="A436" s="66" t="s">
        <v>955</v>
      </c>
      <c r="B436" s="67" t="s">
        <v>956</v>
      </c>
      <c r="C436" s="67" t="s">
        <v>957</v>
      </c>
      <c r="D436" s="68">
        <v>45035.0</v>
      </c>
      <c r="E436" s="68">
        <v>45061.0</v>
      </c>
      <c r="F436" s="69">
        <v>9.69612E7</v>
      </c>
      <c r="G436" s="69">
        <v>9.69612E7</v>
      </c>
      <c r="H436" s="69">
        <v>5.4800683E7</v>
      </c>
      <c r="I436" s="69">
        <v>9.69612E7</v>
      </c>
      <c r="J436" s="70">
        <f t="shared" si="9"/>
        <v>0.5651815675</v>
      </c>
    </row>
    <row r="437" ht="22.5" customHeight="1" outlineLevel="2">
      <c r="A437" s="66" t="s">
        <v>489</v>
      </c>
      <c r="B437" s="67" t="s">
        <v>958</v>
      </c>
      <c r="C437" s="67" t="s">
        <v>959</v>
      </c>
      <c r="D437" s="68">
        <v>45035.0</v>
      </c>
      <c r="E437" s="68">
        <v>45061.0</v>
      </c>
      <c r="F437" s="69">
        <v>1.431332E8</v>
      </c>
      <c r="G437" s="69">
        <v>1.431332E8</v>
      </c>
      <c r="H437" s="69">
        <v>7.685600091666666E7</v>
      </c>
      <c r="I437" s="69">
        <v>2.862664E8</v>
      </c>
      <c r="J437" s="70">
        <f t="shared" si="9"/>
        <v>0.5369543957</v>
      </c>
    </row>
    <row r="438" ht="22.5" customHeight="1" outlineLevel="2">
      <c r="A438" s="66" t="s">
        <v>960</v>
      </c>
      <c r="B438" s="67" t="s">
        <v>961</v>
      </c>
      <c r="C438" s="67" t="s">
        <v>936</v>
      </c>
      <c r="D438" s="68">
        <v>45036.0</v>
      </c>
      <c r="E438" s="68">
        <v>45050.0</v>
      </c>
      <c r="F438" s="69">
        <v>6.912E7</v>
      </c>
      <c r="G438" s="69">
        <v>6.912E7</v>
      </c>
      <c r="H438" s="69">
        <v>2.20095504E7</v>
      </c>
      <c r="I438" s="69">
        <v>6.912E7</v>
      </c>
      <c r="J438" s="70">
        <f t="shared" si="9"/>
        <v>0.3184252083</v>
      </c>
    </row>
    <row r="439" ht="22.5" customHeight="1" outlineLevel="2">
      <c r="A439" s="66" t="s">
        <v>962</v>
      </c>
      <c r="B439" s="67" t="s">
        <v>963</v>
      </c>
      <c r="C439" s="67" t="s">
        <v>805</v>
      </c>
      <c r="D439" s="68">
        <v>45022.0</v>
      </c>
      <c r="E439" s="68">
        <v>45027.0</v>
      </c>
      <c r="F439" s="69">
        <v>1.46E7</v>
      </c>
      <c r="G439" s="69">
        <v>1.46E7</v>
      </c>
      <c r="H439" s="69">
        <v>840000.0</v>
      </c>
      <c r="I439" s="69">
        <v>1.46E7</v>
      </c>
      <c r="J439" s="70">
        <f t="shared" si="9"/>
        <v>0.05753424658</v>
      </c>
    </row>
    <row r="440" ht="22.5" customHeight="1" outlineLevel="2">
      <c r="A440" s="66" t="s">
        <v>964</v>
      </c>
      <c r="B440" s="67" t="s">
        <v>877</v>
      </c>
      <c r="C440" s="67" t="s">
        <v>965</v>
      </c>
      <c r="D440" s="68">
        <v>45026.0</v>
      </c>
      <c r="E440" s="68">
        <v>45033.0</v>
      </c>
      <c r="F440" s="69">
        <v>7500000.0</v>
      </c>
      <c r="G440" s="69">
        <v>7500000.0</v>
      </c>
      <c r="H440" s="69">
        <v>620000.0</v>
      </c>
      <c r="I440" s="69">
        <v>7500000.0</v>
      </c>
      <c r="J440" s="70">
        <f t="shared" si="9"/>
        <v>0.08266666667</v>
      </c>
    </row>
    <row r="441" ht="22.5" customHeight="1" outlineLevel="2">
      <c r="A441" s="66" t="s">
        <v>966</v>
      </c>
      <c r="B441" s="67" t="s">
        <v>877</v>
      </c>
      <c r="C441" s="67" t="s">
        <v>967</v>
      </c>
      <c r="D441" s="68">
        <v>45037.0</v>
      </c>
      <c r="E441" s="68">
        <v>45034.0</v>
      </c>
      <c r="F441" s="69">
        <v>7300000.0</v>
      </c>
      <c r="G441" s="69">
        <v>7300000.0</v>
      </c>
      <c r="H441" s="69">
        <v>475000.0</v>
      </c>
      <c r="I441" s="69">
        <v>7300000.0</v>
      </c>
      <c r="J441" s="70">
        <f t="shared" si="9"/>
        <v>0.06506849315</v>
      </c>
    </row>
    <row r="442" ht="22.5" customHeight="1" outlineLevel="2">
      <c r="A442" s="66" t="s">
        <v>968</v>
      </c>
      <c r="B442" s="67" t="s">
        <v>969</v>
      </c>
      <c r="C442" s="67" t="s">
        <v>970</v>
      </c>
      <c r="D442" s="68">
        <v>45034.0</v>
      </c>
      <c r="E442" s="68">
        <v>45034.0</v>
      </c>
      <c r="F442" s="69">
        <v>3870000.0</v>
      </c>
      <c r="G442" s="69">
        <v>3870000.0</v>
      </c>
      <c r="H442" s="69">
        <v>337500.0</v>
      </c>
      <c r="I442" s="69">
        <v>3870000.0</v>
      </c>
      <c r="J442" s="70">
        <f t="shared" si="9"/>
        <v>0.08720930233</v>
      </c>
    </row>
    <row r="443" ht="22.5" customHeight="1" outlineLevel="2">
      <c r="A443" s="66" t="s">
        <v>971</v>
      </c>
      <c r="B443" s="67" t="s">
        <v>972</v>
      </c>
      <c r="C443" s="67" t="s">
        <v>916</v>
      </c>
      <c r="D443" s="68">
        <v>45035.0</v>
      </c>
      <c r="E443" s="68">
        <v>45042.0</v>
      </c>
      <c r="F443" s="69">
        <v>3.135E7</v>
      </c>
      <c r="G443" s="69">
        <v>3.135E7</v>
      </c>
      <c r="H443" s="69">
        <v>1000000.0</v>
      </c>
      <c r="I443" s="69">
        <v>3.135E7</v>
      </c>
      <c r="J443" s="70">
        <f t="shared" si="9"/>
        <v>0.03189792663</v>
      </c>
    </row>
    <row r="444" ht="22.5" customHeight="1" outlineLevel="2">
      <c r="A444" s="66" t="s">
        <v>973</v>
      </c>
      <c r="B444" s="67" t="s">
        <v>974</v>
      </c>
      <c r="C444" s="67" t="s">
        <v>975</v>
      </c>
      <c r="D444" s="68">
        <v>45035.0</v>
      </c>
      <c r="E444" s="68">
        <v>45040.0</v>
      </c>
      <c r="F444" s="69">
        <v>6300000.0</v>
      </c>
      <c r="G444" s="69">
        <v>6300000.0</v>
      </c>
      <c r="H444" s="69">
        <v>1086828.0</v>
      </c>
      <c r="I444" s="69">
        <v>6300000.0</v>
      </c>
      <c r="J444" s="70">
        <f t="shared" si="9"/>
        <v>0.172512381</v>
      </c>
    </row>
    <row r="445" ht="22.5" customHeight="1" outlineLevel="2">
      <c r="A445" s="66" t="s">
        <v>976</v>
      </c>
      <c r="B445" s="67" t="s">
        <v>977</v>
      </c>
      <c r="C445" s="67" t="s">
        <v>772</v>
      </c>
      <c r="D445" s="68">
        <v>45040.0</v>
      </c>
      <c r="E445" s="68">
        <v>45054.0</v>
      </c>
      <c r="F445" s="69">
        <v>1.1025E7</v>
      </c>
      <c r="G445" s="69">
        <v>1.1025E7</v>
      </c>
      <c r="H445" s="69">
        <v>525000.0</v>
      </c>
      <c r="I445" s="69">
        <v>1.1025E7</v>
      </c>
      <c r="J445" s="70">
        <f t="shared" si="9"/>
        <v>0.04761904762</v>
      </c>
    </row>
    <row r="446" ht="22.5" customHeight="1" outlineLevel="2">
      <c r="A446" s="66" t="s">
        <v>978</v>
      </c>
      <c r="B446" s="67" t="s">
        <v>979</v>
      </c>
      <c r="C446" s="67" t="s">
        <v>813</v>
      </c>
      <c r="D446" s="68">
        <v>45037.0</v>
      </c>
      <c r="E446" s="68">
        <v>45051.0</v>
      </c>
      <c r="F446" s="69">
        <v>8.073E7</v>
      </c>
      <c r="G446" s="69">
        <v>8.073E7</v>
      </c>
      <c r="H446" s="69">
        <v>7230000.0</v>
      </c>
      <c r="I446" s="69">
        <v>8.073E7</v>
      </c>
      <c r="J446" s="70">
        <f t="shared" si="9"/>
        <v>0.08955778521</v>
      </c>
    </row>
    <row r="447" ht="22.5" customHeight="1" outlineLevel="2">
      <c r="A447" s="66" t="s">
        <v>980</v>
      </c>
      <c r="B447" s="67" t="s">
        <v>981</v>
      </c>
      <c r="C447" s="67" t="s">
        <v>982</v>
      </c>
      <c r="D447" s="68">
        <v>45042.0</v>
      </c>
      <c r="E447" s="68">
        <v>45062.0</v>
      </c>
      <c r="F447" s="69">
        <v>1.59E8</v>
      </c>
      <c r="G447" s="69">
        <v>1.59E8</v>
      </c>
      <c r="H447" s="69">
        <v>6.5778755722222224E7</v>
      </c>
      <c r="I447" s="69">
        <v>1.59E8</v>
      </c>
      <c r="J447" s="70">
        <f t="shared" si="9"/>
        <v>0.4137028662</v>
      </c>
    </row>
    <row r="448" ht="22.5" customHeight="1" outlineLevel="2">
      <c r="A448" s="66" t="s">
        <v>983</v>
      </c>
      <c r="B448" s="67" t="s">
        <v>984</v>
      </c>
      <c r="C448" s="67" t="s">
        <v>985</v>
      </c>
      <c r="D448" s="68">
        <v>45043.0</v>
      </c>
      <c r="E448" s="68">
        <v>45050.0</v>
      </c>
      <c r="F448" s="69">
        <v>7500000.0</v>
      </c>
      <c r="G448" s="69">
        <v>7500000.0</v>
      </c>
      <c r="H448" s="69">
        <v>500000.0</v>
      </c>
      <c r="I448" s="69">
        <v>7500000.0</v>
      </c>
      <c r="J448" s="70">
        <f t="shared" si="9"/>
        <v>0.06666666667</v>
      </c>
    </row>
    <row r="449" ht="22.5" customHeight="1" outlineLevel="2">
      <c r="A449" s="66" t="s">
        <v>986</v>
      </c>
      <c r="B449" s="67" t="s">
        <v>987</v>
      </c>
      <c r="C449" s="67" t="s">
        <v>988</v>
      </c>
      <c r="D449" s="68">
        <v>45041.0</v>
      </c>
      <c r="E449" s="68">
        <v>45050.0</v>
      </c>
      <c r="F449" s="69">
        <v>3070000.0</v>
      </c>
      <c r="G449" s="69">
        <v>3070000.0</v>
      </c>
      <c r="H449" s="69">
        <v>670000.0</v>
      </c>
      <c r="I449" s="69">
        <v>3070000.0</v>
      </c>
      <c r="J449" s="70">
        <f t="shared" si="9"/>
        <v>0.2182410423</v>
      </c>
    </row>
    <row r="450" ht="22.5" customHeight="1" outlineLevel="2">
      <c r="A450" s="66" t="s">
        <v>989</v>
      </c>
      <c r="B450" s="67" t="s">
        <v>990</v>
      </c>
      <c r="C450" s="67" t="s">
        <v>991</v>
      </c>
      <c r="D450" s="68">
        <v>45043.0</v>
      </c>
      <c r="E450" s="68">
        <v>45068.0</v>
      </c>
      <c r="F450" s="69">
        <v>7577500.0</v>
      </c>
      <c r="G450" s="69">
        <v>7577500.0</v>
      </c>
      <c r="H450" s="69">
        <v>1853771.111111111</v>
      </c>
      <c r="I450" s="69">
        <v>7577500.0</v>
      </c>
      <c r="J450" s="70">
        <f t="shared" si="9"/>
        <v>0.2446415191</v>
      </c>
    </row>
    <row r="451" ht="22.5" customHeight="1" outlineLevel="2">
      <c r="A451" s="66" t="s">
        <v>992</v>
      </c>
      <c r="B451" s="67" t="s">
        <v>993</v>
      </c>
      <c r="C451" s="67" t="s">
        <v>994</v>
      </c>
      <c r="D451" s="68">
        <v>45043.0</v>
      </c>
      <c r="E451" s="68">
        <v>45055.0</v>
      </c>
      <c r="F451" s="69">
        <v>8037000.0</v>
      </c>
      <c r="G451" s="69">
        <v>8037000.0</v>
      </c>
      <c r="H451" s="69">
        <v>672000.0</v>
      </c>
      <c r="I451" s="69">
        <v>8037000.0</v>
      </c>
      <c r="J451" s="70">
        <f t="shared" si="9"/>
        <v>0.08361328854</v>
      </c>
    </row>
    <row r="452" ht="22.5" customHeight="1" outlineLevel="2">
      <c r="A452" s="66" t="s">
        <v>995</v>
      </c>
      <c r="B452" s="67" t="s">
        <v>996</v>
      </c>
      <c r="C452" s="67" t="s">
        <v>952</v>
      </c>
      <c r="D452" s="68">
        <v>45041.0</v>
      </c>
      <c r="E452" s="68">
        <v>45050.0</v>
      </c>
      <c r="F452" s="69">
        <v>1500000.0</v>
      </c>
      <c r="G452" s="69">
        <v>1500000.0</v>
      </c>
      <c r="H452" s="69">
        <v>310000.0</v>
      </c>
      <c r="I452" s="69">
        <v>1500000.0</v>
      </c>
      <c r="J452" s="70">
        <f t="shared" si="9"/>
        <v>0.2066666667</v>
      </c>
    </row>
    <row r="453" ht="22.5" customHeight="1" outlineLevel="2">
      <c r="A453" s="66" t="s">
        <v>997</v>
      </c>
      <c r="B453" s="67" t="s">
        <v>998</v>
      </c>
      <c r="C453" s="67" t="s">
        <v>999</v>
      </c>
      <c r="D453" s="68">
        <v>45051.0</v>
      </c>
      <c r="E453" s="68">
        <v>45063.0</v>
      </c>
      <c r="F453" s="69">
        <v>9.45E7</v>
      </c>
      <c r="G453" s="69">
        <v>9.45E7</v>
      </c>
      <c r="H453" s="69">
        <v>5.16725138E7</v>
      </c>
      <c r="I453" s="69">
        <v>9.45E7</v>
      </c>
      <c r="J453" s="70">
        <f t="shared" si="9"/>
        <v>0.5467990878</v>
      </c>
    </row>
    <row r="454" ht="22.5" customHeight="1" outlineLevel="2">
      <c r="A454" s="66" t="s">
        <v>1000</v>
      </c>
      <c r="B454" s="67" t="s">
        <v>1001</v>
      </c>
      <c r="C454" s="67" t="s">
        <v>1002</v>
      </c>
      <c r="D454" s="68">
        <v>45054.0</v>
      </c>
      <c r="E454" s="68">
        <v>45055.0</v>
      </c>
      <c r="F454" s="69">
        <v>1.3692E8</v>
      </c>
      <c r="G454" s="69">
        <v>1.3692E8</v>
      </c>
      <c r="H454" s="69">
        <v>5520000.0</v>
      </c>
      <c r="I454" s="69">
        <v>1.3692E8</v>
      </c>
      <c r="J454" s="70">
        <f t="shared" si="9"/>
        <v>0.04031551271</v>
      </c>
    </row>
    <row r="455" ht="22.5" customHeight="1" outlineLevel="2">
      <c r="A455" s="66" t="s">
        <v>1003</v>
      </c>
      <c r="B455" s="67" t="s">
        <v>1004</v>
      </c>
      <c r="C455" s="67" t="s">
        <v>1005</v>
      </c>
      <c r="D455" s="68">
        <v>45051.0</v>
      </c>
      <c r="E455" s="68">
        <v>45064.0</v>
      </c>
      <c r="F455" s="69">
        <v>5.093088E7</v>
      </c>
      <c r="G455" s="69">
        <v>5.093088E7</v>
      </c>
      <c r="H455" s="69">
        <v>1.085709E7</v>
      </c>
      <c r="I455" s="69">
        <v>5.093088E7</v>
      </c>
      <c r="J455" s="70">
        <f t="shared" si="9"/>
        <v>0.2131730298</v>
      </c>
    </row>
    <row r="456" ht="22.5" customHeight="1" outlineLevel="2">
      <c r="A456" s="66" t="s">
        <v>1006</v>
      </c>
      <c r="B456" s="67" t="s">
        <v>1007</v>
      </c>
      <c r="C456" s="67" t="s">
        <v>1008</v>
      </c>
      <c r="D456" s="68">
        <v>45051.0</v>
      </c>
      <c r="E456" s="68">
        <v>45077.0</v>
      </c>
      <c r="F456" s="69">
        <v>8.10884E7</v>
      </c>
      <c r="G456" s="69">
        <v>8.10884E7</v>
      </c>
      <c r="H456" s="69">
        <v>4818400.0</v>
      </c>
      <c r="I456" s="69">
        <v>8.10884E7</v>
      </c>
      <c r="J456" s="70">
        <f t="shared" si="9"/>
        <v>0.05942156955</v>
      </c>
    </row>
    <row r="457" ht="22.5" customHeight="1" outlineLevel="2">
      <c r="A457" s="66" t="s">
        <v>1009</v>
      </c>
      <c r="B457" s="67" t="s">
        <v>1010</v>
      </c>
      <c r="C457" s="67" t="s">
        <v>1011</v>
      </c>
      <c r="D457" s="68">
        <v>45054.0</v>
      </c>
      <c r="E457" s="68">
        <v>45096.0</v>
      </c>
      <c r="F457" s="69">
        <v>2.47458E8</v>
      </c>
      <c r="G457" s="69">
        <v>2.47458E8</v>
      </c>
      <c r="H457" s="69">
        <v>9.82168185E7</v>
      </c>
      <c r="I457" s="69">
        <v>2.47458E8</v>
      </c>
      <c r="J457" s="70">
        <f t="shared" si="9"/>
        <v>0.3969029835</v>
      </c>
    </row>
    <row r="458" ht="22.5" customHeight="1" outlineLevel="2">
      <c r="A458" s="66" t="s">
        <v>1012</v>
      </c>
      <c r="B458" s="67" t="s">
        <v>1013</v>
      </c>
      <c r="C458" s="67" t="s">
        <v>1014</v>
      </c>
      <c r="D458" s="68">
        <v>45054.0</v>
      </c>
      <c r="E458" s="68">
        <v>45077.0</v>
      </c>
      <c r="F458" s="69">
        <v>2.0E8</v>
      </c>
      <c r="G458" s="69">
        <v>2.0E8</v>
      </c>
      <c r="H458" s="69">
        <v>1.6482187E7</v>
      </c>
      <c r="I458" s="69">
        <v>2.0E8</v>
      </c>
      <c r="J458" s="70">
        <f t="shared" si="9"/>
        <v>0.082410935</v>
      </c>
    </row>
    <row r="459" ht="22.5" customHeight="1" outlineLevel="2">
      <c r="A459" s="66" t="s">
        <v>1015</v>
      </c>
      <c r="B459" s="67" t="s">
        <v>1016</v>
      </c>
      <c r="C459" s="67" t="s">
        <v>1017</v>
      </c>
      <c r="D459" s="68">
        <v>45054.0</v>
      </c>
      <c r="E459" s="68">
        <v>45071.0</v>
      </c>
      <c r="F459" s="69">
        <v>1.2E8</v>
      </c>
      <c r="G459" s="69">
        <v>1.2E8</v>
      </c>
      <c r="H459" s="69">
        <v>2.9548575E7</v>
      </c>
      <c r="I459" s="69">
        <v>1.2E8</v>
      </c>
      <c r="J459" s="70">
        <f t="shared" si="9"/>
        <v>0.246238125</v>
      </c>
    </row>
    <row r="460" ht="22.5" customHeight="1" outlineLevel="2">
      <c r="A460" s="66" t="s">
        <v>1018</v>
      </c>
      <c r="B460" s="67" t="s">
        <v>1019</v>
      </c>
      <c r="C460" s="67" t="s">
        <v>1020</v>
      </c>
      <c r="D460" s="68">
        <v>45044.0</v>
      </c>
      <c r="E460" s="68">
        <v>45054.0</v>
      </c>
      <c r="F460" s="69">
        <v>3.696E7</v>
      </c>
      <c r="G460" s="69">
        <v>3.696E7</v>
      </c>
      <c r="H460" s="69">
        <v>1.078730884E7</v>
      </c>
      <c r="I460" s="69">
        <v>3.696E7</v>
      </c>
      <c r="J460" s="70">
        <f t="shared" si="9"/>
        <v>0.2918644167</v>
      </c>
    </row>
    <row r="461" ht="22.5" customHeight="1" outlineLevel="2">
      <c r="A461" s="66" t="s">
        <v>1021</v>
      </c>
      <c r="B461" s="67" t="s">
        <v>1022</v>
      </c>
      <c r="C461" s="67" t="s">
        <v>786</v>
      </c>
      <c r="D461" s="68">
        <v>45057.0</v>
      </c>
      <c r="E461" s="68">
        <v>45068.0</v>
      </c>
      <c r="F461" s="69">
        <v>3.1E8</v>
      </c>
      <c r="G461" s="69">
        <v>3.1E8</v>
      </c>
      <c r="H461" s="69">
        <v>8744803.25999999</v>
      </c>
      <c r="I461" s="69">
        <v>3.1E8</v>
      </c>
      <c r="J461" s="70">
        <f t="shared" si="9"/>
        <v>0.02820904277</v>
      </c>
    </row>
    <row r="462" ht="22.5" customHeight="1" outlineLevel="2">
      <c r="A462" s="66" t="s">
        <v>1023</v>
      </c>
      <c r="B462" s="67" t="s">
        <v>1024</v>
      </c>
      <c r="C462" s="67" t="s">
        <v>1025</v>
      </c>
      <c r="D462" s="68">
        <v>45057.0</v>
      </c>
      <c r="E462" s="68">
        <v>45070.0</v>
      </c>
      <c r="F462" s="69">
        <v>2.205E7</v>
      </c>
      <c r="G462" s="69">
        <v>2.205E7</v>
      </c>
      <c r="H462" s="69">
        <v>4050000.0</v>
      </c>
      <c r="I462" s="69">
        <v>2.205E7</v>
      </c>
      <c r="J462" s="70">
        <f t="shared" si="9"/>
        <v>0.1836734694</v>
      </c>
    </row>
    <row r="463" ht="22.5" customHeight="1" outlineLevel="2">
      <c r="A463" s="66" t="s">
        <v>1026</v>
      </c>
      <c r="B463" s="67" t="s">
        <v>1027</v>
      </c>
      <c r="C463" s="67" t="s">
        <v>740</v>
      </c>
      <c r="D463" s="68">
        <v>45057.0</v>
      </c>
      <c r="E463" s="68">
        <v>45061.0</v>
      </c>
      <c r="F463" s="69">
        <v>1.2E7</v>
      </c>
      <c r="G463" s="69">
        <v>1.2E7</v>
      </c>
      <c r="H463" s="69">
        <v>3000000.0</v>
      </c>
      <c r="I463" s="69">
        <v>1.2E7</v>
      </c>
      <c r="J463" s="70">
        <f t="shared" si="9"/>
        <v>0.25</v>
      </c>
    </row>
    <row r="464" ht="22.5" customHeight="1" outlineLevel="2">
      <c r="A464" s="66" t="s">
        <v>1028</v>
      </c>
      <c r="B464" s="67" t="s">
        <v>1029</v>
      </c>
      <c r="C464" s="67" t="s">
        <v>786</v>
      </c>
      <c r="D464" s="68">
        <v>45064.0</v>
      </c>
      <c r="E464" s="68">
        <v>45090.0</v>
      </c>
      <c r="F464" s="69">
        <v>3.99E7</v>
      </c>
      <c r="G464" s="69">
        <v>3.99E7</v>
      </c>
      <c r="H464" s="69">
        <v>1900000.0</v>
      </c>
      <c r="I464" s="69">
        <v>3.99E7</v>
      </c>
      <c r="J464" s="70">
        <f t="shared" si="9"/>
        <v>0.04761904762</v>
      </c>
    </row>
    <row r="465" ht="22.5" customHeight="1" outlineLevel="2">
      <c r="A465" s="66" t="s">
        <v>1030</v>
      </c>
      <c r="B465" s="67" t="s">
        <v>1031</v>
      </c>
      <c r="C465" s="67" t="s">
        <v>837</v>
      </c>
      <c r="D465" s="68">
        <v>45064.0</v>
      </c>
      <c r="E465" s="68">
        <v>45076.0</v>
      </c>
      <c r="F465" s="69">
        <v>3.78726E8</v>
      </c>
      <c r="G465" s="69">
        <v>3.78726E8</v>
      </c>
      <c r="H465" s="69">
        <v>7426000.0</v>
      </c>
      <c r="I465" s="69">
        <v>3.78726E8</v>
      </c>
      <c r="J465" s="70">
        <f t="shared" si="9"/>
        <v>0.01960784314</v>
      </c>
    </row>
    <row r="466" ht="22.5" customHeight="1" outlineLevel="2">
      <c r="A466" s="66" t="s">
        <v>1032</v>
      </c>
      <c r="B466" s="67" t="s">
        <v>1033</v>
      </c>
      <c r="C466" s="67" t="s">
        <v>837</v>
      </c>
      <c r="D466" s="68">
        <v>45132.0</v>
      </c>
      <c r="E466" s="68">
        <v>45141.0</v>
      </c>
      <c r="F466" s="69">
        <v>5.51776E8</v>
      </c>
      <c r="G466" s="69">
        <v>5.51776E8</v>
      </c>
      <c r="H466" s="69">
        <v>1.7776E7</v>
      </c>
      <c r="I466" s="69">
        <v>5.51776E8</v>
      </c>
      <c r="J466" s="70">
        <f t="shared" si="9"/>
        <v>0.0322159717</v>
      </c>
    </row>
    <row r="467" ht="22.5" customHeight="1" outlineLevel="2">
      <c r="A467" s="66" t="s">
        <v>1034</v>
      </c>
      <c r="B467" s="67" t="s">
        <v>1035</v>
      </c>
      <c r="C467" s="67" t="s">
        <v>755</v>
      </c>
      <c r="D467" s="68">
        <v>45058.0</v>
      </c>
      <c r="E467" s="68">
        <v>45069.0</v>
      </c>
      <c r="F467" s="69">
        <v>8800000.0</v>
      </c>
      <c r="G467" s="69">
        <v>8800000.0</v>
      </c>
      <c r="H467" s="69">
        <v>1150000.0</v>
      </c>
      <c r="I467" s="69">
        <v>8800000.0</v>
      </c>
      <c r="J467" s="70">
        <f t="shared" si="9"/>
        <v>0.1306818182</v>
      </c>
    </row>
    <row r="468" ht="22.5" customHeight="1" outlineLevel="2">
      <c r="A468" s="66" t="s">
        <v>1036</v>
      </c>
      <c r="B468" s="67" t="s">
        <v>1037</v>
      </c>
      <c r="C468" s="67" t="s">
        <v>1038</v>
      </c>
      <c r="D468" s="68">
        <v>45065.0</v>
      </c>
      <c r="E468" s="68">
        <v>45092.0</v>
      </c>
      <c r="F468" s="69">
        <v>1.4888E7</v>
      </c>
      <c r="G468" s="69">
        <v>1.4888E7</v>
      </c>
      <c r="H468" s="69">
        <v>3538000.0</v>
      </c>
      <c r="I468" s="69">
        <v>1.4888E7</v>
      </c>
      <c r="J468" s="70">
        <f t="shared" si="9"/>
        <v>0.2376410532</v>
      </c>
    </row>
    <row r="469" ht="22.5" customHeight="1" outlineLevel="2">
      <c r="A469" s="66" t="s">
        <v>1039</v>
      </c>
      <c r="B469" s="67" t="s">
        <v>1040</v>
      </c>
      <c r="C469" s="67" t="s">
        <v>1041</v>
      </c>
      <c r="D469" s="68">
        <v>45068.0</v>
      </c>
      <c r="E469" s="68">
        <v>45116.0</v>
      </c>
      <c r="F469" s="69">
        <v>3.1104375E8</v>
      </c>
      <c r="G469" s="69">
        <v>3.1104375E8</v>
      </c>
      <c r="H469" s="69">
        <v>1.2015806625E8</v>
      </c>
      <c r="I469" s="69">
        <v>3.1104375E8</v>
      </c>
      <c r="J469" s="70">
        <f t="shared" si="9"/>
        <v>0.386305998</v>
      </c>
    </row>
    <row r="470" ht="22.5" customHeight="1" outlineLevel="2">
      <c r="A470" s="66" t="s">
        <v>1042</v>
      </c>
      <c r="B470" s="67" t="s">
        <v>1043</v>
      </c>
      <c r="C470" s="67" t="s">
        <v>1044</v>
      </c>
      <c r="D470" s="68">
        <v>45069.0</v>
      </c>
      <c r="E470" s="68">
        <v>45105.0</v>
      </c>
      <c r="F470" s="69">
        <v>3.888E7</v>
      </c>
      <c r="G470" s="69">
        <v>3.888E7</v>
      </c>
      <c r="H470" s="69">
        <v>4593254.755000003</v>
      </c>
      <c r="I470" s="69">
        <v>3.888E7</v>
      </c>
      <c r="J470" s="70">
        <f t="shared" si="9"/>
        <v>0.1181392684</v>
      </c>
    </row>
    <row r="471" ht="22.5" customHeight="1" outlineLevel="2">
      <c r="A471" s="66" t="s">
        <v>1045</v>
      </c>
      <c r="B471" s="67" t="s">
        <v>1046</v>
      </c>
      <c r="C471" s="67" t="s">
        <v>746</v>
      </c>
      <c r="D471" s="68">
        <v>45071.0</v>
      </c>
      <c r="E471" s="68">
        <v>45090.0</v>
      </c>
      <c r="F471" s="69">
        <v>1.37106E9</v>
      </c>
      <c r="G471" s="69">
        <v>1.37106E9</v>
      </c>
      <c r="H471" s="69">
        <v>5.801E7</v>
      </c>
      <c r="I471" s="69">
        <v>1.37106E9</v>
      </c>
      <c r="J471" s="70">
        <f t="shared" si="9"/>
        <v>0.04231032923</v>
      </c>
    </row>
    <row r="472" ht="22.5" customHeight="1" outlineLevel="2">
      <c r="A472" s="66" t="s">
        <v>1047</v>
      </c>
      <c r="B472" s="67" t="s">
        <v>1048</v>
      </c>
      <c r="C472" s="67" t="s">
        <v>1049</v>
      </c>
      <c r="D472" s="68">
        <v>45072.0</v>
      </c>
      <c r="E472" s="68">
        <v>45083.0</v>
      </c>
      <c r="F472" s="69">
        <v>6.2232E8</v>
      </c>
      <c r="G472" s="69">
        <v>6.2232E8</v>
      </c>
      <c r="H472" s="69">
        <v>3.1327E7</v>
      </c>
      <c r="I472" s="69">
        <v>6.2232E8</v>
      </c>
      <c r="J472" s="70">
        <f t="shared" si="9"/>
        <v>0.05033905386</v>
      </c>
    </row>
    <row r="473" ht="22.5" customHeight="1" outlineLevel="2">
      <c r="A473" s="66" t="s">
        <v>1050</v>
      </c>
      <c r="B473" s="67" t="s">
        <v>1051</v>
      </c>
      <c r="C473" s="67" t="s">
        <v>813</v>
      </c>
      <c r="D473" s="68">
        <v>45072.0</v>
      </c>
      <c r="E473" s="68">
        <v>45083.0</v>
      </c>
      <c r="F473" s="69">
        <v>1.2849E8</v>
      </c>
      <c r="G473" s="69">
        <v>1.2849E8</v>
      </c>
      <c r="H473" s="69">
        <v>6190000.0</v>
      </c>
      <c r="I473" s="69">
        <v>1.2849E8</v>
      </c>
      <c r="J473" s="70">
        <f t="shared" si="9"/>
        <v>0.04817495525</v>
      </c>
    </row>
    <row r="474" ht="22.5" customHeight="1" outlineLevel="2">
      <c r="A474" s="66" t="s">
        <v>1052</v>
      </c>
      <c r="B474" s="67" t="s">
        <v>1053</v>
      </c>
      <c r="C474" s="67" t="s">
        <v>786</v>
      </c>
      <c r="D474" s="68">
        <v>45072.0</v>
      </c>
      <c r="E474" s="68">
        <v>45083.0</v>
      </c>
      <c r="F474" s="69">
        <v>1.4875E7</v>
      </c>
      <c r="G474" s="69">
        <v>1.4875E7</v>
      </c>
      <c r="H474" s="69">
        <v>6812650.0</v>
      </c>
      <c r="I474" s="69">
        <v>1.4875E7</v>
      </c>
      <c r="J474" s="70">
        <f t="shared" si="9"/>
        <v>0.4579932773</v>
      </c>
    </row>
    <row r="475" ht="22.5" customHeight="1" outlineLevel="2">
      <c r="A475" s="66" t="s">
        <v>1054</v>
      </c>
      <c r="B475" s="67" t="s">
        <v>794</v>
      </c>
      <c r="C475" s="67" t="s">
        <v>1055</v>
      </c>
      <c r="D475" s="68">
        <v>45063.0</v>
      </c>
      <c r="E475" s="68">
        <v>45068.0</v>
      </c>
      <c r="F475" s="69">
        <v>1.46E7</v>
      </c>
      <c r="G475" s="69">
        <v>1.46E7</v>
      </c>
      <c r="H475" s="69">
        <v>900000.0</v>
      </c>
      <c r="I475" s="69">
        <v>1.46E7</v>
      </c>
      <c r="J475" s="70">
        <f t="shared" si="9"/>
        <v>0.06164383562</v>
      </c>
    </row>
    <row r="476" ht="22.5" customHeight="1" outlineLevel="2">
      <c r="A476" s="66" t="s">
        <v>1056</v>
      </c>
      <c r="B476" s="67" t="s">
        <v>1057</v>
      </c>
      <c r="C476" s="67" t="s">
        <v>772</v>
      </c>
      <c r="D476" s="68">
        <v>45071.0</v>
      </c>
      <c r="E476" s="68">
        <v>45086.0</v>
      </c>
      <c r="F476" s="69">
        <v>2.184E7</v>
      </c>
      <c r="G476" s="69">
        <v>2.184E7</v>
      </c>
      <c r="H476" s="69">
        <v>1040000.0</v>
      </c>
      <c r="I476" s="69">
        <v>2.184E7</v>
      </c>
      <c r="J476" s="70">
        <f t="shared" si="9"/>
        <v>0.04761904762</v>
      </c>
    </row>
    <row r="477" ht="22.5" customHeight="1" outlineLevel="2">
      <c r="A477" s="66" t="s">
        <v>1058</v>
      </c>
      <c r="B477" s="67" t="s">
        <v>1059</v>
      </c>
      <c r="C477" s="67" t="s">
        <v>772</v>
      </c>
      <c r="D477" s="68">
        <v>45065.0</v>
      </c>
      <c r="E477" s="68">
        <v>45082.0</v>
      </c>
      <c r="F477" s="69">
        <v>1.19E7</v>
      </c>
      <c r="G477" s="69">
        <v>1.19E7</v>
      </c>
      <c r="H477" s="69">
        <v>400000.0</v>
      </c>
      <c r="I477" s="69">
        <v>1.19E7</v>
      </c>
      <c r="J477" s="70">
        <f t="shared" si="9"/>
        <v>0.03361344538</v>
      </c>
    </row>
    <row r="478" ht="22.5" customHeight="1" outlineLevel="2">
      <c r="A478" s="66" t="s">
        <v>1060</v>
      </c>
      <c r="B478" s="67" t="s">
        <v>1061</v>
      </c>
      <c r="C478" s="67" t="s">
        <v>1062</v>
      </c>
      <c r="D478" s="68">
        <v>45065.0</v>
      </c>
      <c r="E478" s="68">
        <v>45082.0</v>
      </c>
      <c r="F478" s="69">
        <v>2750000.0</v>
      </c>
      <c r="G478" s="69">
        <v>2750000.0</v>
      </c>
      <c r="H478" s="69">
        <v>415000.0</v>
      </c>
      <c r="I478" s="69">
        <v>2750000.0</v>
      </c>
      <c r="J478" s="70">
        <f t="shared" si="9"/>
        <v>0.1509090909</v>
      </c>
    </row>
    <row r="479" ht="22.5" customHeight="1" outlineLevel="2">
      <c r="A479" s="66" t="s">
        <v>1063</v>
      </c>
      <c r="B479" s="67" t="s">
        <v>1064</v>
      </c>
      <c r="C479" s="67" t="s">
        <v>823</v>
      </c>
      <c r="D479" s="68">
        <v>45065.0</v>
      </c>
      <c r="E479" s="68">
        <v>45076.0</v>
      </c>
      <c r="F479" s="69">
        <v>4200000.0</v>
      </c>
      <c r="G479" s="69">
        <v>4200000.0</v>
      </c>
      <c r="H479" s="69">
        <v>850000.0</v>
      </c>
      <c r="I479" s="69">
        <v>4200000.0</v>
      </c>
      <c r="J479" s="70">
        <f t="shared" si="9"/>
        <v>0.2023809524</v>
      </c>
    </row>
    <row r="480" ht="22.5" customHeight="1" outlineLevel="2">
      <c r="A480" s="66" t="s">
        <v>1065</v>
      </c>
      <c r="B480" s="67" t="s">
        <v>1066</v>
      </c>
      <c r="C480" s="67" t="s">
        <v>1067</v>
      </c>
      <c r="D480" s="68">
        <v>45065.0</v>
      </c>
      <c r="E480" s="68">
        <v>45075.0</v>
      </c>
      <c r="F480" s="69">
        <v>5.13864E7</v>
      </c>
      <c r="G480" s="69">
        <v>5.13864E7</v>
      </c>
      <c r="H480" s="69">
        <v>136400.0</v>
      </c>
      <c r="I480" s="69">
        <v>5.13864E7</v>
      </c>
      <c r="J480" s="70">
        <f t="shared" si="9"/>
        <v>0.002654398829</v>
      </c>
    </row>
    <row r="481" ht="22.5" customHeight="1" outlineLevel="2">
      <c r="A481" s="66" t="s">
        <v>1068</v>
      </c>
      <c r="B481" s="67" t="s">
        <v>1069</v>
      </c>
      <c r="C481" s="67" t="s">
        <v>1070</v>
      </c>
      <c r="D481" s="68">
        <v>45075.0</v>
      </c>
      <c r="E481" s="68">
        <v>45083.0</v>
      </c>
      <c r="F481" s="69">
        <v>6384000.0</v>
      </c>
      <c r="G481" s="69">
        <v>6384000.0</v>
      </c>
      <c r="H481" s="69">
        <v>824000.0</v>
      </c>
      <c r="I481" s="69">
        <v>6384000.0</v>
      </c>
      <c r="J481" s="70">
        <f t="shared" si="9"/>
        <v>0.1290726817</v>
      </c>
    </row>
    <row r="482" ht="22.5" customHeight="1" outlineLevel="2">
      <c r="A482" s="66" t="s">
        <v>1071</v>
      </c>
      <c r="B482" s="67" t="s">
        <v>1072</v>
      </c>
      <c r="C482" s="67" t="s">
        <v>1073</v>
      </c>
      <c r="D482" s="68">
        <v>45075.0</v>
      </c>
      <c r="E482" s="68">
        <v>45107.0</v>
      </c>
      <c r="F482" s="69">
        <v>8000000.0</v>
      </c>
      <c r="G482" s="69">
        <v>8000000.0</v>
      </c>
      <c r="H482" s="69">
        <v>1448439.0</v>
      </c>
      <c r="I482" s="69">
        <v>8000000.0</v>
      </c>
      <c r="J482" s="70">
        <f t="shared" si="9"/>
        <v>0.181054875</v>
      </c>
    </row>
    <row r="483" ht="22.5" customHeight="1" outlineLevel="2">
      <c r="A483" s="66" t="s">
        <v>1074</v>
      </c>
      <c r="B483" s="67" t="s">
        <v>1075</v>
      </c>
      <c r="C483" s="67" t="s">
        <v>1076</v>
      </c>
      <c r="D483" s="68">
        <v>45072.0</v>
      </c>
      <c r="E483" s="68">
        <v>45180.0</v>
      </c>
      <c r="F483" s="69">
        <v>6.36E7</v>
      </c>
      <c r="G483" s="69">
        <v>6.36E7</v>
      </c>
      <c r="H483" s="69">
        <v>2.2957658777777776E7</v>
      </c>
      <c r="I483" s="69">
        <v>6.36E7</v>
      </c>
      <c r="J483" s="70">
        <f t="shared" si="9"/>
        <v>0.3609694776</v>
      </c>
    </row>
    <row r="484" ht="22.5" customHeight="1" outlineLevel="2">
      <c r="A484" s="66" t="s">
        <v>1077</v>
      </c>
      <c r="B484" s="67" t="s">
        <v>1078</v>
      </c>
      <c r="C484" s="67" t="s">
        <v>837</v>
      </c>
      <c r="D484" s="68">
        <v>45076.0</v>
      </c>
      <c r="E484" s="68">
        <v>45090.0</v>
      </c>
      <c r="F484" s="69">
        <v>2.08E7</v>
      </c>
      <c r="G484" s="69">
        <v>2.08E7</v>
      </c>
      <c r="H484" s="69">
        <v>2500000.0</v>
      </c>
      <c r="I484" s="69">
        <v>2.08E7</v>
      </c>
      <c r="J484" s="70">
        <f t="shared" si="9"/>
        <v>0.1201923077</v>
      </c>
    </row>
    <row r="485" ht="22.5" customHeight="1" outlineLevel="2">
      <c r="A485" s="66" t="s">
        <v>1079</v>
      </c>
      <c r="B485" s="67" t="s">
        <v>1080</v>
      </c>
      <c r="C485" s="67" t="s">
        <v>1067</v>
      </c>
      <c r="D485" s="68">
        <v>45077.0</v>
      </c>
      <c r="E485" s="68">
        <v>45082.0</v>
      </c>
      <c r="F485" s="69">
        <v>2.39532E7</v>
      </c>
      <c r="G485" s="69">
        <v>2.39532E7</v>
      </c>
      <c r="H485" s="69">
        <v>2613200.0</v>
      </c>
      <c r="I485" s="69">
        <v>2.39532E7</v>
      </c>
      <c r="J485" s="70">
        <f t="shared" si="9"/>
        <v>0.1090960707</v>
      </c>
    </row>
    <row r="486" ht="22.5" customHeight="1" outlineLevel="2">
      <c r="A486" s="66" t="s">
        <v>1081</v>
      </c>
      <c r="B486" s="67" t="s">
        <v>1082</v>
      </c>
      <c r="C486" s="67" t="s">
        <v>1062</v>
      </c>
      <c r="D486" s="68">
        <v>45078.0</v>
      </c>
      <c r="E486" s="68">
        <v>45082.0</v>
      </c>
      <c r="F486" s="69">
        <v>1.65E7</v>
      </c>
      <c r="G486" s="69">
        <v>1.65E7</v>
      </c>
      <c r="H486" s="69">
        <v>1665000.0</v>
      </c>
      <c r="I486" s="69">
        <v>1.65E7</v>
      </c>
      <c r="J486" s="70">
        <f t="shared" si="9"/>
        <v>0.1009090909</v>
      </c>
    </row>
    <row r="487" ht="22.5" customHeight="1" outlineLevel="2">
      <c r="A487" s="66" t="s">
        <v>1083</v>
      </c>
      <c r="B487" s="67" t="s">
        <v>1084</v>
      </c>
      <c r="C487" s="67" t="s">
        <v>1085</v>
      </c>
      <c r="D487" s="68">
        <v>45082.0</v>
      </c>
      <c r="E487" s="68">
        <v>45086.0</v>
      </c>
      <c r="F487" s="69">
        <v>1.722E7</v>
      </c>
      <c r="G487" s="69">
        <v>1.722E7</v>
      </c>
      <c r="H487" s="69">
        <v>1420000.0</v>
      </c>
      <c r="I487" s="69">
        <v>1.722E7</v>
      </c>
      <c r="J487" s="70">
        <f t="shared" si="9"/>
        <v>0.08246225319</v>
      </c>
    </row>
    <row r="488" ht="22.5" customHeight="1" outlineLevel="2">
      <c r="A488" s="66" t="s">
        <v>1086</v>
      </c>
      <c r="B488" s="67" t="s">
        <v>1087</v>
      </c>
      <c r="C488" s="67" t="s">
        <v>134</v>
      </c>
      <c r="D488" s="68">
        <v>45090.0</v>
      </c>
      <c r="E488" s="68">
        <v>45111.0</v>
      </c>
      <c r="F488" s="69">
        <v>1.31592E8</v>
      </c>
      <c r="G488" s="69">
        <v>1.31592E8</v>
      </c>
      <c r="H488" s="69">
        <v>1.3370604435000002E7</v>
      </c>
      <c r="I488" s="69">
        <v>1.31592E8</v>
      </c>
      <c r="J488" s="70">
        <f t="shared" si="9"/>
        <v>0.1016065143</v>
      </c>
    </row>
    <row r="489" ht="22.5" customHeight="1" outlineLevel="2">
      <c r="A489" s="66" t="s">
        <v>1088</v>
      </c>
      <c r="B489" s="67" t="s">
        <v>1089</v>
      </c>
      <c r="C489" s="67" t="s">
        <v>1090</v>
      </c>
      <c r="D489" s="68">
        <v>45076.0</v>
      </c>
      <c r="E489" s="68">
        <v>45082.0</v>
      </c>
      <c r="F489" s="69">
        <v>176000.0</v>
      </c>
      <c r="G489" s="69">
        <v>176000.0</v>
      </c>
      <c r="H489" s="69">
        <v>26000.0</v>
      </c>
      <c r="I489" s="69">
        <v>176000.0</v>
      </c>
      <c r="J489" s="70">
        <f t="shared" si="9"/>
        <v>0.1477272727</v>
      </c>
    </row>
    <row r="490" ht="22.5" customHeight="1" outlineLevel="2">
      <c r="A490" s="66" t="s">
        <v>1091</v>
      </c>
      <c r="B490" s="67" t="s">
        <v>1092</v>
      </c>
      <c r="C490" s="67" t="s">
        <v>1093</v>
      </c>
      <c r="D490" s="68">
        <v>45089.0</v>
      </c>
      <c r="E490" s="68">
        <v>45093.0</v>
      </c>
      <c r="F490" s="69">
        <v>4.57E7</v>
      </c>
      <c r="G490" s="69">
        <v>4.57E7</v>
      </c>
      <c r="H490" s="69">
        <v>3700000.0</v>
      </c>
      <c r="I490" s="69">
        <v>4.57E7</v>
      </c>
      <c r="J490" s="70">
        <f t="shared" si="9"/>
        <v>0.08096280088</v>
      </c>
    </row>
    <row r="491" ht="22.5" customHeight="1" outlineLevel="2">
      <c r="A491" s="66" t="s">
        <v>1094</v>
      </c>
      <c r="B491" s="67" t="s">
        <v>1095</v>
      </c>
      <c r="C491" s="67" t="s">
        <v>931</v>
      </c>
      <c r="D491" s="68">
        <v>45089.0</v>
      </c>
      <c r="E491" s="68">
        <v>45103.0</v>
      </c>
      <c r="F491" s="69">
        <v>3.90192E7</v>
      </c>
      <c r="G491" s="69">
        <v>3.90192E7</v>
      </c>
      <c r="H491" s="69">
        <v>4450677.689999998</v>
      </c>
      <c r="I491" s="69">
        <v>3.90192E7</v>
      </c>
      <c r="J491" s="70">
        <f t="shared" si="9"/>
        <v>0.1140637863</v>
      </c>
    </row>
    <row r="492" ht="22.5" customHeight="1" outlineLevel="2">
      <c r="A492" s="66" t="s">
        <v>1096</v>
      </c>
      <c r="B492" s="67" t="s">
        <v>1097</v>
      </c>
      <c r="C492" s="67" t="s">
        <v>772</v>
      </c>
      <c r="D492" s="68">
        <v>45086.0</v>
      </c>
      <c r="E492" s="68">
        <v>45090.0</v>
      </c>
      <c r="F492" s="69">
        <v>7102000.0</v>
      </c>
      <c r="G492" s="69">
        <v>7102000.0</v>
      </c>
      <c r="H492" s="69">
        <v>402000.0</v>
      </c>
      <c r="I492" s="69">
        <v>7102000.0</v>
      </c>
      <c r="J492" s="70">
        <f t="shared" si="9"/>
        <v>0.05660377358</v>
      </c>
    </row>
    <row r="493" ht="22.5" customHeight="1" outlineLevel="2">
      <c r="A493" s="66" t="s">
        <v>1098</v>
      </c>
      <c r="B493" s="67" t="s">
        <v>1099</v>
      </c>
      <c r="C493" s="67" t="s">
        <v>823</v>
      </c>
      <c r="D493" s="68">
        <v>45086.0</v>
      </c>
      <c r="E493" s="68">
        <v>45091.0</v>
      </c>
      <c r="F493" s="69">
        <v>2325000.0</v>
      </c>
      <c r="G493" s="69">
        <v>2325000.0</v>
      </c>
      <c r="H493" s="69">
        <v>210000.0</v>
      </c>
      <c r="I493" s="69">
        <v>2325000.0</v>
      </c>
      <c r="J493" s="70">
        <f t="shared" si="9"/>
        <v>0.09032258065</v>
      </c>
    </row>
    <row r="494" ht="22.5" customHeight="1" outlineLevel="2">
      <c r="A494" s="66" t="s">
        <v>1100</v>
      </c>
      <c r="B494" s="67" t="s">
        <v>1101</v>
      </c>
      <c r="C494" s="67" t="s">
        <v>1102</v>
      </c>
      <c r="D494" s="68">
        <v>45092.0</v>
      </c>
      <c r="E494" s="68">
        <v>45097.0</v>
      </c>
      <c r="F494" s="69">
        <v>3.18E7</v>
      </c>
      <c r="G494" s="69">
        <v>3.18E7</v>
      </c>
      <c r="H494" s="69">
        <v>1.064903E7</v>
      </c>
      <c r="I494" s="69">
        <v>3.18E7</v>
      </c>
      <c r="J494" s="70">
        <f t="shared" si="9"/>
        <v>0.3348751572</v>
      </c>
    </row>
    <row r="495" ht="22.5" customHeight="1" outlineLevel="2">
      <c r="A495" s="66" t="s">
        <v>1103</v>
      </c>
      <c r="B495" s="67" t="s">
        <v>1104</v>
      </c>
      <c r="C495" s="67" t="s">
        <v>1062</v>
      </c>
      <c r="D495" s="68">
        <v>45090.0</v>
      </c>
      <c r="E495" s="68">
        <v>45092.0</v>
      </c>
      <c r="F495" s="69">
        <v>2750000.0</v>
      </c>
      <c r="G495" s="69">
        <v>2750000.0</v>
      </c>
      <c r="H495" s="69">
        <v>414000.0</v>
      </c>
      <c r="I495" s="69">
        <v>2750000.0</v>
      </c>
      <c r="J495" s="70">
        <f t="shared" si="9"/>
        <v>0.1505454545</v>
      </c>
    </row>
    <row r="496" ht="22.5" customHeight="1" outlineLevel="2">
      <c r="A496" s="66" t="s">
        <v>1105</v>
      </c>
      <c r="B496" s="67" t="s">
        <v>1106</v>
      </c>
      <c r="C496" s="67" t="s">
        <v>854</v>
      </c>
      <c r="D496" s="68">
        <v>45091.0</v>
      </c>
      <c r="E496" s="68">
        <v>45098.0</v>
      </c>
      <c r="F496" s="69">
        <v>1.46664E8</v>
      </c>
      <c r="G496" s="69">
        <v>1.46664E8</v>
      </c>
      <c r="H496" s="69">
        <v>2.7300820000000015E7</v>
      </c>
      <c r="I496" s="69">
        <v>1.46664E8</v>
      </c>
      <c r="J496" s="70">
        <f t="shared" si="9"/>
        <v>0.186145339</v>
      </c>
    </row>
    <row r="497" ht="22.5" customHeight="1" outlineLevel="2">
      <c r="A497" s="66" t="s">
        <v>1107</v>
      </c>
      <c r="B497" s="67" t="s">
        <v>1108</v>
      </c>
      <c r="C497" s="67" t="s">
        <v>1062</v>
      </c>
      <c r="D497" s="68">
        <v>45093.0</v>
      </c>
      <c r="E497" s="68">
        <v>45099.0</v>
      </c>
      <c r="F497" s="69">
        <v>1.584E8</v>
      </c>
      <c r="G497" s="69">
        <v>1.584E8</v>
      </c>
      <c r="H497" s="69">
        <v>7828000.0</v>
      </c>
      <c r="I497" s="69">
        <v>1.584E8</v>
      </c>
      <c r="J497" s="70">
        <f t="shared" si="9"/>
        <v>0.04941919192</v>
      </c>
    </row>
    <row r="498" ht="22.5" customHeight="1" outlineLevel="2">
      <c r="A498" s="66" t="s">
        <v>1109</v>
      </c>
      <c r="B498" s="67" t="s">
        <v>1110</v>
      </c>
      <c r="C498" s="67" t="s">
        <v>1111</v>
      </c>
      <c r="D498" s="68">
        <v>45090.0</v>
      </c>
      <c r="E498" s="68">
        <v>45096.0</v>
      </c>
      <c r="F498" s="69">
        <v>8000000.0</v>
      </c>
      <c r="G498" s="69">
        <v>8000000.0</v>
      </c>
      <c r="H498" s="69">
        <v>792000.0</v>
      </c>
      <c r="I498" s="69">
        <v>8000000.0</v>
      </c>
      <c r="J498" s="70">
        <f t="shared" si="9"/>
        <v>0.099</v>
      </c>
    </row>
    <row r="499" ht="22.5" customHeight="1" outlineLevel="2">
      <c r="A499" s="66" t="s">
        <v>1112</v>
      </c>
      <c r="B499" s="67" t="s">
        <v>1113</v>
      </c>
      <c r="C499" s="67" t="s">
        <v>970</v>
      </c>
      <c r="D499" s="68">
        <v>45096.0</v>
      </c>
      <c r="E499" s="68">
        <v>45103.0</v>
      </c>
      <c r="F499" s="69">
        <v>3495000.0</v>
      </c>
      <c r="G499" s="69">
        <v>3495000.0</v>
      </c>
      <c r="H499" s="69">
        <v>321000.0</v>
      </c>
      <c r="I499" s="69">
        <v>3495000.0</v>
      </c>
      <c r="J499" s="70">
        <f t="shared" si="9"/>
        <v>0.09184549356</v>
      </c>
    </row>
    <row r="500" ht="22.5" customHeight="1" outlineLevel="2">
      <c r="A500" s="66" t="s">
        <v>1114</v>
      </c>
      <c r="B500" s="67" t="s">
        <v>1115</v>
      </c>
      <c r="C500" s="67" t="s">
        <v>1116</v>
      </c>
      <c r="D500" s="68">
        <v>45093.0</v>
      </c>
      <c r="E500" s="68">
        <v>45103.0</v>
      </c>
      <c r="F500" s="69">
        <v>1.19E7</v>
      </c>
      <c r="G500" s="69">
        <v>1.19E7</v>
      </c>
      <c r="H500" s="69">
        <v>4161227.5</v>
      </c>
      <c r="I500" s="69">
        <v>1.19E7</v>
      </c>
      <c r="J500" s="70">
        <f t="shared" si="9"/>
        <v>0.3496829832</v>
      </c>
    </row>
    <row r="501" ht="22.5" customHeight="1" outlineLevel="2">
      <c r="A501" s="66" t="s">
        <v>1117</v>
      </c>
      <c r="B501" s="67" t="s">
        <v>1118</v>
      </c>
      <c r="C501" s="67" t="s">
        <v>1067</v>
      </c>
      <c r="D501" s="68">
        <v>45097.0</v>
      </c>
      <c r="E501" s="68">
        <v>45104.0</v>
      </c>
      <c r="F501" s="69">
        <v>1.19766E7</v>
      </c>
      <c r="G501" s="69">
        <v>1.19766E7</v>
      </c>
      <c r="H501" s="69">
        <v>1396600.0</v>
      </c>
      <c r="I501" s="69">
        <v>1.19766E7</v>
      </c>
      <c r="J501" s="70">
        <f t="shared" si="9"/>
        <v>0.1166107242</v>
      </c>
    </row>
    <row r="502" ht="22.5" customHeight="1" outlineLevel="2">
      <c r="A502" s="66" t="s">
        <v>1119</v>
      </c>
      <c r="B502" s="67" t="s">
        <v>1120</v>
      </c>
      <c r="C502" s="67" t="s">
        <v>786</v>
      </c>
      <c r="D502" s="68">
        <v>45098.0</v>
      </c>
      <c r="E502" s="68">
        <v>45103.0</v>
      </c>
      <c r="F502" s="69">
        <v>1.4335E7</v>
      </c>
      <c r="G502" s="69">
        <v>1.4335E7</v>
      </c>
      <c r="H502" s="69">
        <v>375000.0</v>
      </c>
      <c r="I502" s="69">
        <v>1.4335E7</v>
      </c>
      <c r="J502" s="70">
        <f t="shared" si="9"/>
        <v>0.02615974887</v>
      </c>
    </row>
    <row r="503" ht="22.5" customHeight="1" outlineLevel="2">
      <c r="A503" s="66" t="s">
        <v>1121</v>
      </c>
      <c r="B503" s="67" t="s">
        <v>1122</v>
      </c>
      <c r="C503" s="67" t="s">
        <v>1011</v>
      </c>
      <c r="D503" s="68">
        <v>45098.0</v>
      </c>
      <c r="E503" s="68">
        <v>45119.0</v>
      </c>
      <c r="F503" s="69">
        <v>1.405311072E9</v>
      </c>
      <c r="G503" s="69">
        <v>1.405311072E9</v>
      </c>
      <c r="H503" s="69">
        <v>6.3211072E7</v>
      </c>
      <c r="I503" s="69">
        <v>1.405311072E9</v>
      </c>
      <c r="J503" s="70">
        <f t="shared" si="9"/>
        <v>0.04498012807</v>
      </c>
    </row>
    <row r="504" ht="22.5" customHeight="1" outlineLevel="2">
      <c r="A504" s="66" t="s">
        <v>1123</v>
      </c>
      <c r="B504" s="67" t="s">
        <v>1124</v>
      </c>
      <c r="C504" s="67" t="s">
        <v>1125</v>
      </c>
      <c r="D504" s="68">
        <v>45099.0</v>
      </c>
      <c r="E504" s="68">
        <v>45278.0</v>
      </c>
      <c r="F504" s="69">
        <v>1.0E8</v>
      </c>
      <c r="G504" s="69">
        <v>1.0E8</v>
      </c>
      <c r="H504" s="69">
        <v>3.175E7</v>
      </c>
      <c r="I504" s="69"/>
      <c r="J504" s="70">
        <f t="shared" si="9"/>
        <v>0.3175</v>
      </c>
    </row>
    <row r="505" ht="22.5" customHeight="1" outlineLevel="2">
      <c r="A505" s="66" t="s">
        <v>1126</v>
      </c>
      <c r="B505" s="67" t="s">
        <v>1127</v>
      </c>
      <c r="C505" s="67" t="s">
        <v>1128</v>
      </c>
      <c r="D505" s="68">
        <v>45100.0</v>
      </c>
      <c r="E505" s="68">
        <v>45111.0</v>
      </c>
      <c r="F505" s="69">
        <v>2.316E7</v>
      </c>
      <c r="G505" s="69">
        <v>2.316E7</v>
      </c>
      <c r="H505" s="69">
        <v>9777435.2</v>
      </c>
      <c r="I505" s="69">
        <v>2.316E7</v>
      </c>
      <c r="J505" s="70">
        <f t="shared" si="9"/>
        <v>0.4221690501</v>
      </c>
    </row>
    <row r="506" ht="22.5" customHeight="1" outlineLevel="2">
      <c r="A506" s="66" t="s">
        <v>1129</v>
      </c>
      <c r="B506" s="67" t="s">
        <v>1130</v>
      </c>
      <c r="C506" s="67" t="s">
        <v>1131</v>
      </c>
      <c r="D506" s="68">
        <v>45100.0</v>
      </c>
      <c r="E506" s="68">
        <v>45107.0</v>
      </c>
      <c r="F506" s="69">
        <v>3.795E7</v>
      </c>
      <c r="G506" s="69">
        <v>3.795E7</v>
      </c>
      <c r="H506" s="69">
        <v>3663254.7550000027</v>
      </c>
      <c r="I506" s="69">
        <v>3.795E7</v>
      </c>
      <c r="J506" s="70">
        <f t="shared" si="9"/>
        <v>0.09652845204</v>
      </c>
    </row>
    <row r="507" ht="22.5" customHeight="1" outlineLevel="2">
      <c r="A507" s="66" t="s">
        <v>1132</v>
      </c>
      <c r="B507" s="67" t="s">
        <v>1133</v>
      </c>
      <c r="C507" s="67" t="s">
        <v>1134</v>
      </c>
      <c r="D507" s="68">
        <v>45104.0</v>
      </c>
      <c r="E507" s="68">
        <v>45105.0</v>
      </c>
      <c r="F507" s="69">
        <v>2.261E7</v>
      </c>
      <c r="G507" s="69">
        <v>2.261E7</v>
      </c>
      <c r="H507" s="69">
        <v>1.0820955E7</v>
      </c>
      <c r="I507" s="69">
        <v>2.261E7</v>
      </c>
      <c r="J507" s="70">
        <f t="shared" si="9"/>
        <v>0.4785915524</v>
      </c>
    </row>
    <row r="508" ht="22.5" customHeight="1" outlineLevel="2">
      <c r="A508" s="66" t="s">
        <v>1135</v>
      </c>
      <c r="B508" s="67" t="s">
        <v>1136</v>
      </c>
      <c r="C508" s="67" t="s">
        <v>1137</v>
      </c>
      <c r="D508" s="68">
        <v>45107.0</v>
      </c>
      <c r="E508" s="68">
        <v>45113.0</v>
      </c>
      <c r="F508" s="69">
        <v>4.09464E8</v>
      </c>
      <c r="G508" s="69">
        <v>4.09464E8</v>
      </c>
      <c r="H508" s="69">
        <v>1.58937359325E8</v>
      </c>
      <c r="I508" s="69">
        <v>4.09464E8</v>
      </c>
      <c r="J508" s="70">
        <f t="shared" si="9"/>
        <v>0.3881595435</v>
      </c>
    </row>
    <row r="509" ht="22.5" customHeight="1" outlineLevel="2">
      <c r="A509" s="66" t="s">
        <v>1138</v>
      </c>
      <c r="B509" s="67" t="s">
        <v>1139</v>
      </c>
      <c r="C509" s="67" t="s">
        <v>1140</v>
      </c>
      <c r="D509" s="68">
        <v>45106.0</v>
      </c>
      <c r="E509" s="68">
        <v>45120.0</v>
      </c>
      <c r="F509" s="69">
        <v>8.75E7</v>
      </c>
      <c r="G509" s="69">
        <v>8.75E7</v>
      </c>
      <c r="H509" s="69">
        <v>3.10334425E7</v>
      </c>
      <c r="I509" s="69">
        <v>8.75E7</v>
      </c>
      <c r="J509" s="70">
        <f t="shared" si="9"/>
        <v>0.3546679143</v>
      </c>
    </row>
    <row r="510" ht="22.5" customHeight="1" outlineLevel="2">
      <c r="A510" s="66" t="s">
        <v>1141</v>
      </c>
      <c r="B510" s="67" t="s">
        <v>1142</v>
      </c>
      <c r="C510" s="67" t="s">
        <v>1143</v>
      </c>
      <c r="D510" s="68">
        <v>45105.0</v>
      </c>
      <c r="E510" s="68">
        <v>45106.0</v>
      </c>
      <c r="F510" s="69">
        <v>1.59E7</v>
      </c>
      <c r="G510" s="69">
        <v>1.59E7</v>
      </c>
      <c r="H510" s="69">
        <v>5830265.0</v>
      </c>
      <c r="I510" s="69">
        <v>1.59E7</v>
      </c>
      <c r="J510" s="70">
        <f t="shared" si="9"/>
        <v>0.3666833333</v>
      </c>
    </row>
    <row r="511" ht="22.5" customHeight="1" outlineLevel="2">
      <c r="A511" s="66" t="s">
        <v>1144</v>
      </c>
      <c r="B511" s="67" t="s">
        <v>1145</v>
      </c>
      <c r="C511" s="67" t="s">
        <v>875</v>
      </c>
      <c r="D511" s="68">
        <v>45106.0</v>
      </c>
      <c r="E511" s="68">
        <v>45107.0</v>
      </c>
      <c r="F511" s="69">
        <v>1.19E7</v>
      </c>
      <c r="G511" s="69">
        <v>1.19E7</v>
      </c>
      <c r="H511" s="69">
        <v>4862491.125</v>
      </c>
      <c r="I511" s="69">
        <v>1.19E7</v>
      </c>
      <c r="J511" s="70">
        <f t="shared" si="9"/>
        <v>0.4086126996</v>
      </c>
    </row>
    <row r="512" ht="22.5" customHeight="1" outlineLevel="2">
      <c r="A512" s="66" t="s">
        <v>1146</v>
      </c>
      <c r="B512" s="67" t="s">
        <v>1147</v>
      </c>
      <c r="C512" s="67" t="s">
        <v>875</v>
      </c>
      <c r="D512" s="68">
        <v>45106.0</v>
      </c>
      <c r="E512" s="68">
        <v>45107.0</v>
      </c>
      <c r="F512" s="69">
        <v>2.38E7</v>
      </c>
      <c r="G512" s="69">
        <v>2.38E7</v>
      </c>
      <c r="H512" s="69">
        <v>1.0002E7</v>
      </c>
      <c r="I512" s="69">
        <v>2.38E7</v>
      </c>
      <c r="J512" s="70">
        <f t="shared" si="9"/>
        <v>0.4202521008</v>
      </c>
    </row>
    <row r="513" ht="22.5" customHeight="1" outlineLevel="2">
      <c r="A513" s="66" t="s">
        <v>1148</v>
      </c>
      <c r="B513" s="67" t="s">
        <v>1149</v>
      </c>
      <c r="C513" s="67" t="s">
        <v>763</v>
      </c>
      <c r="D513" s="68">
        <v>45110.0</v>
      </c>
      <c r="E513" s="68">
        <v>45155.0</v>
      </c>
      <c r="F513" s="69">
        <v>2.88E7</v>
      </c>
      <c r="G513" s="69">
        <v>2.88E7</v>
      </c>
      <c r="H513" s="69">
        <v>5244944.0</v>
      </c>
      <c r="I513" s="69">
        <v>2.88E7</v>
      </c>
      <c r="J513" s="70">
        <f t="shared" si="9"/>
        <v>0.1821161111</v>
      </c>
    </row>
    <row r="514" ht="22.5" customHeight="1" outlineLevel="2">
      <c r="A514" s="66" t="s">
        <v>1150</v>
      </c>
      <c r="B514" s="67" t="s">
        <v>1151</v>
      </c>
      <c r="C514" s="67" t="s">
        <v>982</v>
      </c>
      <c r="D514" s="68">
        <v>45110.0</v>
      </c>
      <c r="E514" s="68">
        <v>45125.0</v>
      </c>
      <c r="F514" s="69">
        <v>2.385E8</v>
      </c>
      <c r="G514" s="69">
        <v>2.385E8</v>
      </c>
      <c r="H514" s="69">
        <v>8.546950375E7</v>
      </c>
      <c r="I514" s="69">
        <v>2.385E8</v>
      </c>
      <c r="J514" s="70">
        <f t="shared" si="9"/>
        <v>0.3583626992</v>
      </c>
    </row>
    <row r="515" ht="22.5" customHeight="1" outlineLevel="2">
      <c r="A515" s="66" t="s">
        <v>1152</v>
      </c>
      <c r="B515" s="67" t="s">
        <v>1153</v>
      </c>
      <c r="C515" s="67" t="s">
        <v>772</v>
      </c>
      <c r="D515" s="68">
        <v>45068.0</v>
      </c>
      <c r="E515" s="68">
        <v>45160.0</v>
      </c>
      <c r="F515" s="69">
        <v>1.5496E7</v>
      </c>
      <c r="G515" s="69">
        <v>1.5496E7</v>
      </c>
      <c r="H515" s="69">
        <v>596000.0</v>
      </c>
      <c r="I515" s="69">
        <v>1.5496E7</v>
      </c>
      <c r="J515" s="70">
        <f t="shared" si="9"/>
        <v>0.03846153846</v>
      </c>
    </row>
    <row r="516" ht="22.5" customHeight="1" outlineLevel="2">
      <c r="A516" s="66" t="s">
        <v>1154</v>
      </c>
      <c r="B516" s="67" t="s">
        <v>1155</v>
      </c>
      <c r="C516" s="67" t="s">
        <v>1093</v>
      </c>
      <c r="D516" s="68">
        <v>45112.0</v>
      </c>
      <c r="E516" s="68">
        <v>45118.0</v>
      </c>
      <c r="F516" s="69">
        <v>6.096E7</v>
      </c>
      <c r="G516" s="69">
        <v>6.096E7</v>
      </c>
      <c r="H516" s="69">
        <v>1.5136982100000001E7</v>
      </c>
      <c r="I516" s="69">
        <v>6.096E7</v>
      </c>
      <c r="J516" s="70">
        <f t="shared" si="9"/>
        <v>0.2483100738</v>
      </c>
    </row>
    <row r="517" ht="22.5" customHeight="1" outlineLevel="2">
      <c r="A517" s="66" t="s">
        <v>1156</v>
      </c>
      <c r="B517" s="67" t="s">
        <v>1157</v>
      </c>
      <c r="C517" s="67" t="s">
        <v>1158</v>
      </c>
      <c r="D517" s="68">
        <v>45113.0</v>
      </c>
      <c r="E517" s="68">
        <v>45188.0</v>
      </c>
      <c r="F517" s="69">
        <v>1.06561903E9</v>
      </c>
      <c r="G517" s="69">
        <v>1.06561903E9</v>
      </c>
      <c r="H517" s="69">
        <v>9.99338397902778E7</v>
      </c>
      <c r="I517" s="69">
        <v>1.06561903E9</v>
      </c>
      <c r="J517" s="70">
        <f t="shared" si="9"/>
        <v>0.09378008179</v>
      </c>
    </row>
    <row r="518" ht="22.5" customHeight="1" outlineLevel="2">
      <c r="A518" s="66" t="s">
        <v>1159</v>
      </c>
      <c r="B518" s="67" t="s">
        <v>1160</v>
      </c>
      <c r="C518" s="67" t="s">
        <v>772</v>
      </c>
      <c r="D518" s="68">
        <v>45114.0</v>
      </c>
      <c r="E518" s="68">
        <v>45131.0</v>
      </c>
      <c r="F518" s="69">
        <v>6.3E7</v>
      </c>
      <c r="G518" s="69">
        <v>6.3E7</v>
      </c>
      <c r="H518" s="69">
        <v>1950000.0</v>
      </c>
      <c r="I518" s="69">
        <v>6.3E7</v>
      </c>
      <c r="J518" s="70">
        <f t="shared" si="9"/>
        <v>0.03095238095</v>
      </c>
    </row>
    <row r="519" ht="22.5" customHeight="1" outlineLevel="2">
      <c r="A519" s="66" t="s">
        <v>1161</v>
      </c>
      <c r="B519" s="67" t="s">
        <v>1162</v>
      </c>
      <c r="C519" s="67" t="s">
        <v>1163</v>
      </c>
      <c r="D519" s="68">
        <v>45083.0</v>
      </c>
      <c r="E519" s="68">
        <v>45126.0</v>
      </c>
      <c r="F519" s="69">
        <v>2.328E7</v>
      </c>
      <c r="G519" s="69">
        <v>2.328E7</v>
      </c>
      <c r="H519" s="69">
        <v>8647435.2</v>
      </c>
      <c r="I519" s="69">
        <v>2.328E7</v>
      </c>
      <c r="J519" s="70">
        <f t="shared" si="9"/>
        <v>0.3714534021</v>
      </c>
    </row>
    <row r="520" ht="22.5" customHeight="1" outlineLevel="2">
      <c r="A520" s="66" t="s">
        <v>1164</v>
      </c>
      <c r="B520" s="67" t="s">
        <v>1165</v>
      </c>
      <c r="C520" s="67" t="s">
        <v>869</v>
      </c>
      <c r="D520" s="68">
        <v>45114.0</v>
      </c>
      <c r="E520" s="68">
        <v>45121.0</v>
      </c>
      <c r="F520" s="69">
        <v>1.59E7</v>
      </c>
      <c r="G520" s="69">
        <v>1.59E7</v>
      </c>
      <c r="H520" s="69">
        <v>5205265.0</v>
      </c>
      <c r="I520" s="69">
        <v>1.59E7</v>
      </c>
      <c r="J520" s="70">
        <f t="shared" si="9"/>
        <v>0.3273751572</v>
      </c>
    </row>
    <row r="521" ht="22.5" customHeight="1" outlineLevel="2">
      <c r="A521" s="66" t="s">
        <v>1166</v>
      </c>
      <c r="B521" s="67" t="s">
        <v>1167</v>
      </c>
      <c r="C521" s="67" t="s">
        <v>1168</v>
      </c>
      <c r="D521" s="68">
        <v>45126.0</v>
      </c>
      <c r="E521" s="68">
        <v>45138.0</v>
      </c>
      <c r="F521" s="69">
        <v>1.85212E8</v>
      </c>
      <c r="G521" s="69">
        <v>1.85212E8</v>
      </c>
      <c r="H521" s="69">
        <v>3.75763343125E7</v>
      </c>
      <c r="I521" s="69">
        <v>1.85212E8</v>
      </c>
      <c r="J521" s="70">
        <f t="shared" si="9"/>
        <v>0.2028828279</v>
      </c>
    </row>
    <row r="522" ht="22.5" customHeight="1" outlineLevel="2">
      <c r="A522" s="66" t="s">
        <v>1169</v>
      </c>
      <c r="B522" s="67" t="s">
        <v>1170</v>
      </c>
      <c r="C522" s="67" t="s">
        <v>1171</v>
      </c>
      <c r="D522" s="68">
        <v>45120.0</v>
      </c>
      <c r="E522" s="68">
        <v>45135.0</v>
      </c>
      <c r="F522" s="69">
        <v>2.796E7</v>
      </c>
      <c r="G522" s="69">
        <v>2.796E7</v>
      </c>
      <c r="H522" s="69">
        <v>2250000.0</v>
      </c>
      <c r="I522" s="69">
        <v>2.796E7</v>
      </c>
      <c r="J522" s="70">
        <f t="shared" si="9"/>
        <v>0.080472103</v>
      </c>
    </row>
    <row r="523" ht="22.5" customHeight="1" outlineLevel="2">
      <c r="A523" s="66" t="s">
        <v>1172</v>
      </c>
      <c r="B523" s="67" t="s">
        <v>1173</v>
      </c>
      <c r="C523" s="67" t="s">
        <v>813</v>
      </c>
      <c r="D523" s="68">
        <v>45105.0</v>
      </c>
      <c r="E523" s="68">
        <v>45132.0</v>
      </c>
      <c r="F523" s="69">
        <v>8634000.0</v>
      </c>
      <c r="G523" s="69">
        <v>8634000.0</v>
      </c>
      <c r="H523" s="69">
        <v>1295100.0</v>
      </c>
      <c r="I523" s="69">
        <v>8634000.0</v>
      </c>
      <c r="J523" s="70">
        <f t="shared" si="9"/>
        <v>0.15</v>
      </c>
    </row>
    <row r="524" ht="22.5" customHeight="1" outlineLevel="2">
      <c r="A524" s="66" t="s">
        <v>1174</v>
      </c>
      <c r="B524" s="67" t="s">
        <v>1175</v>
      </c>
      <c r="C524" s="67" t="s">
        <v>831</v>
      </c>
      <c r="D524" s="68">
        <v>45120.0</v>
      </c>
      <c r="E524" s="68">
        <v>45131.0</v>
      </c>
      <c r="F524" s="69">
        <v>1.59E7</v>
      </c>
      <c r="G524" s="69">
        <v>1.59E7</v>
      </c>
      <c r="H524" s="69">
        <v>7511111.111111112</v>
      </c>
      <c r="I524" s="69">
        <v>1.59E7</v>
      </c>
      <c r="J524" s="70">
        <f t="shared" si="9"/>
        <v>0.4723969252</v>
      </c>
    </row>
    <row r="525" ht="22.5" customHeight="1" outlineLevel="2">
      <c r="A525" s="66" t="s">
        <v>1176</v>
      </c>
      <c r="B525" s="67" t="s">
        <v>1177</v>
      </c>
      <c r="C525" s="67" t="s">
        <v>1011</v>
      </c>
      <c r="D525" s="68">
        <v>45120.0</v>
      </c>
      <c r="E525" s="68">
        <v>45152.0</v>
      </c>
      <c r="F525" s="69">
        <v>3.92515E8</v>
      </c>
      <c r="G525" s="69">
        <v>3.92515E8</v>
      </c>
      <c r="H525" s="69">
        <v>4.009128325E7</v>
      </c>
      <c r="I525" s="69">
        <v>3.92515E8</v>
      </c>
      <c r="J525" s="70">
        <f t="shared" si="9"/>
        <v>0.1021394934</v>
      </c>
    </row>
    <row r="526" ht="22.5" customHeight="1" outlineLevel="2">
      <c r="A526" s="66" t="s">
        <v>1178</v>
      </c>
      <c r="B526" s="67" t="s">
        <v>1179</v>
      </c>
      <c r="C526" s="67" t="s">
        <v>789</v>
      </c>
      <c r="D526" s="68">
        <v>45124.0</v>
      </c>
      <c r="E526" s="68">
        <v>45152.0</v>
      </c>
      <c r="F526" s="69">
        <v>1.03472E8</v>
      </c>
      <c r="G526" s="69">
        <v>1.03472E8</v>
      </c>
      <c r="H526" s="69">
        <v>4772000.0</v>
      </c>
      <c r="I526" s="69">
        <v>1.03472E8</v>
      </c>
      <c r="J526" s="70">
        <f t="shared" si="9"/>
        <v>0.04611875677</v>
      </c>
    </row>
    <row r="527" ht="22.5" customHeight="1" outlineLevel="2">
      <c r="A527" s="66" t="s">
        <v>1180</v>
      </c>
      <c r="B527" s="67" t="s">
        <v>1181</v>
      </c>
      <c r="C527" s="67" t="s">
        <v>786</v>
      </c>
      <c r="D527" s="68">
        <v>45125.0</v>
      </c>
      <c r="E527" s="68">
        <v>45138.0</v>
      </c>
      <c r="F527" s="69">
        <v>1.4875E7</v>
      </c>
      <c r="G527" s="69">
        <v>1.4875E7</v>
      </c>
      <c r="H527" s="69">
        <v>6812650.0</v>
      </c>
      <c r="I527" s="69">
        <v>1.4875E7</v>
      </c>
      <c r="J527" s="70">
        <f t="shared" si="9"/>
        <v>0.4579932773</v>
      </c>
    </row>
    <row r="528" ht="22.5" customHeight="1" outlineLevel="2">
      <c r="A528" s="66" t="s">
        <v>1182</v>
      </c>
      <c r="B528" s="67" t="s">
        <v>1183</v>
      </c>
      <c r="C528" s="67" t="s">
        <v>1184</v>
      </c>
      <c r="D528" s="68">
        <v>45134.0</v>
      </c>
      <c r="E528" s="68">
        <v>45187.0</v>
      </c>
      <c r="F528" s="69">
        <v>4.68888E8</v>
      </c>
      <c r="G528" s="69">
        <v>4.68888E8</v>
      </c>
      <c r="H528" s="69">
        <v>1.6151665310399997E8</v>
      </c>
      <c r="I528" s="69">
        <v>4.68888E8</v>
      </c>
      <c r="J528" s="70">
        <f t="shared" si="9"/>
        <v>0.3444674487</v>
      </c>
    </row>
    <row r="529" ht="22.5" customHeight="1" outlineLevel="2">
      <c r="A529" s="66" t="s">
        <v>1185</v>
      </c>
      <c r="B529" s="67" t="s">
        <v>1186</v>
      </c>
      <c r="C529" s="67" t="s">
        <v>1187</v>
      </c>
      <c r="D529" s="68">
        <v>45134.0</v>
      </c>
      <c r="E529" s="68">
        <v>45187.0</v>
      </c>
      <c r="F529" s="69">
        <v>1.39209E8</v>
      </c>
      <c r="G529" s="69">
        <v>1.39209E8</v>
      </c>
      <c r="H529" s="69">
        <v>6.60984685125E7</v>
      </c>
      <c r="I529" s="69">
        <v>1.39209E8</v>
      </c>
      <c r="J529" s="70">
        <f t="shared" si="9"/>
        <v>0.4748146206</v>
      </c>
    </row>
    <row r="530" ht="22.5" customHeight="1" outlineLevel="2">
      <c r="A530" s="66" t="s">
        <v>1188</v>
      </c>
      <c r="B530" s="67" t="s">
        <v>1189</v>
      </c>
      <c r="C530" s="67" t="s">
        <v>851</v>
      </c>
      <c r="D530" s="68">
        <v>45126.0</v>
      </c>
      <c r="E530" s="68">
        <v>45155.0</v>
      </c>
      <c r="F530" s="69">
        <v>1.7606276E8</v>
      </c>
      <c r="G530" s="69">
        <v>1.7606276E8</v>
      </c>
      <c r="H530" s="69">
        <v>2.31511424375E7</v>
      </c>
      <c r="I530" s="69">
        <v>1.7606276E8</v>
      </c>
      <c r="J530" s="70">
        <f t="shared" si="9"/>
        <v>0.1314936926</v>
      </c>
    </row>
    <row r="531" ht="22.5" customHeight="1" outlineLevel="2">
      <c r="A531" s="66" t="s">
        <v>1190</v>
      </c>
      <c r="B531" s="67" t="s">
        <v>1191</v>
      </c>
      <c r="C531" s="67" t="s">
        <v>1192</v>
      </c>
      <c r="D531" s="68">
        <v>45134.0</v>
      </c>
      <c r="E531" s="68">
        <v>45205.0</v>
      </c>
      <c r="F531" s="69">
        <v>7.14E7</v>
      </c>
      <c r="G531" s="69">
        <v>7.14E7</v>
      </c>
      <c r="H531" s="69">
        <v>2.97508155E7</v>
      </c>
      <c r="I531" s="69">
        <v>7.14E7</v>
      </c>
      <c r="J531" s="70">
        <f t="shared" si="9"/>
        <v>0.4166780882</v>
      </c>
    </row>
    <row r="532" ht="22.5" customHeight="1" outlineLevel="2">
      <c r="A532" s="66" t="s">
        <v>1193</v>
      </c>
      <c r="B532" s="67" t="s">
        <v>1194</v>
      </c>
      <c r="C532" s="67" t="s">
        <v>1093</v>
      </c>
      <c r="D532" s="68">
        <v>45134.0</v>
      </c>
      <c r="E532" s="68">
        <v>45140.0</v>
      </c>
      <c r="F532" s="69">
        <v>4.9E7</v>
      </c>
      <c r="G532" s="69">
        <v>4.9E7</v>
      </c>
      <c r="H532" s="69">
        <v>2650000.0</v>
      </c>
      <c r="I532" s="69">
        <v>4.9E7</v>
      </c>
      <c r="J532" s="70">
        <f t="shared" si="9"/>
        <v>0.05408163265</v>
      </c>
    </row>
    <row r="533" ht="22.5" customHeight="1" outlineLevel="2">
      <c r="A533" s="66" t="s">
        <v>1195</v>
      </c>
      <c r="B533" s="67" t="s">
        <v>1196</v>
      </c>
      <c r="C533" s="67" t="s">
        <v>1197</v>
      </c>
      <c r="D533" s="68">
        <v>45132.0</v>
      </c>
      <c r="E533" s="68">
        <v>45135.0</v>
      </c>
      <c r="F533" s="69">
        <v>1.864E7</v>
      </c>
      <c r="G533" s="69">
        <v>1.864E7</v>
      </c>
      <c r="H533" s="69">
        <v>1460000.0</v>
      </c>
      <c r="I533" s="69">
        <v>1.864E7</v>
      </c>
      <c r="J533" s="70">
        <f t="shared" si="9"/>
        <v>0.07832618026</v>
      </c>
    </row>
    <row r="534" ht="22.5" customHeight="1" outlineLevel="2">
      <c r="A534" s="66" t="s">
        <v>1198</v>
      </c>
      <c r="B534" s="67" t="s">
        <v>1199</v>
      </c>
      <c r="C534" s="67" t="s">
        <v>746</v>
      </c>
      <c r="D534" s="68">
        <v>45132.0</v>
      </c>
      <c r="E534" s="68">
        <v>45147.0</v>
      </c>
      <c r="F534" s="69">
        <v>3.26346E8</v>
      </c>
      <c r="G534" s="69">
        <v>3.26346E8</v>
      </c>
      <c r="H534" s="69">
        <v>1.0446E7</v>
      </c>
      <c r="I534" s="69">
        <v>3.26346E8</v>
      </c>
      <c r="J534" s="70">
        <f t="shared" si="9"/>
        <v>0.03200897207</v>
      </c>
    </row>
    <row r="535" ht="22.5" customHeight="1" outlineLevel="2">
      <c r="A535" s="66" t="s">
        <v>1200</v>
      </c>
      <c r="B535" s="67" t="s">
        <v>1201</v>
      </c>
      <c r="C535" s="67" t="s">
        <v>869</v>
      </c>
      <c r="D535" s="68">
        <v>45133.0</v>
      </c>
      <c r="E535" s="68">
        <v>45140.0</v>
      </c>
      <c r="F535" s="69">
        <v>4.77E7</v>
      </c>
      <c r="G535" s="69">
        <v>4.77E7</v>
      </c>
      <c r="H535" s="69">
        <v>1.78496655E7</v>
      </c>
      <c r="I535" s="69">
        <v>4.77E7</v>
      </c>
      <c r="J535" s="70">
        <f t="shared" si="9"/>
        <v>0.3742068239</v>
      </c>
    </row>
    <row r="536" ht="22.5" customHeight="1" outlineLevel="2">
      <c r="A536" s="66" t="s">
        <v>1202</v>
      </c>
      <c r="B536" s="67" t="s">
        <v>1203</v>
      </c>
      <c r="C536" s="67" t="s">
        <v>1102</v>
      </c>
      <c r="D536" s="68">
        <v>45133.0</v>
      </c>
      <c r="E536" s="68">
        <v>45140.0</v>
      </c>
      <c r="F536" s="69">
        <v>3.18E7</v>
      </c>
      <c r="G536" s="69">
        <v>3.18E7</v>
      </c>
      <c r="H536" s="69">
        <v>1.2131132399999999E7</v>
      </c>
      <c r="I536" s="69">
        <v>3.18E7</v>
      </c>
      <c r="J536" s="70">
        <f t="shared" si="9"/>
        <v>0.3814821509</v>
      </c>
    </row>
    <row r="537" ht="22.5" customHeight="1" outlineLevel="2">
      <c r="A537" s="66" t="s">
        <v>1204</v>
      </c>
      <c r="B537" s="67" t="s">
        <v>1205</v>
      </c>
      <c r="C537" s="67" t="s">
        <v>1206</v>
      </c>
      <c r="D537" s="68">
        <v>45125.0</v>
      </c>
      <c r="E537" s="68">
        <v>45133.0</v>
      </c>
      <c r="F537" s="69">
        <v>2.215E7</v>
      </c>
      <c r="G537" s="69">
        <v>2.215E7</v>
      </c>
      <c r="H537" s="69">
        <v>290000.0</v>
      </c>
      <c r="I537" s="69">
        <v>2.215E7</v>
      </c>
      <c r="J537" s="70">
        <f t="shared" si="9"/>
        <v>0.01309255079</v>
      </c>
    </row>
    <row r="538" ht="22.5" customHeight="1" outlineLevel="2">
      <c r="A538" s="66" t="s">
        <v>1207</v>
      </c>
      <c r="B538" s="67" t="s">
        <v>1208</v>
      </c>
      <c r="C538" s="67" t="s">
        <v>1206</v>
      </c>
      <c r="D538" s="68">
        <v>45125.0</v>
      </c>
      <c r="E538" s="68">
        <v>45133.0</v>
      </c>
      <c r="F538" s="69">
        <v>2.55E7</v>
      </c>
      <c r="G538" s="69">
        <v>2.55E7</v>
      </c>
      <c r="H538" s="69">
        <v>1020000.0</v>
      </c>
      <c r="I538" s="69">
        <v>2.55E7</v>
      </c>
      <c r="J538" s="70">
        <f t="shared" si="9"/>
        <v>0.04</v>
      </c>
    </row>
    <row r="539" ht="22.5" customHeight="1" outlineLevel="2">
      <c r="A539" s="66" t="s">
        <v>1209</v>
      </c>
      <c r="B539" s="67" t="s">
        <v>1210</v>
      </c>
      <c r="C539" s="67" t="s">
        <v>755</v>
      </c>
      <c r="D539" s="68">
        <v>45133.0</v>
      </c>
      <c r="E539" s="68">
        <v>45135.0</v>
      </c>
      <c r="F539" s="69">
        <v>1.76E7</v>
      </c>
      <c r="G539" s="69">
        <v>1.76E7</v>
      </c>
      <c r="H539" s="69">
        <v>1440000.0</v>
      </c>
      <c r="I539" s="69">
        <v>1.76E7</v>
      </c>
      <c r="J539" s="70">
        <f t="shared" si="9"/>
        <v>0.08181818182</v>
      </c>
    </row>
    <row r="540" ht="22.5" customHeight="1" outlineLevel="2">
      <c r="A540" s="66" t="s">
        <v>1211</v>
      </c>
      <c r="B540" s="67" t="s">
        <v>1160</v>
      </c>
      <c r="C540" s="67" t="s">
        <v>772</v>
      </c>
      <c r="D540" s="68">
        <v>45134.0</v>
      </c>
      <c r="E540" s="68">
        <v>45148.0</v>
      </c>
      <c r="F540" s="69">
        <v>6.3E7</v>
      </c>
      <c r="G540" s="69">
        <v>6.3E7</v>
      </c>
      <c r="H540" s="69">
        <v>1950000.0</v>
      </c>
      <c r="I540" s="69">
        <v>6.3E7</v>
      </c>
      <c r="J540" s="70">
        <f t="shared" si="9"/>
        <v>0.03095238095</v>
      </c>
    </row>
    <row r="541" ht="22.5" customHeight="1" outlineLevel="2">
      <c r="A541" s="66" t="s">
        <v>1212</v>
      </c>
      <c r="B541" s="67" t="s">
        <v>1213</v>
      </c>
      <c r="C541" s="67" t="s">
        <v>1214</v>
      </c>
      <c r="D541" s="68">
        <v>45138.0</v>
      </c>
      <c r="E541" s="68">
        <v>45147.0</v>
      </c>
      <c r="F541" s="69">
        <v>8.586E7</v>
      </c>
      <c r="G541" s="69">
        <v>8.586E7</v>
      </c>
      <c r="H541" s="69">
        <v>3.45665016E7</v>
      </c>
      <c r="I541" s="69">
        <v>8.586E7</v>
      </c>
      <c r="J541" s="70">
        <f t="shared" si="9"/>
        <v>0.4025914465</v>
      </c>
    </row>
    <row r="542" ht="22.5" customHeight="1" outlineLevel="2">
      <c r="A542" s="66" t="s">
        <v>1215</v>
      </c>
      <c r="B542" s="67" t="s">
        <v>1216</v>
      </c>
      <c r="C542" s="67" t="s">
        <v>884</v>
      </c>
      <c r="D542" s="68">
        <v>45138.0</v>
      </c>
      <c r="E542" s="68">
        <v>45147.0</v>
      </c>
      <c r="F542" s="69">
        <v>1.1E7</v>
      </c>
      <c r="G542" s="69">
        <v>1.1E7</v>
      </c>
      <c r="H542" s="69">
        <v>4645238.333333333</v>
      </c>
      <c r="I542" s="69">
        <v>1.1E7</v>
      </c>
      <c r="J542" s="70">
        <f t="shared" si="9"/>
        <v>0.4222943939</v>
      </c>
    </row>
    <row r="543" ht="22.5" customHeight="1" outlineLevel="2">
      <c r="A543" s="66" t="s">
        <v>1217</v>
      </c>
      <c r="B543" s="67" t="s">
        <v>1218</v>
      </c>
      <c r="C543" s="67" t="s">
        <v>772</v>
      </c>
      <c r="D543" s="68">
        <v>45138.0</v>
      </c>
      <c r="E543" s="68">
        <v>45148.0</v>
      </c>
      <c r="F543" s="69">
        <v>2.1E7</v>
      </c>
      <c r="G543" s="69">
        <v>2.1E7</v>
      </c>
      <c r="H543" s="69">
        <v>650000.0</v>
      </c>
      <c r="I543" s="69">
        <v>2.1E7</v>
      </c>
      <c r="J543" s="70">
        <f t="shared" si="9"/>
        <v>0.03095238095</v>
      </c>
    </row>
    <row r="544" ht="22.5" customHeight="1" outlineLevel="2">
      <c r="A544" s="66" t="s">
        <v>1219</v>
      </c>
      <c r="B544" s="67" t="s">
        <v>1220</v>
      </c>
      <c r="C544" s="67" t="s">
        <v>746</v>
      </c>
      <c r="D544" s="68">
        <v>45140.0</v>
      </c>
      <c r="E544" s="68">
        <v>45152.0</v>
      </c>
      <c r="F544" s="69">
        <v>8.9925E7</v>
      </c>
      <c r="G544" s="69">
        <v>8.9925E7</v>
      </c>
      <c r="H544" s="69">
        <v>3425000.0</v>
      </c>
      <c r="I544" s="69">
        <v>8.9925E7</v>
      </c>
      <c r="J544" s="70">
        <f t="shared" si="9"/>
        <v>0.03808729497</v>
      </c>
    </row>
    <row r="545" ht="22.5" customHeight="1" outlineLevel="2">
      <c r="A545" s="66" t="s">
        <v>1221</v>
      </c>
      <c r="B545" s="67" t="s">
        <v>1222</v>
      </c>
      <c r="C545" s="67" t="s">
        <v>1223</v>
      </c>
      <c r="D545" s="68">
        <v>45132.0</v>
      </c>
      <c r="E545" s="68">
        <v>45148.0</v>
      </c>
      <c r="F545" s="69">
        <v>2.38E7</v>
      </c>
      <c r="G545" s="69">
        <v>2.38E7</v>
      </c>
      <c r="H545" s="69">
        <v>1.1812321333333334E7</v>
      </c>
      <c r="I545" s="69">
        <v>2.38E7</v>
      </c>
      <c r="J545" s="70">
        <f t="shared" si="9"/>
        <v>0.4963160224</v>
      </c>
    </row>
    <row r="546" ht="22.5" customHeight="1" outlineLevel="2">
      <c r="A546" s="66" t="s">
        <v>1224</v>
      </c>
      <c r="B546" s="67" t="s">
        <v>1225</v>
      </c>
      <c r="C546" s="67" t="s">
        <v>755</v>
      </c>
      <c r="D546" s="68">
        <v>45140.0</v>
      </c>
      <c r="E546" s="68">
        <v>45141.0</v>
      </c>
      <c r="F546" s="69">
        <v>8800000.0</v>
      </c>
      <c r="G546" s="69">
        <v>8800000.0</v>
      </c>
      <c r="H546" s="69">
        <v>616000.0</v>
      </c>
      <c r="I546" s="69">
        <v>8800000.0</v>
      </c>
      <c r="J546" s="70">
        <f t="shared" si="9"/>
        <v>0.07</v>
      </c>
    </row>
    <row r="547" ht="22.5" customHeight="1" outlineLevel="2">
      <c r="A547" s="66" t="s">
        <v>1226</v>
      </c>
      <c r="B547" s="67" t="s">
        <v>1227</v>
      </c>
      <c r="C547" s="67" t="s">
        <v>1228</v>
      </c>
      <c r="D547" s="68">
        <v>45139.0</v>
      </c>
      <c r="E547" s="68">
        <v>45223.0</v>
      </c>
      <c r="F547" s="69">
        <v>9.919875E7</v>
      </c>
      <c r="G547" s="69">
        <v>9.919875E7</v>
      </c>
      <c r="H547" s="69">
        <v>1498750.0</v>
      </c>
      <c r="I547" s="69"/>
      <c r="J547" s="70">
        <f t="shared" si="9"/>
        <v>0.01510855732</v>
      </c>
    </row>
    <row r="548" ht="22.5" customHeight="1" outlineLevel="2">
      <c r="A548" s="66" t="s">
        <v>1229</v>
      </c>
      <c r="B548" s="67" t="s">
        <v>1230</v>
      </c>
      <c r="C548" s="67" t="s">
        <v>1223</v>
      </c>
      <c r="D548" s="68">
        <v>45141.0</v>
      </c>
      <c r="E548" s="68">
        <v>45168.0</v>
      </c>
      <c r="F548" s="69">
        <v>6850000.0</v>
      </c>
      <c r="G548" s="69">
        <v>6850000.0</v>
      </c>
      <c r="H548" s="69">
        <v>800000.0</v>
      </c>
      <c r="I548" s="69">
        <v>6850000.0</v>
      </c>
      <c r="J548" s="70">
        <f t="shared" si="9"/>
        <v>0.1167883212</v>
      </c>
    </row>
    <row r="549" ht="22.5" customHeight="1" outlineLevel="2">
      <c r="A549" s="66" t="s">
        <v>1231</v>
      </c>
      <c r="B549" s="67" t="s">
        <v>1232</v>
      </c>
      <c r="C549" s="67" t="s">
        <v>1134</v>
      </c>
      <c r="D549" s="68">
        <v>45147.0</v>
      </c>
      <c r="E549" s="68">
        <v>45153.0</v>
      </c>
      <c r="F549" s="69">
        <v>2.19E7</v>
      </c>
      <c r="G549" s="69">
        <v>2.19E7</v>
      </c>
      <c r="H549" s="69">
        <v>1450000.0</v>
      </c>
      <c r="I549" s="69">
        <v>2.19E7</v>
      </c>
      <c r="J549" s="70">
        <f t="shared" si="9"/>
        <v>0.06621004566</v>
      </c>
    </row>
    <row r="550" ht="22.5" customHeight="1" outlineLevel="2">
      <c r="A550" s="66" t="s">
        <v>1233</v>
      </c>
      <c r="B550" s="67" t="s">
        <v>1234</v>
      </c>
      <c r="C550" s="67" t="s">
        <v>982</v>
      </c>
      <c r="D550" s="68">
        <v>45147.0</v>
      </c>
      <c r="E550" s="68">
        <v>45187.0</v>
      </c>
      <c r="F550" s="69">
        <v>7.95E7</v>
      </c>
      <c r="G550" s="69">
        <v>7.95E7</v>
      </c>
      <c r="H550" s="69">
        <v>2.71279775E7</v>
      </c>
      <c r="I550" s="69">
        <v>7.95E7</v>
      </c>
      <c r="J550" s="70">
        <f t="shared" si="9"/>
        <v>0.3412324214</v>
      </c>
    </row>
    <row r="551" ht="22.5" customHeight="1" outlineLevel="2">
      <c r="A551" s="66" t="s">
        <v>1235</v>
      </c>
      <c r="B551" s="67" t="s">
        <v>1236</v>
      </c>
      <c r="C551" s="67" t="s">
        <v>1237</v>
      </c>
      <c r="D551" s="68">
        <v>45147.0</v>
      </c>
      <c r="E551" s="68">
        <v>45148.0</v>
      </c>
      <c r="F551" s="69">
        <v>1600000.0</v>
      </c>
      <c r="G551" s="69">
        <v>1600000.0</v>
      </c>
      <c r="H551" s="69">
        <v>330000.0</v>
      </c>
      <c r="I551" s="69">
        <v>1600000.0</v>
      </c>
      <c r="J551" s="70">
        <f t="shared" si="9"/>
        <v>0.20625</v>
      </c>
    </row>
    <row r="552" ht="22.5" customHeight="1" outlineLevel="2">
      <c r="A552" s="66" t="s">
        <v>1238</v>
      </c>
      <c r="B552" s="67" t="s">
        <v>1239</v>
      </c>
      <c r="C552" s="67" t="s">
        <v>772</v>
      </c>
      <c r="D552" s="68">
        <v>45145.0</v>
      </c>
      <c r="E552" s="68">
        <v>45153.0</v>
      </c>
      <c r="F552" s="69">
        <v>9750000.0</v>
      </c>
      <c r="G552" s="69">
        <v>9750000.0</v>
      </c>
      <c r="H552" s="69">
        <v>250000.0</v>
      </c>
      <c r="I552" s="69">
        <v>9750000.0</v>
      </c>
      <c r="J552" s="70">
        <f t="shared" si="9"/>
        <v>0.02564102564</v>
      </c>
    </row>
    <row r="553" ht="22.5" customHeight="1" outlineLevel="2">
      <c r="A553" s="66" t="s">
        <v>1240</v>
      </c>
      <c r="B553" s="67" t="s">
        <v>1241</v>
      </c>
      <c r="C553" s="67" t="s">
        <v>1242</v>
      </c>
      <c r="D553" s="68">
        <v>45148.0</v>
      </c>
      <c r="E553" s="68">
        <v>45155.0</v>
      </c>
      <c r="F553" s="69">
        <v>3.81E8</v>
      </c>
      <c r="G553" s="69">
        <v>3.81E8</v>
      </c>
      <c r="H553" s="69">
        <v>2.135222419E8</v>
      </c>
      <c r="I553" s="69">
        <v>3.81E8</v>
      </c>
      <c r="J553" s="70">
        <f t="shared" si="9"/>
        <v>0.5604258318</v>
      </c>
    </row>
    <row r="554" ht="22.5" customHeight="1" outlineLevel="2">
      <c r="A554" s="66" t="s">
        <v>1243</v>
      </c>
      <c r="B554" s="67" t="s">
        <v>1244</v>
      </c>
      <c r="C554" s="67" t="s">
        <v>1245</v>
      </c>
      <c r="D554" s="68">
        <v>45119.0</v>
      </c>
      <c r="E554" s="68">
        <v>45187.0</v>
      </c>
      <c r="F554" s="69">
        <v>4.41E7</v>
      </c>
      <c r="G554" s="69">
        <v>4.41E7</v>
      </c>
      <c r="H554" s="69">
        <v>1.0784561600000001E7</v>
      </c>
      <c r="I554" s="69">
        <v>4.41E7</v>
      </c>
      <c r="J554" s="70">
        <f t="shared" si="9"/>
        <v>0.2445478821</v>
      </c>
    </row>
    <row r="555" ht="22.5" customHeight="1" outlineLevel="2">
      <c r="A555" s="66" t="s">
        <v>1246</v>
      </c>
      <c r="B555" s="67" t="s">
        <v>1247</v>
      </c>
      <c r="C555" s="67" t="s">
        <v>1248</v>
      </c>
      <c r="D555" s="68">
        <v>45152.0</v>
      </c>
      <c r="E555" s="68">
        <v>45174.0</v>
      </c>
      <c r="F555" s="69">
        <v>2.4485E7</v>
      </c>
      <c r="G555" s="69">
        <v>2.4485E7</v>
      </c>
      <c r="H555" s="69">
        <v>1546000.0</v>
      </c>
      <c r="I555" s="69">
        <v>2.4485E7</v>
      </c>
      <c r="J555" s="70">
        <f t="shared" si="9"/>
        <v>0.06314069839</v>
      </c>
    </row>
    <row r="556" ht="22.5" customHeight="1" outlineLevel="2">
      <c r="A556" s="66" t="s">
        <v>1249</v>
      </c>
      <c r="B556" s="67" t="s">
        <v>1250</v>
      </c>
      <c r="C556" s="67" t="s">
        <v>952</v>
      </c>
      <c r="D556" s="68">
        <v>45152.0</v>
      </c>
      <c r="E556" s="68">
        <v>45154.0</v>
      </c>
      <c r="F556" s="69">
        <v>8400000.0</v>
      </c>
      <c r="G556" s="69">
        <v>8400000.0</v>
      </c>
      <c r="H556" s="69">
        <v>610000.0</v>
      </c>
      <c r="I556" s="69">
        <v>8400000.0</v>
      </c>
      <c r="J556" s="70">
        <f t="shared" si="9"/>
        <v>0.07261904762</v>
      </c>
    </row>
    <row r="557" ht="22.5" customHeight="1" outlineLevel="2">
      <c r="A557" s="66" t="s">
        <v>1251</v>
      </c>
      <c r="B557" s="67" t="s">
        <v>1252</v>
      </c>
      <c r="C557" s="67" t="s">
        <v>1253</v>
      </c>
      <c r="D557" s="68">
        <v>45153.0</v>
      </c>
      <c r="E557" s="68">
        <v>45175.0</v>
      </c>
      <c r="F557" s="69">
        <v>8.65E7</v>
      </c>
      <c r="G557" s="69">
        <v>8.65E7</v>
      </c>
      <c r="H557" s="69">
        <v>3000000.0</v>
      </c>
      <c r="I557" s="69">
        <v>8.65E7</v>
      </c>
      <c r="J557" s="70">
        <f t="shared" si="9"/>
        <v>0.03468208092</v>
      </c>
    </row>
    <row r="558" ht="22.5" customHeight="1" outlineLevel="2">
      <c r="A558" s="66" t="s">
        <v>1254</v>
      </c>
      <c r="B558" s="67" t="s">
        <v>1165</v>
      </c>
      <c r="C558" s="67" t="s">
        <v>1143</v>
      </c>
      <c r="D558" s="68">
        <v>45153.0</v>
      </c>
      <c r="E558" s="68">
        <v>45155.0</v>
      </c>
      <c r="F558" s="69">
        <v>1.49E7</v>
      </c>
      <c r="G558" s="69">
        <v>1.49E7</v>
      </c>
      <c r="H558" s="69">
        <v>5949937.333333332</v>
      </c>
      <c r="I558" s="69">
        <v>1.49E7</v>
      </c>
      <c r="J558" s="70">
        <f t="shared" si="9"/>
        <v>0.3993246532</v>
      </c>
    </row>
    <row r="559" ht="22.5" customHeight="1" outlineLevel="2">
      <c r="A559" s="66" t="s">
        <v>1255</v>
      </c>
      <c r="B559" s="67" t="s">
        <v>1256</v>
      </c>
      <c r="C559" s="67" t="s">
        <v>1257</v>
      </c>
      <c r="D559" s="68">
        <v>45152.0</v>
      </c>
      <c r="E559" s="68">
        <v>45155.0</v>
      </c>
      <c r="F559" s="69">
        <v>2100000.0</v>
      </c>
      <c r="G559" s="69">
        <v>2100000.0</v>
      </c>
      <c r="H559" s="69">
        <v>348000.0</v>
      </c>
      <c r="I559" s="69">
        <v>2100000.0</v>
      </c>
      <c r="J559" s="70">
        <f t="shared" si="9"/>
        <v>0.1657142857</v>
      </c>
    </row>
    <row r="560" ht="22.5" customHeight="1" outlineLevel="2">
      <c r="A560" s="66" t="s">
        <v>1258</v>
      </c>
      <c r="B560" s="67" t="s">
        <v>1259</v>
      </c>
      <c r="C560" s="67" t="s">
        <v>1260</v>
      </c>
      <c r="D560" s="68">
        <v>45155.0</v>
      </c>
      <c r="E560" s="68">
        <v>45160.0</v>
      </c>
      <c r="F560" s="69">
        <v>1.189728E8</v>
      </c>
      <c r="G560" s="69">
        <v>1.189728E8</v>
      </c>
      <c r="H560" s="69">
        <v>4.80119982E7</v>
      </c>
      <c r="I560" s="69">
        <v>1.189728E8</v>
      </c>
      <c r="J560" s="70">
        <f t="shared" si="9"/>
        <v>0.4035544108</v>
      </c>
    </row>
    <row r="561" ht="22.5" customHeight="1" outlineLevel="2">
      <c r="A561" s="66" t="s">
        <v>1261</v>
      </c>
      <c r="B561" s="67" t="s">
        <v>1262</v>
      </c>
      <c r="C561" s="67" t="s">
        <v>1263</v>
      </c>
      <c r="D561" s="68">
        <v>45153.0</v>
      </c>
      <c r="E561" s="68">
        <v>45155.0</v>
      </c>
      <c r="F561" s="69">
        <v>1.564E7</v>
      </c>
      <c r="G561" s="69">
        <v>1.564E7</v>
      </c>
      <c r="H561" s="69">
        <v>780000.0</v>
      </c>
      <c r="I561" s="69">
        <v>1.564E7</v>
      </c>
      <c r="J561" s="70">
        <f t="shared" si="9"/>
        <v>0.04987212276</v>
      </c>
    </row>
    <row r="562" ht="22.5" customHeight="1" outlineLevel="2">
      <c r="A562" s="66" t="s">
        <v>1264</v>
      </c>
      <c r="B562" s="67" t="s">
        <v>1265</v>
      </c>
      <c r="C562" s="67" t="s">
        <v>1237</v>
      </c>
      <c r="D562" s="68">
        <v>45155.0</v>
      </c>
      <c r="E562" s="68">
        <v>45159.0</v>
      </c>
      <c r="F562" s="69">
        <v>7100000.0</v>
      </c>
      <c r="G562" s="69">
        <v>7100000.0</v>
      </c>
      <c r="H562" s="69">
        <v>200000.0</v>
      </c>
      <c r="I562" s="69">
        <v>7100000.0</v>
      </c>
      <c r="J562" s="70">
        <f t="shared" si="9"/>
        <v>0.02816901408</v>
      </c>
    </row>
    <row r="563" ht="22.5" customHeight="1" outlineLevel="2">
      <c r="A563" s="66" t="s">
        <v>1266</v>
      </c>
      <c r="B563" s="67" t="s">
        <v>1267</v>
      </c>
      <c r="C563" s="67" t="s">
        <v>786</v>
      </c>
      <c r="D563" s="68">
        <v>45155.0</v>
      </c>
      <c r="E563" s="68">
        <v>45168.0</v>
      </c>
      <c r="F563" s="69">
        <v>7.892E7</v>
      </c>
      <c r="G563" s="69">
        <v>7.892E7</v>
      </c>
      <c r="H563" s="69">
        <v>2450000.0</v>
      </c>
      <c r="I563" s="69">
        <v>7.892E7</v>
      </c>
      <c r="J563" s="70">
        <f t="shared" si="9"/>
        <v>0.03104409529</v>
      </c>
    </row>
    <row r="564" ht="22.5" customHeight="1" outlineLevel="2">
      <c r="A564" s="66" t="s">
        <v>1268</v>
      </c>
      <c r="B564" s="67" t="s">
        <v>1165</v>
      </c>
      <c r="C564" s="67" t="s">
        <v>831</v>
      </c>
      <c r="D564" s="68">
        <v>45153.0</v>
      </c>
      <c r="E564" s="68">
        <v>45159.0</v>
      </c>
      <c r="F564" s="69">
        <v>1.59E7</v>
      </c>
      <c r="G564" s="69">
        <v>1.59E7</v>
      </c>
      <c r="H564" s="69">
        <v>5924937.333333332</v>
      </c>
      <c r="I564" s="69">
        <v>1.59E7</v>
      </c>
      <c r="J564" s="70">
        <f t="shared" si="9"/>
        <v>0.3726375681</v>
      </c>
    </row>
    <row r="565" ht="22.5" customHeight="1" outlineLevel="2">
      <c r="A565" s="66" t="s">
        <v>1269</v>
      </c>
      <c r="B565" s="67" t="s">
        <v>1270</v>
      </c>
      <c r="C565" s="67" t="s">
        <v>1271</v>
      </c>
      <c r="D565" s="68">
        <v>45159.0</v>
      </c>
      <c r="E565" s="68">
        <v>45167.0</v>
      </c>
      <c r="F565" s="69">
        <v>7344000.0</v>
      </c>
      <c r="G565" s="69">
        <v>7344000.0</v>
      </c>
      <c r="H565" s="69">
        <v>2478360.666666667</v>
      </c>
      <c r="I565" s="69">
        <v>7344000.0</v>
      </c>
      <c r="J565" s="70">
        <f t="shared" si="9"/>
        <v>0.337467411</v>
      </c>
    </row>
    <row r="566" ht="22.5" customHeight="1" outlineLevel="2">
      <c r="A566" s="66" t="s">
        <v>1272</v>
      </c>
      <c r="B566" s="67" t="s">
        <v>1273</v>
      </c>
      <c r="C566" s="67" t="s">
        <v>1274</v>
      </c>
      <c r="D566" s="68">
        <v>45155.0</v>
      </c>
      <c r="E566" s="68">
        <v>45161.0</v>
      </c>
      <c r="F566" s="69">
        <v>2520000.0</v>
      </c>
      <c r="G566" s="69">
        <v>2520000.0</v>
      </c>
      <c r="H566" s="69">
        <v>210000.0</v>
      </c>
      <c r="I566" s="69">
        <v>2520000.0</v>
      </c>
      <c r="J566" s="70">
        <f t="shared" si="9"/>
        <v>0.08333333333</v>
      </c>
    </row>
    <row r="567" ht="22.5" customHeight="1" outlineLevel="2">
      <c r="A567" s="66" t="s">
        <v>1275</v>
      </c>
      <c r="B567" s="67" t="s">
        <v>1276</v>
      </c>
      <c r="C567" s="67" t="s">
        <v>1277</v>
      </c>
      <c r="D567" s="68">
        <v>45160.0</v>
      </c>
      <c r="E567" s="68">
        <v>45169.0</v>
      </c>
      <c r="F567" s="69">
        <v>4500000.0</v>
      </c>
      <c r="G567" s="69">
        <v>4500000.0</v>
      </c>
      <c r="H567" s="69">
        <v>1638135.5555555555</v>
      </c>
      <c r="I567" s="69">
        <v>4500000.0</v>
      </c>
      <c r="J567" s="70">
        <f t="shared" si="9"/>
        <v>0.3640301235</v>
      </c>
    </row>
    <row r="568" ht="22.5" customHeight="1" outlineLevel="2">
      <c r="A568" s="66" t="s">
        <v>1278</v>
      </c>
      <c r="B568" s="67" t="s">
        <v>1279</v>
      </c>
      <c r="C568" s="67" t="s">
        <v>1011</v>
      </c>
      <c r="D568" s="68">
        <v>45159.0</v>
      </c>
      <c r="E568" s="68">
        <v>45161.0</v>
      </c>
      <c r="F568" s="69">
        <v>8893500.0</v>
      </c>
      <c r="G568" s="69">
        <v>8893500.0</v>
      </c>
      <c r="H568" s="69">
        <v>993500.0</v>
      </c>
      <c r="I568" s="69">
        <v>8893500.0</v>
      </c>
      <c r="J568" s="70">
        <f t="shared" si="9"/>
        <v>0.1117108</v>
      </c>
    </row>
    <row r="569" ht="22.5" customHeight="1" outlineLevel="2">
      <c r="A569" s="66" t="s">
        <v>1280</v>
      </c>
      <c r="B569" s="67" t="s">
        <v>1281</v>
      </c>
      <c r="C569" s="67" t="s">
        <v>1282</v>
      </c>
      <c r="D569" s="68">
        <v>45160.0</v>
      </c>
      <c r="E569" s="68">
        <v>45174.0</v>
      </c>
      <c r="F569" s="69">
        <v>4200000.0</v>
      </c>
      <c r="G569" s="69">
        <v>4200000.0</v>
      </c>
      <c r="H569" s="69">
        <v>35272.222222222015</v>
      </c>
      <c r="I569" s="69">
        <v>4200000.0</v>
      </c>
      <c r="J569" s="70">
        <f t="shared" si="9"/>
        <v>0.008398148148</v>
      </c>
    </row>
    <row r="570" ht="22.5" customHeight="1" outlineLevel="2">
      <c r="A570" s="66" t="s">
        <v>1283</v>
      </c>
      <c r="B570" s="67" t="s">
        <v>1284</v>
      </c>
      <c r="C570" s="67" t="s">
        <v>772</v>
      </c>
      <c r="D570" s="68">
        <v>45160.0</v>
      </c>
      <c r="E570" s="68">
        <v>45169.0</v>
      </c>
      <c r="F570" s="69">
        <v>3.0992E7</v>
      </c>
      <c r="G570" s="69">
        <v>3.0992E7</v>
      </c>
      <c r="H570" s="69">
        <v>1192000.0</v>
      </c>
      <c r="I570" s="69">
        <v>3.0992E7</v>
      </c>
      <c r="J570" s="70">
        <f t="shared" si="9"/>
        <v>0.03846153846</v>
      </c>
    </row>
    <row r="571" ht="22.5" customHeight="1" outlineLevel="2">
      <c r="A571" s="66" t="s">
        <v>1285</v>
      </c>
      <c r="B571" s="67" t="s">
        <v>1286</v>
      </c>
      <c r="C571" s="67" t="s">
        <v>1287</v>
      </c>
      <c r="D571" s="68">
        <v>45162.0</v>
      </c>
      <c r="E571" s="68">
        <v>45169.0</v>
      </c>
      <c r="F571" s="69">
        <v>5.4384E7</v>
      </c>
      <c r="G571" s="69">
        <v>5.4384E7</v>
      </c>
      <c r="H571" s="69">
        <v>1584000.0</v>
      </c>
      <c r="I571" s="69">
        <v>5.4384E7</v>
      </c>
      <c r="J571" s="70">
        <f t="shared" si="9"/>
        <v>0.02912621359</v>
      </c>
    </row>
    <row r="572" ht="22.5" customHeight="1" outlineLevel="2">
      <c r="A572" s="66" t="s">
        <v>1288</v>
      </c>
      <c r="B572" s="67" t="s">
        <v>1289</v>
      </c>
      <c r="C572" s="67" t="s">
        <v>1290</v>
      </c>
      <c r="D572" s="68">
        <v>45161.0</v>
      </c>
      <c r="E572" s="68">
        <v>45211.0</v>
      </c>
      <c r="F572" s="69">
        <v>7.5465E8</v>
      </c>
      <c r="G572" s="69">
        <v>7.5465E8</v>
      </c>
      <c r="H572" s="69">
        <v>2.215E7</v>
      </c>
      <c r="I572" s="69">
        <v>7.5465E8</v>
      </c>
      <c r="J572" s="70">
        <f t="shared" si="9"/>
        <v>0.02935135493</v>
      </c>
    </row>
    <row r="573" ht="22.5" customHeight="1" outlineLevel="2">
      <c r="A573" s="66" t="s">
        <v>1291</v>
      </c>
      <c r="B573" s="67" t="s">
        <v>1292</v>
      </c>
      <c r="C573" s="67" t="s">
        <v>743</v>
      </c>
      <c r="D573" s="68">
        <v>45166.0</v>
      </c>
      <c r="E573" s="68">
        <v>45203.0</v>
      </c>
      <c r="F573" s="69">
        <v>1.7400875E8</v>
      </c>
      <c r="G573" s="69">
        <v>1.7400875E8</v>
      </c>
      <c r="H573" s="69">
        <v>5.349E7</v>
      </c>
      <c r="I573" s="69">
        <v>1.7400875E8</v>
      </c>
      <c r="J573" s="70">
        <f t="shared" si="9"/>
        <v>0.3073983349</v>
      </c>
    </row>
    <row r="574" ht="22.5" customHeight="1" outlineLevel="2">
      <c r="A574" s="66" t="s">
        <v>1293</v>
      </c>
      <c r="B574" s="67" t="s">
        <v>1294</v>
      </c>
      <c r="C574" s="67" t="s">
        <v>1295</v>
      </c>
      <c r="D574" s="68">
        <v>45167.0</v>
      </c>
      <c r="E574" s="68">
        <v>45177.0</v>
      </c>
      <c r="F574" s="69">
        <v>3.3138E7</v>
      </c>
      <c r="G574" s="69">
        <v>3.3138E7</v>
      </c>
      <c r="H574" s="69">
        <v>6223000.0</v>
      </c>
      <c r="I574" s="69">
        <v>3.3138E7</v>
      </c>
      <c r="J574" s="70">
        <f t="shared" si="9"/>
        <v>0.187790452</v>
      </c>
    </row>
    <row r="575" ht="22.5" customHeight="1" outlineLevel="2">
      <c r="A575" s="66" t="s">
        <v>1296</v>
      </c>
      <c r="B575" s="67" t="s">
        <v>1297</v>
      </c>
      <c r="C575" s="67" t="s">
        <v>746</v>
      </c>
      <c r="D575" s="68">
        <v>45167.0</v>
      </c>
      <c r="E575" s="68">
        <v>45174.0</v>
      </c>
      <c r="F575" s="69">
        <v>3.36265E8</v>
      </c>
      <c r="G575" s="69">
        <v>3.36265E8</v>
      </c>
      <c r="H575" s="69">
        <v>1.0265E7</v>
      </c>
      <c r="I575" s="69">
        <v>3.36265E8</v>
      </c>
      <c r="J575" s="70">
        <f t="shared" si="9"/>
        <v>0.03052651926</v>
      </c>
    </row>
    <row r="576" ht="22.5" customHeight="1" outlineLevel="2">
      <c r="A576" s="66" t="s">
        <v>1298</v>
      </c>
      <c r="B576" s="67" t="s">
        <v>1299</v>
      </c>
      <c r="C576" s="67" t="s">
        <v>1300</v>
      </c>
      <c r="D576" s="68">
        <v>45167.0</v>
      </c>
      <c r="E576" s="68">
        <v>45187.0</v>
      </c>
      <c r="F576" s="69">
        <v>4.66E7</v>
      </c>
      <c r="G576" s="69">
        <v>4.66E7</v>
      </c>
      <c r="H576" s="69">
        <v>3121200.0</v>
      </c>
      <c r="I576" s="69">
        <v>4.66E7</v>
      </c>
      <c r="J576" s="70">
        <f t="shared" si="9"/>
        <v>0.06697854077</v>
      </c>
    </row>
    <row r="577" ht="22.5" customHeight="1" outlineLevel="2">
      <c r="A577" s="66" t="s">
        <v>1301</v>
      </c>
      <c r="B577" s="67" t="s">
        <v>1302</v>
      </c>
      <c r="C577" s="67" t="s">
        <v>1303</v>
      </c>
      <c r="D577" s="68">
        <v>45168.0</v>
      </c>
      <c r="E577" s="68"/>
      <c r="F577" s="69">
        <v>5.0E7</v>
      </c>
      <c r="G577" s="69"/>
      <c r="H577" s="69"/>
      <c r="I577" s="69"/>
      <c r="J577" s="70" t="str">
        <f t="shared" si="9"/>
        <v>#DIV/0!</v>
      </c>
    </row>
    <row r="578" ht="22.5" customHeight="1" outlineLevel="2">
      <c r="A578" s="66" t="s">
        <v>1304</v>
      </c>
      <c r="B578" s="67" t="s">
        <v>1305</v>
      </c>
      <c r="C578" s="67" t="s">
        <v>857</v>
      </c>
      <c r="D578" s="68">
        <v>45159.0</v>
      </c>
      <c r="E578" s="68">
        <v>45174.0</v>
      </c>
      <c r="F578" s="69">
        <v>800000.0</v>
      </c>
      <c r="G578" s="69">
        <v>800000.0</v>
      </c>
      <c r="H578" s="69">
        <v>50000.0</v>
      </c>
      <c r="I578" s="69">
        <v>800000.0</v>
      </c>
      <c r="J578" s="70">
        <f t="shared" si="9"/>
        <v>0.0625</v>
      </c>
    </row>
    <row r="579" ht="22.5" customHeight="1" outlineLevel="2">
      <c r="A579" s="66" t="s">
        <v>1306</v>
      </c>
      <c r="B579" s="67" t="s">
        <v>1307</v>
      </c>
      <c r="C579" s="67" t="s">
        <v>746</v>
      </c>
      <c r="D579" s="68">
        <v>45178.0</v>
      </c>
      <c r="E579" s="68">
        <v>45187.0</v>
      </c>
      <c r="F579" s="69">
        <v>1.64808E8</v>
      </c>
      <c r="G579" s="69">
        <v>1.64808E8</v>
      </c>
      <c r="H579" s="69">
        <v>3608000.0</v>
      </c>
      <c r="I579" s="69">
        <v>1.64808E8</v>
      </c>
      <c r="J579" s="70">
        <f t="shared" si="9"/>
        <v>0.02189214116</v>
      </c>
    </row>
    <row r="580" ht="22.5" customHeight="1" outlineLevel="2">
      <c r="A580" s="66" t="s">
        <v>1308</v>
      </c>
      <c r="B580" s="67" t="s">
        <v>1309</v>
      </c>
      <c r="C580" s="67" t="s">
        <v>1214</v>
      </c>
      <c r="D580" s="68">
        <v>45180.0</v>
      </c>
      <c r="E580" s="68">
        <v>45181.0</v>
      </c>
      <c r="F580" s="69">
        <v>2.0E7</v>
      </c>
      <c r="G580" s="69">
        <v>2.0E7</v>
      </c>
      <c r="H580" s="69">
        <v>1112500.0</v>
      </c>
      <c r="I580" s="69">
        <v>2.0E7</v>
      </c>
      <c r="J580" s="70">
        <f t="shared" si="9"/>
        <v>0.055625</v>
      </c>
    </row>
    <row r="581" ht="22.5" customHeight="1" outlineLevel="2">
      <c r="A581" s="66" t="s">
        <v>1310</v>
      </c>
      <c r="B581" s="67" t="s">
        <v>1311</v>
      </c>
      <c r="C581" s="67" t="s">
        <v>1312</v>
      </c>
      <c r="D581" s="68">
        <v>45180.0</v>
      </c>
      <c r="E581" s="68">
        <v>45181.0</v>
      </c>
      <c r="F581" s="69">
        <v>3.6084E7</v>
      </c>
      <c r="G581" s="69">
        <v>3.6084E7</v>
      </c>
      <c r="H581" s="69">
        <v>2364000.0</v>
      </c>
      <c r="I581" s="69">
        <v>3.6084E7</v>
      </c>
      <c r="J581" s="70">
        <f t="shared" si="9"/>
        <v>0.06551380113</v>
      </c>
    </row>
    <row r="582" ht="22.5" customHeight="1" outlineLevel="2">
      <c r="A582" s="66" t="s">
        <v>1313</v>
      </c>
      <c r="B582" s="67" t="s">
        <v>877</v>
      </c>
      <c r="C582" s="67" t="s">
        <v>1314</v>
      </c>
      <c r="D582" s="68">
        <v>45161.0</v>
      </c>
      <c r="E582" s="68">
        <v>45196.0</v>
      </c>
      <c r="F582" s="69">
        <v>8820000.0</v>
      </c>
      <c r="G582" s="69">
        <v>8820000.0</v>
      </c>
      <c r="H582" s="69">
        <v>1034626.0</v>
      </c>
      <c r="I582" s="69">
        <v>8820000.0</v>
      </c>
      <c r="J582" s="70">
        <f t="shared" si="9"/>
        <v>0.1173045351</v>
      </c>
    </row>
    <row r="583" ht="22.5" customHeight="1" outlineLevel="2">
      <c r="A583" s="66" t="s">
        <v>1315</v>
      </c>
      <c r="B583" s="67" t="s">
        <v>1316</v>
      </c>
      <c r="C583" s="67" t="s">
        <v>1317</v>
      </c>
      <c r="D583" s="68">
        <v>45181.0</v>
      </c>
      <c r="E583" s="68">
        <v>45182.0</v>
      </c>
      <c r="F583" s="69">
        <v>1790000.0</v>
      </c>
      <c r="G583" s="69">
        <v>1790000.0</v>
      </c>
      <c r="H583" s="69">
        <v>500000.0</v>
      </c>
      <c r="I583" s="69">
        <v>1790000.0</v>
      </c>
      <c r="J583" s="70">
        <f t="shared" si="9"/>
        <v>0.2793296089</v>
      </c>
    </row>
    <row r="584" ht="22.5" customHeight="1" outlineLevel="2">
      <c r="A584" s="66" t="s">
        <v>1318</v>
      </c>
      <c r="B584" s="67" t="s">
        <v>1319</v>
      </c>
      <c r="C584" s="67" t="s">
        <v>746</v>
      </c>
      <c r="D584" s="68">
        <v>45184.0</v>
      </c>
      <c r="E584" s="68">
        <v>45188.0</v>
      </c>
      <c r="F584" s="69">
        <v>1.299825E8</v>
      </c>
      <c r="G584" s="69">
        <v>1.299825E8</v>
      </c>
      <c r="H584" s="69">
        <v>3232500.0</v>
      </c>
      <c r="I584" s="69">
        <v>1.299825E8</v>
      </c>
      <c r="J584" s="70">
        <f t="shared" si="9"/>
        <v>0.02486873233</v>
      </c>
    </row>
    <row r="585" ht="22.5" customHeight="1" outlineLevel="2">
      <c r="A585" s="66" t="s">
        <v>1320</v>
      </c>
      <c r="B585" s="67" t="s">
        <v>1321</v>
      </c>
      <c r="C585" s="67" t="s">
        <v>1263</v>
      </c>
      <c r="D585" s="68">
        <v>45153.0</v>
      </c>
      <c r="E585" s="68">
        <v>45198.0</v>
      </c>
      <c r="F585" s="69">
        <v>4.58337E7</v>
      </c>
      <c r="G585" s="69">
        <v>4.58337E7</v>
      </c>
      <c r="H585" s="69">
        <v>2006200.0</v>
      </c>
      <c r="I585" s="69">
        <v>4.58337E7</v>
      </c>
      <c r="J585" s="70">
        <f t="shared" si="9"/>
        <v>0.04377128619</v>
      </c>
    </row>
    <row r="586" ht="22.5" customHeight="1" outlineLevel="2">
      <c r="A586" s="66" t="s">
        <v>1322</v>
      </c>
      <c r="B586" s="67" t="s">
        <v>1323</v>
      </c>
      <c r="C586" s="67" t="s">
        <v>945</v>
      </c>
      <c r="D586" s="68">
        <v>45188.0</v>
      </c>
      <c r="E586" s="68">
        <v>45201.0</v>
      </c>
      <c r="F586" s="69">
        <v>3.108E8</v>
      </c>
      <c r="G586" s="69">
        <v>3.108E8</v>
      </c>
      <c r="H586" s="69">
        <v>9800000.0</v>
      </c>
      <c r="I586" s="69">
        <v>1.554E8</v>
      </c>
      <c r="J586" s="70">
        <f t="shared" si="9"/>
        <v>0.03153153153</v>
      </c>
    </row>
    <row r="587" ht="22.5" customHeight="1" outlineLevel="2">
      <c r="A587" s="66" t="s">
        <v>1324</v>
      </c>
      <c r="B587" s="67" t="s">
        <v>1325</v>
      </c>
      <c r="C587" s="67" t="s">
        <v>1326</v>
      </c>
      <c r="D587" s="68">
        <v>45181.0</v>
      </c>
      <c r="E587" s="68">
        <v>45204.0</v>
      </c>
      <c r="F587" s="69">
        <v>6.02149E8</v>
      </c>
      <c r="G587" s="69">
        <v>6.02149E8</v>
      </c>
      <c r="H587" s="69">
        <v>2.2376E7</v>
      </c>
      <c r="I587" s="69">
        <v>6.02149E8</v>
      </c>
      <c r="J587" s="70">
        <f t="shared" si="9"/>
        <v>0.03716023775</v>
      </c>
    </row>
    <row r="588" ht="22.5" customHeight="1" outlineLevel="2">
      <c r="A588" s="66" t="s">
        <v>1327</v>
      </c>
      <c r="B588" s="67" t="s">
        <v>1328</v>
      </c>
      <c r="C588" s="67" t="s">
        <v>772</v>
      </c>
      <c r="D588" s="68">
        <v>45190.0</v>
      </c>
      <c r="E588" s="68">
        <v>45195.0</v>
      </c>
      <c r="F588" s="69">
        <v>1.59E7</v>
      </c>
      <c r="G588" s="69">
        <v>1.59E7</v>
      </c>
      <c r="H588" s="69">
        <v>900000.0</v>
      </c>
      <c r="I588" s="69">
        <v>1.59E7</v>
      </c>
      <c r="J588" s="70">
        <f t="shared" si="9"/>
        <v>0.05660377358</v>
      </c>
    </row>
    <row r="589" ht="22.5" customHeight="1" outlineLevel="2">
      <c r="A589" s="66" t="s">
        <v>1329</v>
      </c>
      <c r="B589" s="67" t="s">
        <v>1330</v>
      </c>
      <c r="C589" s="67" t="s">
        <v>1331</v>
      </c>
      <c r="D589" s="68">
        <v>45194.0</v>
      </c>
      <c r="E589" s="68">
        <v>45203.0</v>
      </c>
      <c r="F589" s="69">
        <v>7.7E7</v>
      </c>
      <c r="G589" s="69">
        <v>7.7E7</v>
      </c>
      <c r="H589" s="69">
        <v>2.8271E7</v>
      </c>
      <c r="I589" s="69">
        <v>7.7E7</v>
      </c>
      <c r="J589" s="70">
        <f t="shared" si="9"/>
        <v>0.3671558442</v>
      </c>
    </row>
    <row r="590" ht="22.5" customHeight="1" outlineLevel="2">
      <c r="A590" s="66" t="s">
        <v>1332</v>
      </c>
      <c r="B590" s="67" t="s">
        <v>1333</v>
      </c>
      <c r="C590" s="67" t="s">
        <v>1334</v>
      </c>
      <c r="D590" s="68">
        <v>45194.0</v>
      </c>
      <c r="E590" s="68">
        <v>45202.0</v>
      </c>
      <c r="F590" s="69">
        <v>5.865E7</v>
      </c>
      <c r="G590" s="69">
        <v>5.865E7</v>
      </c>
      <c r="H590" s="69">
        <v>2650000.0</v>
      </c>
      <c r="I590" s="69">
        <v>5.865E7</v>
      </c>
      <c r="J590" s="70">
        <f t="shared" si="9"/>
        <v>0.04518329071</v>
      </c>
    </row>
    <row r="591" ht="22.5" customHeight="1" outlineLevel="2">
      <c r="A591" s="66" t="s">
        <v>1335</v>
      </c>
      <c r="B591" s="67" t="s">
        <v>1336</v>
      </c>
      <c r="C591" s="67" t="s">
        <v>1337</v>
      </c>
      <c r="D591" s="68">
        <v>45196.0</v>
      </c>
      <c r="E591" s="68">
        <v>45202.0</v>
      </c>
      <c r="F591" s="69">
        <v>7.8309E7</v>
      </c>
      <c r="G591" s="69">
        <v>7.8309E7</v>
      </c>
      <c r="H591" s="69">
        <v>3009000.0</v>
      </c>
      <c r="I591" s="69">
        <v>7.8309E7</v>
      </c>
      <c r="J591" s="70">
        <f t="shared" si="9"/>
        <v>0.03842470214</v>
      </c>
    </row>
    <row r="592" ht="22.5" customHeight="1" outlineLevel="2">
      <c r="A592" s="66" t="s">
        <v>1338</v>
      </c>
      <c r="B592" s="67" t="s">
        <v>1339</v>
      </c>
      <c r="C592" s="67" t="s">
        <v>1340</v>
      </c>
      <c r="D592" s="68">
        <v>45198.0</v>
      </c>
      <c r="E592" s="68"/>
      <c r="F592" s="69">
        <v>1.166E7</v>
      </c>
      <c r="G592" s="69"/>
      <c r="H592" s="69"/>
      <c r="I592" s="69">
        <v>5830000.0</v>
      </c>
      <c r="J592" s="70" t="str">
        <f t="shared" si="9"/>
        <v>#DIV/0!</v>
      </c>
    </row>
    <row r="593" ht="22.5" customHeight="1" outlineLevel="2">
      <c r="A593" s="66" t="s">
        <v>1341</v>
      </c>
      <c r="B593" s="67" t="s">
        <v>1342</v>
      </c>
      <c r="C593" s="67" t="s">
        <v>1337</v>
      </c>
      <c r="D593" s="68">
        <v>45201.0</v>
      </c>
      <c r="E593" s="68">
        <v>45219.0</v>
      </c>
      <c r="F593" s="69">
        <v>3.219615E8</v>
      </c>
      <c r="G593" s="69">
        <v>3.219615E8</v>
      </c>
      <c r="H593" s="69">
        <v>9022399.99999994</v>
      </c>
      <c r="I593" s="69">
        <v>3.219615E8</v>
      </c>
      <c r="J593" s="70">
        <f t="shared" si="9"/>
        <v>0.02802322638</v>
      </c>
    </row>
    <row r="594" ht="22.5" customHeight="1" outlineLevel="2">
      <c r="A594" s="66" t="s">
        <v>1343</v>
      </c>
      <c r="B594" s="67" t="s">
        <v>1344</v>
      </c>
      <c r="C594" s="67" t="s">
        <v>936</v>
      </c>
      <c r="D594" s="68">
        <v>45202.0</v>
      </c>
      <c r="E594" s="68">
        <v>45216.0</v>
      </c>
      <c r="F594" s="69">
        <v>5.8905E7</v>
      </c>
      <c r="G594" s="69">
        <v>5.8905E7</v>
      </c>
      <c r="H594" s="69">
        <v>1.848E7</v>
      </c>
      <c r="I594" s="69">
        <v>5.8905E7</v>
      </c>
      <c r="J594" s="70">
        <f t="shared" si="9"/>
        <v>0.3137254902</v>
      </c>
    </row>
    <row r="595" ht="22.5" customHeight="1" outlineLevel="2">
      <c r="A595" s="66" t="s">
        <v>1345</v>
      </c>
      <c r="B595" s="67" t="s">
        <v>1346</v>
      </c>
      <c r="C595" s="67" t="s">
        <v>1274</v>
      </c>
      <c r="D595" s="68">
        <v>45202.0</v>
      </c>
      <c r="E595" s="68">
        <v>45211.0</v>
      </c>
      <c r="F595" s="69">
        <v>8.496E7</v>
      </c>
      <c r="G595" s="69">
        <v>8.496E7</v>
      </c>
      <c r="H595" s="69">
        <v>5400000.0</v>
      </c>
      <c r="I595" s="69">
        <v>8.496E7</v>
      </c>
      <c r="J595" s="70">
        <f t="shared" si="9"/>
        <v>0.06355932203</v>
      </c>
    </row>
    <row r="596" ht="22.5" customHeight="1" outlineLevel="2">
      <c r="A596" s="66" t="s">
        <v>1347</v>
      </c>
      <c r="B596" s="67" t="s">
        <v>1348</v>
      </c>
      <c r="C596" s="67" t="s">
        <v>1349</v>
      </c>
      <c r="D596" s="68">
        <v>45195.0</v>
      </c>
      <c r="E596" s="68">
        <v>45198.0</v>
      </c>
      <c r="F596" s="69">
        <v>1.6302E7</v>
      </c>
      <c r="G596" s="69">
        <v>1.6302E7</v>
      </c>
      <c r="H596" s="69">
        <v>442000.0</v>
      </c>
      <c r="I596" s="69">
        <v>1.6302E7</v>
      </c>
      <c r="J596" s="70">
        <f t="shared" si="9"/>
        <v>0.02711323764</v>
      </c>
    </row>
    <row r="597" ht="22.5" customHeight="1" outlineLevel="2">
      <c r="A597" s="66" t="s">
        <v>1350</v>
      </c>
      <c r="B597" s="67" t="s">
        <v>1351</v>
      </c>
      <c r="C597" s="67" t="s">
        <v>1011</v>
      </c>
      <c r="D597" s="68">
        <v>45202.0</v>
      </c>
      <c r="E597" s="68">
        <v>45211.0</v>
      </c>
      <c r="F597" s="69">
        <v>9.8268E7</v>
      </c>
      <c r="G597" s="69">
        <v>9.8268E7</v>
      </c>
      <c r="H597" s="69">
        <v>5028000.0</v>
      </c>
      <c r="I597" s="69">
        <v>9.8268E7</v>
      </c>
      <c r="J597" s="70">
        <f t="shared" si="9"/>
        <v>0.05116619856</v>
      </c>
    </row>
    <row r="598" ht="22.5" customHeight="1" outlineLevel="2">
      <c r="A598" s="66" t="s">
        <v>1352</v>
      </c>
      <c r="B598" s="67" t="s">
        <v>1353</v>
      </c>
      <c r="C598" s="67" t="s">
        <v>1354</v>
      </c>
      <c r="D598" s="68">
        <v>45194.0</v>
      </c>
      <c r="E598" s="68">
        <v>45208.0</v>
      </c>
      <c r="F598" s="69">
        <v>8085000.0</v>
      </c>
      <c r="G598" s="69">
        <v>8085000.0</v>
      </c>
      <c r="H598" s="69">
        <v>725600.0</v>
      </c>
      <c r="I598" s="69">
        <v>8085000.0</v>
      </c>
      <c r="J598" s="70">
        <f t="shared" si="9"/>
        <v>0.08974644403</v>
      </c>
    </row>
    <row r="599" ht="22.5" customHeight="1" outlineLevel="2">
      <c r="A599" s="66" t="s">
        <v>1355</v>
      </c>
      <c r="B599" s="67" t="s">
        <v>1356</v>
      </c>
      <c r="C599" s="67" t="s">
        <v>1357</v>
      </c>
      <c r="D599" s="68">
        <v>45205.0</v>
      </c>
      <c r="E599" s="68">
        <v>45208.0</v>
      </c>
      <c r="F599" s="69">
        <v>3500000.0</v>
      </c>
      <c r="G599" s="69">
        <v>3500000.0</v>
      </c>
      <c r="H599" s="69">
        <v>146000.0</v>
      </c>
      <c r="I599" s="69">
        <v>3500000.0</v>
      </c>
      <c r="J599" s="70">
        <f t="shared" si="9"/>
        <v>0.04171428571</v>
      </c>
    </row>
    <row r="600" ht="22.5" customHeight="1" outlineLevel="2">
      <c r="A600" s="66" t="s">
        <v>1358</v>
      </c>
      <c r="B600" s="67" t="s">
        <v>1359</v>
      </c>
      <c r="C600" s="67" t="s">
        <v>1287</v>
      </c>
      <c r="D600" s="68">
        <v>45203.0</v>
      </c>
      <c r="E600" s="68">
        <v>45205.0</v>
      </c>
      <c r="F600" s="69">
        <v>5.4384E7</v>
      </c>
      <c r="G600" s="69">
        <v>5.4384E7</v>
      </c>
      <c r="H600" s="69">
        <v>1584000.0</v>
      </c>
      <c r="I600" s="69">
        <v>5.4384E7</v>
      </c>
      <c r="J600" s="70">
        <f t="shared" si="9"/>
        <v>0.02912621359</v>
      </c>
    </row>
    <row r="601" ht="22.5" customHeight="1" outlineLevel="2">
      <c r="A601" s="66" t="s">
        <v>1360</v>
      </c>
      <c r="B601" s="67" t="s">
        <v>1361</v>
      </c>
      <c r="C601" s="67" t="s">
        <v>1362</v>
      </c>
      <c r="D601" s="68">
        <v>45203.0</v>
      </c>
      <c r="E601" s="68">
        <v>45216.0</v>
      </c>
      <c r="F601" s="69">
        <v>3400000.0</v>
      </c>
      <c r="G601" s="69">
        <v>3400000.0</v>
      </c>
      <c r="H601" s="69">
        <v>800000.0</v>
      </c>
      <c r="I601" s="69">
        <v>3400000.0</v>
      </c>
      <c r="J601" s="70">
        <f t="shared" si="9"/>
        <v>0.2352941176</v>
      </c>
    </row>
    <row r="602" ht="22.5" customHeight="1" outlineLevel="2">
      <c r="A602" s="66" t="s">
        <v>1363</v>
      </c>
      <c r="B602" s="67" t="s">
        <v>1364</v>
      </c>
      <c r="C602" s="67" t="s">
        <v>1365</v>
      </c>
      <c r="D602" s="68">
        <v>45205.0</v>
      </c>
      <c r="E602" s="68">
        <v>45222.0</v>
      </c>
      <c r="F602" s="69">
        <v>3900000.0</v>
      </c>
      <c r="G602" s="69">
        <v>3900000.0</v>
      </c>
      <c r="H602" s="69">
        <v>560000.0</v>
      </c>
      <c r="I602" s="69">
        <v>3900000.0</v>
      </c>
      <c r="J602" s="70">
        <f t="shared" si="9"/>
        <v>0.1435897436</v>
      </c>
    </row>
    <row r="603" ht="22.5" customHeight="1" outlineLevel="2">
      <c r="A603" s="66" t="s">
        <v>692</v>
      </c>
      <c r="B603" s="67" t="s">
        <v>1366</v>
      </c>
      <c r="C603" s="67" t="s">
        <v>693</v>
      </c>
      <c r="D603" s="68">
        <v>45212.0</v>
      </c>
      <c r="E603" s="68">
        <v>45229.0</v>
      </c>
      <c r="F603" s="69">
        <v>1.284745E8</v>
      </c>
      <c r="G603" s="69">
        <v>1.284745E8</v>
      </c>
      <c r="H603" s="69">
        <v>2.4299E7</v>
      </c>
      <c r="I603" s="69">
        <v>2.56949E8</v>
      </c>
      <c r="J603" s="70">
        <f t="shared" si="9"/>
        <v>0.1891348089</v>
      </c>
    </row>
    <row r="604" ht="22.5" customHeight="1" outlineLevel="2">
      <c r="A604" s="66" t="s">
        <v>1367</v>
      </c>
      <c r="B604" s="67" t="s">
        <v>1368</v>
      </c>
      <c r="C604" s="67" t="s">
        <v>1369</v>
      </c>
      <c r="D604" s="68">
        <v>45201.0</v>
      </c>
      <c r="E604" s="68">
        <v>45210.0</v>
      </c>
      <c r="F604" s="69">
        <v>7.4694375E8</v>
      </c>
      <c r="G604" s="69">
        <v>7.4694375E8</v>
      </c>
      <c r="H604" s="69">
        <v>5.1763619E7</v>
      </c>
      <c r="I604" s="69"/>
      <c r="J604" s="70">
        <f t="shared" si="9"/>
        <v>0.06930055844</v>
      </c>
    </row>
    <row r="605" ht="22.5" customHeight="1" outlineLevel="2">
      <c r="A605" s="66" t="s">
        <v>1370</v>
      </c>
      <c r="B605" s="67" t="s">
        <v>1371</v>
      </c>
      <c r="C605" s="67" t="s">
        <v>1372</v>
      </c>
      <c r="D605" s="68">
        <v>45223.0</v>
      </c>
      <c r="E605" s="68">
        <v>45230.0</v>
      </c>
      <c r="F605" s="69">
        <v>9.6E7</v>
      </c>
      <c r="G605" s="69">
        <v>9.6E7</v>
      </c>
      <c r="H605" s="69">
        <v>6000000.0</v>
      </c>
      <c r="I605" s="69">
        <v>9.6E7</v>
      </c>
      <c r="J605" s="70">
        <f t="shared" si="9"/>
        <v>0.0625</v>
      </c>
    </row>
    <row r="606" ht="22.5" customHeight="1" outlineLevel="2">
      <c r="A606" s="66" t="s">
        <v>1373</v>
      </c>
      <c r="B606" s="67" t="s">
        <v>1374</v>
      </c>
      <c r="C606" s="67" t="s">
        <v>1375</v>
      </c>
      <c r="D606" s="68">
        <v>45201.0</v>
      </c>
      <c r="E606" s="68">
        <v>45071.0</v>
      </c>
      <c r="F606" s="69">
        <v>1.6088E8</v>
      </c>
      <c r="G606" s="69">
        <v>1.6088E8</v>
      </c>
      <c r="H606" s="69">
        <v>5.5199192E7</v>
      </c>
      <c r="I606" s="69"/>
      <c r="J606" s="70">
        <f t="shared" si="9"/>
        <v>0.3431078568</v>
      </c>
    </row>
    <row r="607" ht="22.5" customHeight="1" outlineLevel="2">
      <c r="A607" s="66" t="s">
        <v>1376</v>
      </c>
      <c r="B607" s="67" t="s">
        <v>1377</v>
      </c>
      <c r="C607" s="67" t="s">
        <v>1378</v>
      </c>
      <c r="D607" s="68">
        <v>45215.0</v>
      </c>
      <c r="E607" s="68">
        <v>45229.0</v>
      </c>
      <c r="F607" s="69">
        <v>1.49E7</v>
      </c>
      <c r="G607" s="69">
        <v>1.49E7</v>
      </c>
      <c r="H607" s="69">
        <v>450000.0</v>
      </c>
      <c r="I607" s="69">
        <v>1.49E7</v>
      </c>
      <c r="J607" s="70">
        <f t="shared" si="9"/>
        <v>0.03020134228</v>
      </c>
    </row>
    <row r="608" ht="22.5" customHeight="1" outlineLevel="2">
      <c r="A608" s="66" t="s">
        <v>1379</v>
      </c>
      <c r="B608" s="67" t="s">
        <v>1380</v>
      </c>
      <c r="C608" s="67" t="s">
        <v>928</v>
      </c>
      <c r="D608" s="68">
        <v>45216.0</v>
      </c>
      <c r="E608" s="68">
        <v>45243.0</v>
      </c>
      <c r="F608" s="69">
        <v>9.2325E7</v>
      </c>
      <c r="G608" s="69">
        <v>9.2325E7</v>
      </c>
      <c r="H608" s="69">
        <v>2.7443E7</v>
      </c>
      <c r="I608" s="69">
        <v>9.2325E7</v>
      </c>
      <c r="J608" s="70">
        <f t="shared" si="9"/>
        <v>0.2972434335</v>
      </c>
    </row>
    <row r="609" ht="22.5" customHeight="1" outlineLevel="2">
      <c r="A609" s="66" t="s">
        <v>1381</v>
      </c>
      <c r="B609" s="67" t="s">
        <v>1382</v>
      </c>
      <c r="C609" s="67" t="s">
        <v>746</v>
      </c>
      <c r="D609" s="68">
        <v>45218.0</v>
      </c>
      <c r="E609" s="68">
        <v>45225.0</v>
      </c>
      <c r="F609" s="69">
        <v>8.96292E7</v>
      </c>
      <c r="G609" s="69">
        <v>8.96292E7</v>
      </c>
      <c r="H609" s="69">
        <v>3304200.0</v>
      </c>
      <c r="I609" s="69">
        <v>8.96292E7</v>
      </c>
      <c r="J609" s="70">
        <f t="shared" si="9"/>
        <v>0.03686521803</v>
      </c>
    </row>
    <row r="610" ht="22.5" customHeight="1" outlineLevel="2">
      <c r="A610" s="66" t="s">
        <v>1383</v>
      </c>
      <c r="B610" s="67" t="s">
        <v>1384</v>
      </c>
      <c r="C610" s="67" t="s">
        <v>1349</v>
      </c>
      <c r="D610" s="68">
        <v>45211.0</v>
      </c>
      <c r="E610" s="68">
        <v>45216.0</v>
      </c>
      <c r="F610" s="69">
        <v>4600000.0</v>
      </c>
      <c r="G610" s="69">
        <v>4600000.0</v>
      </c>
      <c r="H610" s="69">
        <v>350277.777777778</v>
      </c>
      <c r="I610" s="69">
        <v>4600000.0</v>
      </c>
      <c r="J610" s="70">
        <f t="shared" si="9"/>
        <v>0.076147343</v>
      </c>
    </row>
    <row r="611" ht="22.5" customHeight="1" outlineLevel="2">
      <c r="A611" s="66" t="s">
        <v>1385</v>
      </c>
      <c r="B611" s="67" t="s">
        <v>1386</v>
      </c>
      <c r="C611" s="67" t="s">
        <v>1387</v>
      </c>
      <c r="D611" s="68">
        <v>45215.0</v>
      </c>
      <c r="E611" s="68">
        <v>45215.0</v>
      </c>
      <c r="F611" s="69">
        <v>1790000.0</v>
      </c>
      <c r="G611" s="69">
        <v>1790000.0</v>
      </c>
      <c r="H611" s="69">
        <v>490000.0</v>
      </c>
      <c r="I611" s="69"/>
      <c r="J611" s="70">
        <f t="shared" si="9"/>
        <v>0.2737430168</v>
      </c>
    </row>
    <row r="612" ht="22.5" customHeight="1" outlineLevel="2">
      <c r="A612" s="66" t="s">
        <v>1388</v>
      </c>
      <c r="B612" s="67" t="s">
        <v>1389</v>
      </c>
      <c r="C612" s="67" t="s">
        <v>813</v>
      </c>
      <c r="D612" s="68">
        <v>45217.0</v>
      </c>
      <c r="E612" s="68">
        <v>45223.0</v>
      </c>
      <c r="F612" s="69">
        <v>6468000.0</v>
      </c>
      <c r="G612" s="69">
        <v>6468000.0</v>
      </c>
      <c r="H612" s="69">
        <v>970200.0</v>
      </c>
      <c r="I612" s="69">
        <v>6468000.0</v>
      </c>
      <c r="J612" s="70">
        <f t="shared" si="9"/>
        <v>0.15</v>
      </c>
    </row>
    <row r="613" ht="22.5" customHeight="1" outlineLevel="2">
      <c r="A613" s="66" t="s">
        <v>1390</v>
      </c>
      <c r="B613" s="67" t="s">
        <v>1391</v>
      </c>
      <c r="C613" s="67" t="s">
        <v>823</v>
      </c>
      <c r="D613" s="68">
        <v>45216.0</v>
      </c>
      <c r="E613" s="68">
        <v>45226.0</v>
      </c>
      <c r="F613" s="69">
        <v>4200000.0</v>
      </c>
      <c r="G613" s="69">
        <v>4200000.0</v>
      </c>
      <c r="H613" s="69">
        <v>850000.0</v>
      </c>
      <c r="I613" s="69">
        <v>4200000.0</v>
      </c>
      <c r="J613" s="70">
        <f t="shared" si="9"/>
        <v>0.2023809524</v>
      </c>
    </row>
    <row r="614" ht="22.5" customHeight="1" outlineLevel="2">
      <c r="A614" s="66" t="s">
        <v>1392</v>
      </c>
      <c r="B614" s="67" t="s">
        <v>1393</v>
      </c>
      <c r="C614" s="67" t="s">
        <v>1394</v>
      </c>
      <c r="D614" s="68">
        <v>45218.0</v>
      </c>
      <c r="E614" s="68">
        <v>45219.0</v>
      </c>
      <c r="F614" s="69">
        <v>3400000.0</v>
      </c>
      <c r="G614" s="69">
        <v>3400000.0</v>
      </c>
      <c r="H614" s="69">
        <v>680000.0</v>
      </c>
      <c r="I614" s="69">
        <v>3400000.0</v>
      </c>
      <c r="J614" s="70">
        <f t="shared" si="9"/>
        <v>0.2</v>
      </c>
    </row>
    <row r="615" ht="22.5" customHeight="1" outlineLevel="2">
      <c r="A615" s="66" t="s">
        <v>1395</v>
      </c>
      <c r="B615" s="67" t="s">
        <v>1396</v>
      </c>
      <c r="C615" s="67" t="s">
        <v>755</v>
      </c>
      <c r="D615" s="68">
        <v>45218.0</v>
      </c>
      <c r="E615" s="68">
        <v>45219.0</v>
      </c>
      <c r="F615" s="69">
        <v>8800000.0</v>
      </c>
      <c r="G615" s="69">
        <v>8800000.0</v>
      </c>
      <c r="H615" s="69">
        <v>476000.0</v>
      </c>
      <c r="I615" s="69">
        <v>8800000.0</v>
      </c>
      <c r="J615" s="70">
        <f t="shared" si="9"/>
        <v>0.05409090909</v>
      </c>
    </row>
    <row r="616" ht="22.5" customHeight="1" outlineLevel="2">
      <c r="A616" s="66" t="s">
        <v>1397</v>
      </c>
      <c r="B616" s="67" t="s">
        <v>1398</v>
      </c>
      <c r="C616" s="67" t="s">
        <v>851</v>
      </c>
      <c r="D616" s="68">
        <v>45229.0</v>
      </c>
      <c r="E616" s="68">
        <v>45243.0</v>
      </c>
      <c r="F616" s="69">
        <v>7.6E7</v>
      </c>
      <c r="G616" s="69">
        <v>7.6E7</v>
      </c>
      <c r="H616" s="69">
        <v>4227777.777777776</v>
      </c>
      <c r="I616" s="69">
        <v>7.6E7</v>
      </c>
      <c r="J616" s="70">
        <f t="shared" si="9"/>
        <v>0.05562865497</v>
      </c>
    </row>
    <row r="617" ht="22.5" customHeight="1" outlineLevel="2">
      <c r="A617" s="66" t="s">
        <v>735</v>
      </c>
      <c r="B617" s="67" t="s">
        <v>1399</v>
      </c>
      <c r="C617" s="67" t="s">
        <v>1400</v>
      </c>
      <c r="D617" s="68">
        <v>45229.0</v>
      </c>
      <c r="E617" s="68">
        <v>45286.0</v>
      </c>
      <c r="F617" s="69">
        <v>1.279058E8</v>
      </c>
      <c r="G617" s="69">
        <v>1.279058E8</v>
      </c>
      <c r="H617" s="69">
        <v>2.585E7</v>
      </c>
      <c r="I617" s="69">
        <v>2.558116E8</v>
      </c>
      <c r="J617" s="70">
        <f t="shared" si="9"/>
        <v>0.2021018593</v>
      </c>
    </row>
    <row r="618" ht="22.5" customHeight="1" outlineLevel="2">
      <c r="A618" s="66" t="s">
        <v>1401</v>
      </c>
      <c r="B618" s="67" t="s">
        <v>1402</v>
      </c>
      <c r="C618" s="67" t="s">
        <v>828</v>
      </c>
      <c r="D618" s="68">
        <v>45229.0</v>
      </c>
      <c r="E618" s="68">
        <v>45237.0</v>
      </c>
      <c r="F618" s="69">
        <v>1.4292E8</v>
      </c>
      <c r="G618" s="69">
        <v>1.4292E8</v>
      </c>
      <c r="H618" s="69">
        <v>2.788124E7</v>
      </c>
      <c r="I618" s="69">
        <v>1.4292E8</v>
      </c>
      <c r="J618" s="70">
        <f t="shared" si="9"/>
        <v>0.1950828435</v>
      </c>
    </row>
    <row r="619" ht="22.5" customHeight="1" outlineLevel="2">
      <c r="A619" s="66" t="s">
        <v>1403</v>
      </c>
      <c r="B619" s="67" t="s">
        <v>1404</v>
      </c>
      <c r="C619" s="67" t="s">
        <v>1405</v>
      </c>
      <c r="D619" s="68">
        <v>45232.0</v>
      </c>
      <c r="E619" s="68">
        <v>45245.0</v>
      </c>
      <c r="F619" s="69">
        <v>3.5615E8</v>
      </c>
      <c r="G619" s="69">
        <v>3.5615E8</v>
      </c>
      <c r="H619" s="69">
        <v>1.6099944444444442E8</v>
      </c>
      <c r="I619" s="69">
        <v>3.5615E8</v>
      </c>
      <c r="J619" s="70">
        <f t="shared" si="9"/>
        <v>0.4520551578</v>
      </c>
    </row>
    <row r="620" ht="22.5" customHeight="1" outlineLevel="2">
      <c r="A620" s="66" t="s">
        <v>275</v>
      </c>
      <c r="B620" s="67" t="s">
        <v>1406</v>
      </c>
      <c r="C620" s="67" t="s">
        <v>277</v>
      </c>
      <c r="D620" s="68">
        <v>45232.0</v>
      </c>
      <c r="E620" s="68">
        <v>45243.0</v>
      </c>
      <c r="F620" s="69">
        <v>2.2E7</v>
      </c>
      <c r="G620" s="69">
        <v>2.2E7</v>
      </c>
      <c r="H620" s="69">
        <v>4953888.888888889</v>
      </c>
      <c r="I620" s="69">
        <v>2.2E7</v>
      </c>
      <c r="J620" s="70">
        <f t="shared" si="9"/>
        <v>0.2251767677</v>
      </c>
    </row>
    <row r="621" ht="22.5" customHeight="1" outlineLevel="2">
      <c r="A621" s="66" t="s">
        <v>1407</v>
      </c>
      <c r="B621" s="67" t="s">
        <v>1408</v>
      </c>
      <c r="C621" s="67" t="s">
        <v>1409</v>
      </c>
      <c r="D621" s="68">
        <v>45234.0</v>
      </c>
      <c r="E621" s="68">
        <v>45264.0</v>
      </c>
      <c r="F621" s="69">
        <v>1.93375E9</v>
      </c>
      <c r="G621" s="69">
        <v>1.93375E9</v>
      </c>
      <c r="H621" s="69">
        <v>9.25125E8</v>
      </c>
      <c r="I621" s="69">
        <v>1.93375E9</v>
      </c>
      <c r="J621" s="70">
        <f t="shared" si="9"/>
        <v>0.4784098255</v>
      </c>
    </row>
    <row r="622" ht="22.5" customHeight="1" outlineLevel="2">
      <c r="A622" s="66" t="s">
        <v>1410</v>
      </c>
      <c r="B622" s="67" t="s">
        <v>1411</v>
      </c>
      <c r="C622" s="67" t="s">
        <v>863</v>
      </c>
      <c r="D622" s="68">
        <v>45233.0</v>
      </c>
      <c r="E622" s="68">
        <v>45250.0</v>
      </c>
      <c r="F622" s="69">
        <v>1.0264E7</v>
      </c>
      <c r="G622" s="69">
        <v>1.0264E7</v>
      </c>
      <c r="H622" s="69">
        <v>584000.0</v>
      </c>
      <c r="I622" s="69">
        <v>1.0264E7</v>
      </c>
      <c r="J622" s="70">
        <f t="shared" si="9"/>
        <v>0.05689789556</v>
      </c>
    </row>
    <row r="623" ht="22.5" customHeight="1" outlineLevel="2">
      <c r="A623" s="66" t="s">
        <v>1412</v>
      </c>
      <c r="B623" s="67" t="s">
        <v>1413</v>
      </c>
      <c r="C623" s="67" t="s">
        <v>1414</v>
      </c>
      <c r="D623" s="68">
        <v>45236.0</v>
      </c>
      <c r="E623" s="68">
        <v>45275.0</v>
      </c>
      <c r="F623" s="69">
        <v>2.29824E9</v>
      </c>
      <c r="G623" s="69">
        <v>2.29824E9</v>
      </c>
      <c r="H623" s="69">
        <v>1.1201511111111112E9</v>
      </c>
      <c r="I623" s="69"/>
      <c r="J623" s="70">
        <f t="shared" si="9"/>
        <v>0.4873951855</v>
      </c>
    </row>
    <row r="624" ht="22.5" customHeight="1" outlineLevel="2">
      <c r="A624" s="66" t="s">
        <v>1415</v>
      </c>
      <c r="B624" s="67" t="s">
        <v>1416</v>
      </c>
      <c r="C624" s="67" t="s">
        <v>813</v>
      </c>
      <c r="D624" s="68">
        <v>45219.0</v>
      </c>
      <c r="E624" s="68">
        <v>45225.0</v>
      </c>
      <c r="F624" s="69">
        <v>1.4553E7</v>
      </c>
      <c r="G624" s="69">
        <v>1.4553E7</v>
      </c>
      <c r="H624" s="69">
        <v>2182950.0</v>
      </c>
      <c r="I624" s="69"/>
      <c r="J624" s="70">
        <f t="shared" si="9"/>
        <v>0.15</v>
      </c>
    </row>
    <row r="625" ht="22.5" customHeight="1" outlineLevel="2">
      <c r="A625" s="66" t="s">
        <v>1417</v>
      </c>
      <c r="B625" s="67" t="s">
        <v>1418</v>
      </c>
      <c r="C625" s="67" t="s">
        <v>1419</v>
      </c>
      <c r="D625" s="68">
        <v>45215.0</v>
      </c>
      <c r="E625" s="68">
        <v>45229.0</v>
      </c>
      <c r="F625" s="69">
        <v>1.308E8</v>
      </c>
      <c r="G625" s="69">
        <v>1.308E8</v>
      </c>
      <c r="H625" s="69">
        <v>3300000.0</v>
      </c>
      <c r="I625" s="69">
        <v>1.308E8</v>
      </c>
      <c r="J625" s="70">
        <f t="shared" si="9"/>
        <v>0.0252293578</v>
      </c>
    </row>
    <row r="626" ht="22.5" customHeight="1" outlineLevel="2">
      <c r="A626" s="66" t="s">
        <v>1420</v>
      </c>
      <c r="B626" s="67" t="s">
        <v>1421</v>
      </c>
      <c r="C626" s="67" t="s">
        <v>1422</v>
      </c>
      <c r="D626" s="68">
        <v>45223.0</v>
      </c>
      <c r="E626" s="68">
        <v>45226.0</v>
      </c>
      <c r="F626" s="69">
        <v>2.291875E7</v>
      </c>
      <c r="G626" s="69">
        <v>2.291875E7</v>
      </c>
      <c r="H626" s="69">
        <v>6075000.0</v>
      </c>
      <c r="I626" s="69">
        <v>2.291875E7</v>
      </c>
      <c r="J626" s="70">
        <f t="shared" si="9"/>
        <v>0.2650668121</v>
      </c>
    </row>
    <row r="627" ht="22.5" customHeight="1" outlineLevel="2">
      <c r="A627" s="66" t="s">
        <v>1423</v>
      </c>
      <c r="B627" s="67" t="s">
        <v>1424</v>
      </c>
      <c r="C627" s="67" t="s">
        <v>1372</v>
      </c>
      <c r="D627" s="68">
        <v>45226.0</v>
      </c>
      <c r="E627" s="68">
        <v>45230.0</v>
      </c>
      <c r="F627" s="69">
        <v>1.4043E7</v>
      </c>
      <c r="G627" s="69">
        <v>1.4043E7</v>
      </c>
      <c r="H627" s="69">
        <v>668000.0</v>
      </c>
      <c r="I627" s="69">
        <v>1.4043E7</v>
      </c>
      <c r="J627" s="70">
        <f t="shared" si="9"/>
        <v>0.04756818344</v>
      </c>
    </row>
    <row r="628" ht="22.5" customHeight="1" outlineLevel="2">
      <c r="A628" s="66" t="s">
        <v>1425</v>
      </c>
      <c r="B628" s="67" t="s">
        <v>1426</v>
      </c>
      <c r="C628" s="67" t="s">
        <v>1427</v>
      </c>
      <c r="D628" s="68">
        <v>45226.0</v>
      </c>
      <c r="E628" s="68">
        <v>45231.0</v>
      </c>
      <c r="F628" s="69">
        <v>7743000.0</v>
      </c>
      <c r="G628" s="69">
        <v>7743000.0</v>
      </c>
      <c r="H628" s="69">
        <v>1809666.666666667</v>
      </c>
      <c r="I628" s="69">
        <v>7743000.0</v>
      </c>
      <c r="J628" s="70">
        <f t="shared" si="9"/>
        <v>0.2337164751</v>
      </c>
    </row>
    <row r="629" ht="22.5" customHeight="1" outlineLevel="2">
      <c r="A629" s="66" t="s">
        <v>1428</v>
      </c>
      <c r="B629" s="67" t="s">
        <v>1429</v>
      </c>
      <c r="C629" s="67" t="s">
        <v>1143</v>
      </c>
      <c r="D629" s="68">
        <v>45229.0</v>
      </c>
      <c r="E629" s="68">
        <v>45233.0</v>
      </c>
      <c r="F629" s="69">
        <v>1.49E7</v>
      </c>
      <c r="G629" s="69">
        <v>1.49E7</v>
      </c>
      <c r="H629" s="69">
        <v>6172888.888888888</v>
      </c>
      <c r="I629" s="69">
        <v>1.49E7</v>
      </c>
      <c r="J629" s="70">
        <f t="shared" si="9"/>
        <v>0.4142878449</v>
      </c>
    </row>
    <row r="630" ht="22.5" customHeight="1" outlineLevel="2">
      <c r="A630" s="66" t="s">
        <v>1430</v>
      </c>
      <c r="B630" s="67" t="s">
        <v>1431</v>
      </c>
      <c r="C630" s="67" t="s">
        <v>1020</v>
      </c>
      <c r="D630" s="68">
        <v>45209.0</v>
      </c>
      <c r="E630" s="68">
        <v>45250.0</v>
      </c>
      <c r="F630" s="69">
        <v>8700000.0</v>
      </c>
      <c r="G630" s="69">
        <v>8700000.0</v>
      </c>
      <c r="H630" s="69">
        <v>260000.0</v>
      </c>
      <c r="I630" s="69">
        <v>8700000.0</v>
      </c>
      <c r="J630" s="70">
        <f t="shared" si="9"/>
        <v>0.02988505747</v>
      </c>
    </row>
    <row r="631" ht="22.5" customHeight="1" outlineLevel="2">
      <c r="A631" s="66" t="s">
        <v>1432</v>
      </c>
      <c r="B631" s="67" t="s">
        <v>1433</v>
      </c>
      <c r="C631" s="67" t="s">
        <v>1314</v>
      </c>
      <c r="D631" s="68">
        <v>45231.0</v>
      </c>
      <c r="E631" s="68">
        <v>45237.0</v>
      </c>
      <c r="F631" s="69">
        <v>8602000.0</v>
      </c>
      <c r="G631" s="69">
        <v>8602000.0</v>
      </c>
      <c r="H631" s="69">
        <v>782000.0</v>
      </c>
      <c r="I631" s="69">
        <v>8602000.0</v>
      </c>
      <c r="J631" s="70">
        <f t="shared" si="9"/>
        <v>0.09090909091</v>
      </c>
    </row>
    <row r="632" ht="22.5" customHeight="1" outlineLevel="2">
      <c r="A632" s="66" t="s">
        <v>1434</v>
      </c>
      <c r="B632" s="67" t="s">
        <v>1377</v>
      </c>
      <c r="C632" s="67" t="s">
        <v>1435</v>
      </c>
      <c r="D632" s="68">
        <v>45233.0</v>
      </c>
      <c r="E632" s="68">
        <v>45237.0</v>
      </c>
      <c r="F632" s="69">
        <v>7868000.0</v>
      </c>
      <c r="G632" s="69">
        <v>7868000.0</v>
      </c>
      <c r="H632" s="69">
        <v>718000.0</v>
      </c>
      <c r="I632" s="69"/>
      <c r="J632" s="70">
        <f t="shared" si="9"/>
        <v>0.09125571937</v>
      </c>
    </row>
    <row r="633" ht="22.5" customHeight="1" outlineLevel="2">
      <c r="A633" s="66" t="s">
        <v>1436</v>
      </c>
      <c r="B633" s="67" t="s">
        <v>1437</v>
      </c>
      <c r="C633" s="67" t="s">
        <v>1011</v>
      </c>
      <c r="D633" s="68">
        <v>45237.0</v>
      </c>
      <c r="E633" s="68">
        <v>45266.0</v>
      </c>
      <c r="F633" s="69">
        <v>2.3218E8</v>
      </c>
      <c r="G633" s="69">
        <v>2.3218E8</v>
      </c>
      <c r="H633" s="69">
        <v>1.33198E7</v>
      </c>
      <c r="I633" s="69"/>
      <c r="J633" s="70">
        <f t="shared" si="9"/>
        <v>0.05736842105</v>
      </c>
    </row>
    <row r="634" ht="22.5" customHeight="1" outlineLevel="2">
      <c r="A634" s="66" t="s">
        <v>1438</v>
      </c>
      <c r="B634" s="67" t="s">
        <v>1439</v>
      </c>
      <c r="C634" s="67" t="s">
        <v>1440</v>
      </c>
      <c r="D634" s="68">
        <v>45238.0</v>
      </c>
      <c r="E634" s="68">
        <v>45254.0</v>
      </c>
      <c r="F634" s="69">
        <v>3.7384875E8</v>
      </c>
      <c r="G634" s="69">
        <v>3.7384875E8</v>
      </c>
      <c r="H634" s="69">
        <v>1.2662652777777776E8</v>
      </c>
      <c r="I634" s="69"/>
      <c r="J634" s="70">
        <f t="shared" si="9"/>
        <v>0.3387105822</v>
      </c>
    </row>
    <row r="635" ht="22.5" customHeight="1" outlineLevel="2">
      <c r="A635" s="66" t="s">
        <v>1441</v>
      </c>
      <c r="B635" s="67" t="s">
        <v>1442</v>
      </c>
      <c r="C635" s="67" t="s">
        <v>746</v>
      </c>
      <c r="D635" s="68">
        <v>45243.0</v>
      </c>
      <c r="E635" s="68">
        <v>45257.0</v>
      </c>
      <c r="F635" s="69">
        <v>2.641175E8</v>
      </c>
      <c r="G635" s="69">
        <v>2.641175E8</v>
      </c>
      <c r="H635" s="69">
        <v>4.833972222222224E7</v>
      </c>
      <c r="I635" s="69">
        <v>2.641175E8</v>
      </c>
      <c r="J635" s="70">
        <f t="shared" si="9"/>
        <v>0.1830235491</v>
      </c>
    </row>
    <row r="636" ht="22.5" customHeight="1" outlineLevel="2">
      <c r="A636" s="66" t="s">
        <v>1443</v>
      </c>
      <c r="B636" s="67" t="s">
        <v>1444</v>
      </c>
      <c r="C636" s="67" t="s">
        <v>1445</v>
      </c>
      <c r="D636" s="68">
        <v>45224.0</v>
      </c>
      <c r="E636" s="68">
        <v>45250.0</v>
      </c>
      <c r="F636" s="69">
        <v>3.0E7</v>
      </c>
      <c r="G636" s="69">
        <v>3.0E7</v>
      </c>
      <c r="H636" s="69">
        <v>2030000.0</v>
      </c>
      <c r="I636" s="69">
        <v>3.0E7</v>
      </c>
      <c r="J636" s="70">
        <f t="shared" si="9"/>
        <v>0.06766666667</v>
      </c>
    </row>
    <row r="637" ht="22.5" customHeight="1" outlineLevel="2">
      <c r="A637" s="66" t="s">
        <v>1446</v>
      </c>
      <c r="B637" s="67" t="s">
        <v>1447</v>
      </c>
      <c r="C637" s="67" t="s">
        <v>1448</v>
      </c>
      <c r="D637" s="68">
        <v>45247.0</v>
      </c>
      <c r="E637" s="68">
        <v>45273.0</v>
      </c>
      <c r="F637" s="69">
        <v>1.59E7</v>
      </c>
      <c r="G637" s="69">
        <v>1.59E7</v>
      </c>
      <c r="H637" s="69">
        <v>6188888.888888888</v>
      </c>
      <c r="I637" s="69">
        <v>1.59E7</v>
      </c>
      <c r="J637" s="70">
        <f t="shared" si="9"/>
        <v>0.3892382949</v>
      </c>
    </row>
    <row r="638" ht="22.5" customHeight="1" outlineLevel="2">
      <c r="A638" s="66" t="s">
        <v>1449</v>
      </c>
      <c r="B638" s="67" t="s">
        <v>1450</v>
      </c>
      <c r="C638" s="67" t="s">
        <v>902</v>
      </c>
      <c r="D638" s="68">
        <v>45238.0</v>
      </c>
      <c r="E638" s="68">
        <v>45251.0</v>
      </c>
      <c r="F638" s="69">
        <v>3777777.7777777775</v>
      </c>
      <c r="G638" s="69">
        <v>3777778.0</v>
      </c>
      <c r="H638" s="69">
        <v>1658777.7777777775</v>
      </c>
      <c r="I638" s="69">
        <v>4080000.0</v>
      </c>
      <c r="J638" s="70">
        <f t="shared" si="9"/>
        <v>0.4390882095</v>
      </c>
    </row>
    <row r="639" ht="22.5" customHeight="1" outlineLevel="2">
      <c r="A639" s="66" t="s">
        <v>1451</v>
      </c>
      <c r="B639" s="67" t="s">
        <v>1452</v>
      </c>
      <c r="C639" s="67" t="s">
        <v>1453</v>
      </c>
      <c r="D639" s="68">
        <v>45236.0</v>
      </c>
      <c r="E639" s="68">
        <v>45250.0</v>
      </c>
      <c r="F639" s="69">
        <v>5000000.0</v>
      </c>
      <c r="G639" s="69">
        <v>5000000.0</v>
      </c>
      <c r="H639" s="69">
        <v>2511111.111111111</v>
      </c>
      <c r="I639" s="69"/>
      <c r="J639" s="70">
        <f t="shared" si="9"/>
        <v>0.5022222222</v>
      </c>
    </row>
    <row r="640" ht="22.5" customHeight="1" outlineLevel="2">
      <c r="A640" s="66" t="s">
        <v>1454</v>
      </c>
      <c r="B640" s="67" t="s">
        <v>1455</v>
      </c>
      <c r="C640" s="67" t="s">
        <v>1456</v>
      </c>
      <c r="D640" s="68">
        <v>45250.0</v>
      </c>
      <c r="E640" s="68">
        <v>45264.0</v>
      </c>
      <c r="F640" s="69">
        <v>6.5625E7</v>
      </c>
      <c r="G640" s="69">
        <v>6.5625E7</v>
      </c>
      <c r="H640" s="69">
        <v>2.6125E7</v>
      </c>
      <c r="I640" s="69"/>
      <c r="J640" s="70">
        <f t="shared" si="9"/>
        <v>0.3980952381</v>
      </c>
    </row>
    <row r="641" ht="22.5" customHeight="1" outlineLevel="2">
      <c r="A641" s="66" t="s">
        <v>1457</v>
      </c>
      <c r="B641" s="67" t="s">
        <v>1458</v>
      </c>
      <c r="C641" s="67" t="s">
        <v>823</v>
      </c>
      <c r="D641" s="68">
        <v>45250.0</v>
      </c>
      <c r="E641" s="68">
        <v>45259.0</v>
      </c>
      <c r="F641" s="69">
        <v>3000000.0</v>
      </c>
      <c r="G641" s="69">
        <v>3000000.0</v>
      </c>
      <c r="H641" s="69">
        <v>300000.0</v>
      </c>
      <c r="I641" s="69"/>
      <c r="J641" s="70">
        <f t="shared" si="9"/>
        <v>0.1</v>
      </c>
    </row>
    <row r="642" ht="22.5" customHeight="1" outlineLevel="2">
      <c r="A642" s="66" t="s">
        <v>1459</v>
      </c>
      <c r="B642" s="67" t="s">
        <v>1460</v>
      </c>
      <c r="C642" s="67" t="s">
        <v>1461</v>
      </c>
      <c r="D642" s="68">
        <v>45246.0</v>
      </c>
      <c r="E642" s="68">
        <v>45257.0</v>
      </c>
      <c r="F642" s="69">
        <v>1.1016E7</v>
      </c>
      <c r="G642" s="69">
        <v>1.1016E7</v>
      </c>
      <c r="H642" s="69">
        <v>1316000.0</v>
      </c>
      <c r="I642" s="69"/>
      <c r="J642" s="70">
        <f t="shared" si="9"/>
        <v>0.1194625999</v>
      </c>
    </row>
    <row r="643" ht="22.5" customHeight="1" outlineLevel="2">
      <c r="A643" s="66" t="s">
        <v>1462</v>
      </c>
      <c r="B643" s="67" t="s">
        <v>1463</v>
      </c>
      <c r="C643" s="67" t="s">
        <v>1062</v>
      </c>
      <c r="D643" s="68">
        <v>45254.0</v>
      </c>
      <c r="E643" s="68">
        <v>45257.0</v>
      </c>
      <c r="F643" s="69">
        <v>5.575E7</v>
      </c>
      <c r="G643" s="69">
        <v>5.575E7</v>
      </c>
      <c r="H643" s="69">
        <v>1350000.0</v>
      </c>
      <c r="I643" s="69"/>
      <c r="J643" s="70">
        <f t="shared" si="9"/>
        <v>0.02421524664</v>
      </c>
    </row>
    <row r="644" ht="22.5" customHeight="1" outlineLevel="2">
      <c r="A644" s="66" t="s">
        <v>1464</v>
      </c>
      <c r="B644" s="67" t="s">
        <v>1465</v>
      </c>
      <c r="C644" s="67" t="s">
        <v>1466</v>
      </c>
      <c r="D644" s="68">
        <v>45257.0</v>
      </c>
      <c r="E644" s="68">
        <v>45257.0</v>
      </c>
      <c r="F644" s="69">
        <v>5000000.0</v>
      </c>
      <c r="G644" s="69">
        <v>5000000.0</v>
      </c>
      <c r="H644" s="69">
        <v>1040000.0</v>
      </c>
      <c r="I644" s="69">
        <v>5000000.0</v>
      </c>
      <c r="J644" s="70">
        <f t="shared" si="9"/>
        <v>0.208</v>
      </c>
    </row>
    <row r="645" ht="22.5" customHeight="1" outlineLevel="2">
      <c r="A645" s="66" t="s">
        <v>1467</v>
      </c>
      <c r="B645" s="67" t="s">
        <v>1468</v>
      </c>
      <c r="C645" s="67" t="s">
        <v>939</v>
      </c>
      <c r="D645" s="68">
        <v>45259.0</v>
      </c>
      <c r="E645" s="68">
        <v>45274.0</v>
      </c>
      <c r="F645" s="69">
        <v>4.88146E8</v>
      </c>
      <c r="G645" s="69">
        <v>4.88146E8</v>
      </c>
      <c r="H645" s="69">
        <v>1.4596E7</v>
      </c>
      <c r="I645" s="69"/>
      <c r="J645" s="70">
        <f t="shared" si="9"/>
        <v>0.02990089031</v>
      </c>
    </row>
    <row r="646" ht="22.5" customHeight="1" outlineLevel="2">
      <c r="A646" s="66" t="s">
        <v>1469</v>
      </c>
      <c r="B646" s="67" t="s">
        <v>1470</v>
      </c>
      <c r="C646" s="67" t="s">
        <v>1471</v>
      </c>
      <c r="D646" s="68">
        <v>45264.0</v>
      </c>
      <c r="E646" s="68">
        <v>45266.0</v>
      </c>
      <c r="F646" s="69">
        <v>7.5525E7</v>
      </c>
      <c r="G646" s="69">
        <v>7.5525E7</v>
      </c>
      <c r="H646" s="69">
        <v>2.7615972222222224E7</v>
      </c>
      <c r="I646" s="69"/>
      <c r="J646" s="70">
        <f t="shared" si="9"/>
        <v>0.3656533892</v>
      </c>
    </row>
    <row r="647" ht="22.5" customHeight="1" outlineLevel="2">
      <c r="A647" s="66" t="s">
        <v>1472</v>
      </c>
      <c r="B647" s="67" t="s">
        <v>1473</v>
      </c>
      <c r="C647" s="67" t="s">
        <v>1445</v>
      </c>
      <c r="D647" s="68">
        <v>45265.0</v>
      </c>
      <c r="E647" s="68">
        <v>45278.0</v>
      </c>
      <c r="F647" s="69">
        <v>1.789E8</v>
      </c>
      <c r="G647" s="69">
        <v>1.789E8</v>
      </c>
      <c r="H647" s="69">
        <v>6.145625E7</v>
      </c>
      <c r="I647" s="69">
        <v>1.789E8</v>
      </c>
      <c r="J647" s="70">
        <f t="shared" si="9"/>
        <v>0.3435229178</v>
      </c>
    </row>
    <row r="648" ht="22.5" customHeight="1" outlineLevel="2">
      <c r="A648" s="66" t="s">
        <v>1474</v>
      </c>
      <c r="B648" s="67" t="s">
        <v>1475</v>
      </c>
      <c r="C648" s="67" t="s">
        <v>134</v>
      </c>
      <c r="D648" s="68">
        <v>45264.0</v>
      </c>
      <c r="E648" s="68">
        <v>45266.0</v>
      </c>
      <c r="F648" s="69">
        <v>3.927E7</v>
      </c>
      <c r="G648" s="69">
        <v>3.927E7</v>
      </c>
      <c r="H648" s="69">
        <v>1.5117E7</v>
      </c>
      <c r="I648" s="69"/>
      <c r="J648" s="70">
        <f t="shared" si="9"/>
        <v>0.3849503438</v>
      </c>
    </row>
    <row r="649" ht="22.5" customHeight="1" outlineLevel="2">
      <c r="A649" s="66" t="s">
        <v>1476</v>
      </c>
      <c r="B649" s="67" t="s">
        <v>1477</v>
      </c>
      <c r="C649" s="67" t="s">
        <v>1253</v>
      </c>
      <c r="D649" s="68">
        <v>45261.0</v>
      </c>
      <c r="E649" s="68">
        <v>45271.0</v>
      </c>
      <c r="F649" s="69">
        <v>1.045E8</v>
      </c>
      <c r="G649" s="69">
        <v>1.045E8</v>
      </c>
      <c r="H649" s="69">
        <v>5000000.0</v>
      </c>
      <c r="I649" s="69">
        <v>1.045E8</v>
      </c>
      <c r="J649" s="70">
        <f t="shared" si="9"/>
        <v>0.04784688995</v>
      </c>
    </row>
    <row r="650" ht="22.5" customHeight="1" outlineLevel="2">
      <c r="A650" s="66" t="s">
        <v>1478</v>
      </c>
      <c r="B650" s="67" t="s">
        <v>1479</v>
      </c>
      <c r="C650" s="67" t="s">
        <v>851</v>
      </c>
      <c r="D650" s="68">
        <v>45260.0</v>
      </c>
      <c r="E650" s="68">
        <v>45266.0</v>
      </c>
      <c r="F650" s="69">
        <v>1.985E7</v>
      </c>
      <c r="G650" s="69">
        <v>1.985E7</v>
      </c>
      <c r="H650" s="69">
        <v>1156944.444444444</v>
      </c>
      <c r="I650" s="69"/>
      <c r="J650" s="70">
        <f t="shared" si="9"/>
        <v>0.05828435488</v>
      </c>
    </row>
    <row r="651" ht="22.5" customHeight="1" outlineLevel="2">
      <c r="A651" s="66" t="s">
        <v>1480</v>
      </c>
      <c r="B651" s="67" t="s">
        <v>1479</v>
      </c>
      <c r="C651" s="67" t="s">
        <v>851</v>
      </c>
      <c r="D651" s="68">
        <v>45261.0</v>
      </c>
      <c r="E651" s="68">
        <v>45267.0</v>
      </c>
      <c r="F651" s="69">
        <v>1.985E7</v>
      </c>
      <c r="G651" s="69">
        <v>1.985E7</v>
      </c>
      <c r="H651" s="69">
        <v>1515805.555555556</v>
      </c>
      <c r="I651" s="69"/>
      <c r="J651" s="70">
        <f t="shared" si="9"/>
        <v>0.07636300028</v>
      </c>
    </row>
    <row r="652" ht="22.5" customHeight="1" outlineLevel="2">
      <c r="A652" s="66" t="s">
        <v>1481</v>
      </c>
      <c r="B652" s="67" t="s">
        <v>1482</v>
      </c>
      <c r="C652" s="67" t="s">
        <v>1483</v>
      </c>
      <c r="D652" s="68">
        <v>45231.0</v>
      </c>
      <c r="E652" s="68">
        <v>45266.0</v>
      </c>
      <c r="F652" s="69">
        <v>1.59E7</v>
      </c>
      <c r="G652" s="69">
        <v>1.59E7</v>
      </c>
      <c r="H652" s="69">
        <v>5813888.888888888</v>
      </c>
      <c r="I652" s="69"/>
      <c r="J652" s="70">
        <f t="shared" si="9"/>
        <v>0.3656533892</v>
      </c>
    </row>
    <row r="653" ht="22.5" customHeight="1" outlineLevel="2">
      <c r="A653" s="66" t="s">
        <v>1484</v>
      </c>
      <c r="B653" s="67" t="s">
        <v>1485</v>
      </c>
      <c r="C653" s="67" t="s">
        <v>786</v>
      </c>
      <c r="D653" s="68">
        <v>45267.0</v>
      </c>
      <c r="E653" s="68">
        <v>45274.0</v>
      </c>
      <c r="F653" s="69">
        <v>2.975E7</v>
      </c>
      <c r="G653" s="69">
        <v>2.975E7</v>
      </c>
      <c r="H653" s="69">
        <v>1.2388888888888888E7</v>
      </c>
      <c r="I653" s="69"/>
      <c r="J653" s="70">
        <f t="shared" si="9"/>
        <v>0.41643324</v>
      </c>
    </row>
    <row r="654" ht="22.5" customHeight="1" outlineLevel="2">
      <c r="A654" s="66" t="s">
        <v>1486</v>
      </c>
      <c r="B654" s="67" t="s">
        <v>1487</v>
      </c>
      <c r="C654" s="67" t="s">
        <v>746</v>
      </c>
      <c r="D654" s="68">
        <v>45268.0</v>
      </c>
      <c r="E654" s="68">
        <v>45274.0</v>
      </c>
      <c r="F654" s="69">
        <v>1.7055918E8</v>
      </c>
      <c r="G654" s="69">
        <v>1.7055918E8</v>
      </c>
      <c r="H654" s="69">
        <v>2959180.00000003</v>
      </c>
      <c r="I654" s="69"/>
      <c r="J654" s="70">
        <f t="shared" si="9"/>
        <v>0.01734987234</v>
      </c>
    </row>
    <row r="655" ht="22.5" customHeight="1" outlineLevel="2">
      <c r="A655" s="66" t="s">
        <v>1488</v>
      </c>
      <c r="B655" s="67" t="s">
        <v>1201</v>
      </c>
      <c r="C655" s="67" t="s">
        <v>869</v>
      </c>
      <c r="D655" s="68">
        <v>45271.0</v>
      </c>
      <c r="E655" s="68">
        <v>45279.0</v>
      </c>
      <c r="F655" s="69">
        <v>4.77E7</v>
      </c>
      <c r="G655" s="69">
        <v>4.77E7</v>
      </c>
      <c r="H655" s="69">
        <v>1.6483333333333332E7</v>
      </c>
      <c r="I655" s="69"/>
      <c r="J655" s="70">
        <f t="shared" si="9"/>
        <v>0.3455625437</v>
      </c>
    </row>
    <row r="656" ht="22.5" customHeight="1" outlineLevel="2">
      <c r="A656" s="66" t="s">
        <v>1489</v>
      </c>
      <c r="B656" s="67" t="s">
        <v>1490</v>
      </c>
      <c r="C656" s="67" t="s">
        <v>1491</v>
      </c>
      <c r="D656" s="68">
        <v>45267.0</v>
      </c>
      <c r="E656" s="68">
        <v>45272.0</v>
      </c>
      <c r="F656" s="69">
        <v>2800000.0</v>
      </c>
      <c r="G656" s="69">
        <v>2800000.0</v>
      </c>
      <c r="H656" s="69">
        <v>311000.0</v>
      </c>
      <c r="I656" s="69"/>
      <c r="J656" s="70">
        <f t="shared" si="9"/>
        <v>0.1110714286</v>
      </c>
    </row>
    <row r="657" ht="22.5" customHeight="1" outlineLevel="2">
      <c r="A657" s="66" t="s">
        <v>1492</v>
      </c>
      <c r="B657" s="67" t="s">
        <v>1493</v>
      </c>
      <c r="C657" s="67" t="s">
        <v>851</v>
      </c>
      <c r="D657" s="68">
        <v>45261.0</v>
      </c>
      <c r="E657" s="68">
        <v>45271.0</v>
      </c>
      <c r="F657" s="69">
        <v>7061000.0</v>
      </c>
      <c r="G657" s="69">
        <v>7061000.0</v>
      </c>
      <c r="H657" s="69">
        <v>498000.0</v>
      </c>
      <c r="I657" s="69"/>
      <c r="J657" s="70">
        <f t="shared" si="9"/>
        <v>0.07052825379</v>
      </c>
    </row>
    <row r="658" ht="22.5" customHeight="1" outlineLevel="2">
      <c r="A658" s="66" t="s">
        <v>1494</v>
      </c>
      <c r="B658" s="67" t="s">
        <v>1495</v>
      </c>
      <c r="C658" s="67" t="s">
        <v>851</v>
      </c>
      <c r="D658" s="68">
        <v>45265.0</v>
      </c>
      <c r="E658" s="68">
        <v>45272.0</v>
      </c>
      <c r="F658" s="69">
        <v>1.5488E7</v>
      </c>
      <c r="G658" s="69">
        <v>1.5488E7</v>
      </c>
      <c r="H658" s="69">
        <v>1091000.0</v>
      </c>
      <c r="I658" s="69"/>
      <c r="J658" s="70">
        <f t="shared" si="9"/>
        <v>0.07044163223</v>
      </c>
    </row>
    <row r="659" ht="22.5" customHeight="1" outlineLevel="2">
      <c r="A659" s="66" t="s">
        <v>1496</v>
      </c>
      <c r="B659" s="67" t="s">
        <v>1497</v>
      </c>
      <c r="C659" s="67" t="s">
        <v>1137</v>
      </c>
      <c r="D659" s="68">
        <v>45271.0</v>
      </c>
      <c r="E659" s="68">
        <v>45273.0</v>
      </c>
      <c r="F659" s="69">
        <v>7497000.0</v>
      </c>
      <c r="G659" s="69">
        <v>7497000.0</v>
      </c>
      <c r="H659" s="69">
        <v>2774777.777777778</v>
      </c>
      <c r="I659" s="69"/>
      <c r="J659" s="70">
        <f t="shared" si="9"/>
        <v>0.3701184177</v>
      </c>
    </row>
    <row r="660" ht="22.5" customHeight="1" outlineLevel="2">
      <c r="A660" s="66" t="s">
        <v>1498</v>
      </c>
      <c r="B660" s="67" t="s">
        <v>1499</v>
      </c>
      <c r="C660" s="67" t="s">
        <v>1500</v>
      </c>
      <c r="D660" s="68">
        <v>45279.0</v>
      </c>
      <c r="E660" s="68">
        <v>45279.0</v>
      </c>
      <c r="F660" s="69">
        <v>1.19E7</v>
      </c>
      <c r="G660" s="69">
        <v>1.19E7</v>
      </c>
      <c r="H660" s="69">
        <v>7177777.777777778</v>
      </c>
      <c r="I660" s="69">
        <v>1.19E7</v>
      </c>
      <c r="J660" s="70">
        <f t="shared" si="9"/>
        <v>0.6031746032</v>
      </c>
    </row>
    <row r="661" ht="22.5" customHeight="1" outlineLevel="2">
      <c r="A661" s="66" t="s">
        <v>1501</v>
      </c>
      <c r="B661" s="67" t="s">
        <v>1502</v>
      </c>
      <c r="C661" s="67" t="s">
        <v>982</v>
      </c>
      <c r="D661" s="68">
        <v>45282.0</v>
      </c>
      <c r="E661" s="68"/>
      <c r="F661" s="69">
        <v>4.14036E8</v>
      </c>
      <c r="G661" s="69"/>
      <c r="H661" s="69"/>
      <c r="I661" s="69">
        <v>2.07018E8</v>
      </c>
      <c r="J661" s="70" t="str">
        <f t="shared" si="9"/>
        <v>#DIV/0!</v>
      </c>
    </row>
    <row r="662" ht="22.5" customHeight="1" outlineLevel="2">
      <c r="A662" s="66" t="s">
        <v>1503</v>
      </c>
      <c r="B662" s="67" t="s">
        <v>1504</v>
      </c>
      <c r="C662" s="67" t="s">
        <v>1505</v>
      </c>
      <c r="D662" s="68">
        <v>45278.0</v>
      </c>
      <c r="E662" s="68">
        <v>45281.0</v>
      </c>
      <c r="F662" s="69">
        <v>1100000.0</v>
      </c>
      <c r="G662" s="69">
        <v>1100000.0</v>
      </c>
      <c r="H662" s="69">
        <v>345000.0</v>
      </c>
      <c r="I662" s="69"/>
      <c r="J662" s="70">
        <f t="shared" si="9"/>
        <v>0.3136363636</v>
      </c>
    </row>
    <row r="663" ht="22.5" customHeight="1" outlineLevel="2">
      <c r="A663" s="66" t="s">
        <v>1506</v>
      </c>
      <c r="B663" s="67" t="s">
        <v>1507</v>
      </c>
      <c r="C663" s="67" t="s">
        <v>851</v>
      </c>
      <c r="D663" s="68">
        <v>45267.0</v>
      </c>
      <c r="E663" s="68">
        <v>45279.0</v>
      </c>
      <c r="F663" s="69">
        <v>1.588E7</v>
      </c>
      <c r="G663" s="69">
        <v>1.588E7</v>
      </c>
      <c r="H663" s="69">
        <v>675555.5555555541</v>
      </c>
      <c r="I663" s="69"/>
      <c r="J663" s="70">
        <f t="shared" si="9"/>
        <v>0.04254128184</v>
      </c>
    </row>
    <row r="664" ht="22.5" customHeight="1" outlineLevel="2">
      <c r="A664" s="66" t="s">
        <v>1508</v>
      </c>
      <c r="B664" s="67" t="s">
        <v>1507</v>
      </c>
      <c r="C664" s="67" t="s">
        <v>851</v>
      </c>
      <c r="D664" s="68">
        <v>45268.0</v>
      </c>
      <c r="E664" s="68">
        <v>45280.0</v>
      </c>
      <c r="F664" s="69">
        <v>1.588E7</v>
      </c>
      <c r="G664" s="69">
        <v>1.588E7</v>
      </c>
      <c r="H664" s="69">
        <v>675555.5555555541</v>
      </c>
      <c r="I664" s="69"/>
      <c r="J664" s="70">
        <f t="shared" si="9"/>
        <v>0.04254128184</v>
      </c>
    </row>
    <row r="665" ht="22.5" customHeight="1" outlineLevel="2">
      <c r="A665" s="66" t="s">
        <v>1509</v>
      </c>
      <c r="B665" s="67" t="s">
        <v>1479</v>
      </c>
      <c r="C665" s="67" t="s">
        <v>851</v>
      </c>
      <c r="D665" s="68">
        <v>45271.0</v>
      </c>
      <c r="E665" s="68">
        <v>45281.0</v>
      </c>
      <c r="F665" s="69">
        <v>1.985E7</v>
      </c>
      <c r="G665" s="69">
        <v>1.985E7</v>
      </c>
      <c r="H665" s="69">
        <v>844444.444444444</v>
      </c>
      <c r="I665" s="69"/>
      <c r="J665" s="70">
        <f t="shared" si="9"/>
        <v>0.04254128184</v>
      </c>
    </row>
    <row r="666" ht="22.5" customHeight="1" outlineLevel="2">
      <c r="A666" s="66" t="s">
        <v>1510</v>
      </c>
      <c r="B666" s="67" t="s">
        <v>1507</v>
      </c>
      <c r="C666" s="67" t="s">
        <v>851</v>
      </c>
      <c r="D666" s="68">
        <v>45272.0</v>
      </c>
      <c r="E666" s="68">
        <v>45282.0</v>
      </c>
      <c r="F666" s="69">
        <v>1.588E7</v>
      </c>
      <c r="G666" s="69">
        <v>1.588E7</v>
      </c>
      <c r="H666" s="69">
        <v>675555.5555555541</v>
      </c>
      <c r="I666" s="69"/>
      <c r="J666" s="70">
        <f t="shared" si="9"/>
        <v>0.04254128184</v>
      </c>
    </row>
    <row r="667" ht="22.5" customHeight="1" outlineLevel="2">
      <c r="A667" s="66" t="s">
        <v>1511</v>
      </c>
      <c r="B667" s="67" t="s">
        <v>1479</v>
      </c>
      <c r="C667" s="67" t="s">
        <v>851</v>
      </c>
      <c r="D667" s="68">
        <v>45273.0</v>
      </c>
      <c r="E667" s="68">
        <v>45285.0</v>
      </c>
      <c r="F667" s="69">
        <v>1.985E7</v>
      </c>
      <c r="G667" s="69">
        <v>1.985E7</v>
      </c>
      <c r="H667" s="69">
        <v>844444.444444444</v>
      </c>
      <c r="I667" s="69"/>
      <c r="J667" s="70">
        <f t="shared" si="9"/>
        <v>0.04254128184</v>
      </c>
    </row>
    <row r="668" ht="22.5" customHeight="1" outlineLevel="2">
      <c r="A668" s="66" t="s">
        <v>1512</v>
      </c>
      <c r="B668" s="67" t="s">
        <v>1507</v>
      </c>
      <c r="C668" s="67" t="s">
        <v>851</v>
      </c>
      <c r="D668" s="68">
        <v>45274.0</v>
      </c>
      <c r="E668" s="68">
        <v>45286.0</v>
      </c>
      <c r="F668" s="69">
        <v>1.588E7</v>
      </c>
      <c r="G668" s="69">
        <v>1.588E7</v>
      </c>
      <c r="H668" s="69">
        <v>675555.5555555541</v>
      </c>
      <c r="I668" s="69"/>
      <c r="J668" s="70">
        <f t="shared" si="9"/>
        <v>0.04254128184</v>
      </c>
    </row>
    <row r="669" ht="22.5" customHeight="1" outlineLevel="2">
      <c r="A669" s="66" t="s">
        <v>1513</v>
      </c>
      <c r="B669" s="67" t="s">
        <v>1507</v>
      </c>
      <c r="C669" s="67" t="s">
        <v>851</v>
      </c>
      <c r="D669" s="68">
        <v>45275.0</v>
      </c>
      <c r="E669" s="68">
        <v>45287.0</v>
      </c>
      <c r="F669" s="69">
        <v>1.588E7</v>
      </c>
      <c r="G669" s="69">
        <v>1.588E7</v>
      </c>
      <c r="H669" s="69">
        <v>675555.5555555541</v>
      </c>
      <c r="I669" s="69"/>
      <c r="J669" s="70">
        <f t="shared" si="9"/>
        <v>0.04254128184</v>
      </c>
    </row>
    <row r="670" ht="22.5" customHeight="1" outlineLevel="2">
      <c r="A670" s="66" t="s">
        <v>1514</v>
      </c>
      <c r="B670" s="67" t="s">
        <v>1515</v>
      </c>
      <c r="C670" s="67" t="s">
        <v>1505</v>
      </c>
      <c r="D670" s="68">
        <v>45280.0</v>
      </c>
      <c r="E670" s="68">
        <v>45281.0</v>
      </c>
      <c r="F670" s="69">
        <v>289000.0</v>
      </c>
      <c r="G670" s="69">
        <v>289000.0</v>
      </c>
      <c r="H670" s="69">
        <v>68000.0</v>
      </c>
      <c r="I670" s="69"/>
      <c r="J670" s="70">
        <f t="shared" si="9"/>
        <v>0.2352941176</v>
      </c>
    </row>
    <row r="671" ht="22.5" customHeight="1" outlineLevel="2">
      <c r="A671" s="66" t="s">
        <v>1516</v>
      </c>
      <c r="B671" s="67" t="s">
        <v>1517</v>
      </c>
      <c r="C671" s="67" t="s">
        <v>1518</v>
      </c>
      <c r="D671" s="68">
        <v>45279.0</v>
      </c>
      <c r="E671" s="68">
        <v>45282.0</v>
      </c>
      <c r="F671" s="69">
        <v>4500000.0</v>
      </c>
      <c r="G671" s="69">
        <v>4500000.0</v>
      </c>
      <c r="H671" s="69">
        <v>722500.0</v>
      </c>
      <c r="I671" s="69"/>
      <c r="J671" s="70">
        <f t="shared" si="9"/>
        <v>0.1605555556</v>
      </c>
    </row>
    <row r="672" ht="22.5" customHeight="1" outlineLevel="2">
      <c r="A672" s="66" t="s">
        <v>1519</v>
      </c>
      <c r="B672" s="67" t="s">
        <v>1520</v>
      </c>
      <c r="C672" s="67" t="s">
        <v>1521</v>
      </c>
      <c r="D672" s="68">
        <v>45128.0</v>
      </c>
      <c r="E672" s="68">
        <v>45131.0</v>
      </c>
      <c r="F672" s="69">
        <v>1.3978E7</v>
      </c>
      <c r="G672" s="69">
        <v>1.3978E7</v>
      </c>
      <c r="H672" s="69">
        <v>5415360.0</v>
      </c>
      <c r="I672" s="69"/>
      <c r="J672" s="70">
        <f t="shared" si="9"/>
        <v>0.3874202318</v>
      </c>
    </row>
    <row r="673" ht="22.5" customHeight="1" outlineLevel="2">
      <c r="A673" s="66" t="s">
        <v>1522</v>
      </c>
      <c r="B673" s="67" t="s">
        <v>1523</v>
      </c>
      <c r="C673" s="67" t="s">
        <v>1372</v>
      </c>
      <c r="D673" s="68">
        <v>45279.0</v>
      </c>
      <c r="E673" s="68"/>
      <c r="F673" s="69">
        <v>1.0935E8</v>
      </c>
      <c r="G673" s="69"/>
      <c r="H673" s="69"/>
      <c r="I673" s="69">
        <v>5.4675E7</v>
      </c>
      <c r="J673" s="70" t="str">
        <f t="shared" si="9"/>
        <v>#DIV/0!</v>
      </c>
    </row>
    <row r="674" ht="22.5" customHeight="1" outlineLevel="2">
      <c r="A674" s="66" t="s">
        <v>1524</v>
      </c>
      <c r="B674" s="67" t="s">
        <v>1507</v>
      </c>
      <c r="C674" s="67" t="s">
        <v>851</v>
      </c>
      <c r="D674" s="68">
        <v>45286.0</v>
      </c>
      <c r="E674" s="68"/>
      <c r="F674" s="69">
        <v>1.588E7</v>
      </c>
      <c r="G674" s="69"/>
      <c r="H674" s="69"/>
      <c r="I674" s="69"/>
      <c r="J674" s="70" t="str">
        <f t="shared" si="9"/>
        <v>#DIV/0!</v>
      </c>
    </row>
    <row r="675" ht="22.5" customHeight="1" outlineLevel="2">
      <c r="A675" s="66" t="s">
        <v>570</v>
      </c>
      <c r="B675" s="67" t="s">
        <v>1525</v>
      </c>
      <c r="C675" s="67" t="s">
        <v>1526</v>
      </c>
      <c r="D675" s="68"/>
      <c r="E675" s="68"/>
      <c r="F675" s="69">
        <v>5.275E8</v>
      </c>
      <c r="G675" s="69"/>
      <c r="H675" s="69">
        <v>4.064E7</v>
      </c>
      <c r="I675" s="69"/>
      <c r="J675" s="70" t="str">
        <f t="shared" si="9"/>
        <v>#DIV/0!</v>
      </c>
    </row>
    <row r="676" ht="22.5" customHeight="1" outlineLevel="1">
      <c r="A676" s="63" t="s">
        <v>1527</v>
      </c>
      <c r="F676" s="64">
        <f t="shared" ref="F676:I676" si="10">sum(F677:F707)</f>
        <v>29334768068</v>
      </c>
      <c r="G676" s="64">
        <f t="shared" si="10"/>
        <v>24320681636</v>
      </c>
      <c r="H676" s="64">
        <f t="shared" si="10"/>
        <v>3881277313</v>
      </c>
      <c r="I676" s="64">
        <f t="shared" si="10"/>
        <v>27429182368</v>
      </c>
      <c r="J676" s="65"/>
    </row>
    <row r="677" ht="22.5" customHeight="1" outlineLevel="2">
      <c r="A677" s="66" t="s">
        <v>1528</v>
      </c>
      <c r="B677" s="67" t="s">
        <v>1529</v>
      </c>
      <c r="C677" s="67" t="s">
        <v>1530</v>
      </c>
      <c r="D677" s="71" t="s">
        <v>1531</v>
      </c>
      <c r="E677" s="68">
        <v>44965.0</v>
      </c>
      <c r="F677" s="69">
        <v>3.3E8</v>
      </c>
      <c r="G677" s="69">
        <v>3.0E8</v>
      </c>
      <c r="H677" s="69">
        <v>9.3197808E7</v>
      </c>
      <c r="I677" s="69">
        <v>3.3E8</v>
      </c>
      <c r="J677" s="70">
        <f t="shared" ref="J677:J707" si="11">H677/G677</f>
        <v>0.31065936</v>
      </c>
    </row>
    <row r="678" ht="22.5" customHeight="1" outlineLevel="2">
      <c r="A678" s="66" t="s">
        <v>1532</v>
      </c>
      <c r="B678" s="67" t="s">
        <v>1533</v>
      </c>
      <c r="C678" s="67" t="s">
        <v>1534</v>
      </c>
      <c r="D678" s="68">
        <v>44986.0</v>
      </c>
      <c r="E678" s="68">
        <v>45033.0</v>
      </c>
      <c r="F678" s="69">
        <v>6.545E8</v>
      </c>
      <c r="G678" s="69">
        <v>6.07727273E8</v>
      </c>
      <c r="H678" s="69">
        <v>8.777905354500002E7</v>
      </c>
      <c r="I678" s="69">
        <v>6.685E8</v>
      </c>
      <c r="J678" s="70">
        <f t="shared" si="11"/>
        <v>0.1444382331</v>
      </c>
    </row>
    <row r="679" ht="22.5" customHeight="1" outlineLevel="2">
      <c r="A679" s="66" t="s">
        <v>1535</v>
      </c>
      <c r="B679" s="67" t="s">
        <v>1536</v>
      </c>
      <c r="C679" s="67" t="s">
        <v>1537</v>
      </c>
      <c r="D679" s="68"/>
      <c r="E679" s="68">
        <v>45061.0</v>
      </c>
      <c r="F679" s="69">
        <v>2.6312E8</v>
      </c>
      <c r="G679" s="69">
        <v>2.392E8</v>
      </c>
      <c r="H679" s="69">
        <v>5.7665376106909096E7</v>
      </c>
      <c r="I679" s="69">
        <v>2.6312E8</v>
      </c>
      <c r="J679" s="70">
        <f t="shared" si="11"/>
        <v>0.2410759871</v>
      </c>
    </row>
    <row r="680" ht="22.5" customHeight="1" outlineLevel="2">
      <c r="A680" s="66" t="s">
        <v>1538</v>
      </c>
      <c r="B680" s="67" t="s">
        <v>1539</v>
      </c>
      <c r="C680" s="67" t="s">
        <v>1131</v>
      </c>
      <c r="D680" s="68">
        <v>45012.0</v>
      </c>
      <c r="E680" s="68">
        <v>45027.0</v>
      </c>
      <c r="F680" s="69">
        <v>3.33515E8</v>
      </c>
      <c r="G680" s="69">
        <v>3.33515E8</v>
      </c>
      <c r="H680" s="69">
        <v>6.801865644444445E7</v>
      </c>
      <c r="I680" s="69">
        <v>3.33515E8</v>
      </c>
      <c r="J680" s="70">
        <f t="shared" si="11"/>
        <v>0.2039448194</v>
      </c>
    </row>
    <row r="681" ht="22.5" customHeight="1" outlineLevel="2">
      <c r="A681" s="66" t="s">
        <v>1540</v>
      </c>
      <c r="B681" s="67" t="s">
        <v>1541</v>
      </c>
      <c r="C681" s="67" t="s">
        <v>1542</v>
      </c>
      <c r="D681" s="68">
        <v>45012.0</v>
      </c>
      <c r="E681" s="68">
        <v>45077.0</v>
      </c>
      <c r="F681" s="69">
        <v>1.25853075E10</v>
      </c>
      <c r="G681" s="69">
        <v>1.25853075E10</v>
      </c>
      <c r="H681" s="69">
        <v>8.808773126000004E8</v>
      </c>
      <c r="I681" s="69">
        <v>1.25853075E10</v>
      </c>
      <c r="J681" s="70">
        <f t="shared" si="11"/>
        <v>0.0699925141</v>
      </c>
    </row>
    <row r="682" ht="22.5" customHeight="1" outlineLevel="2">
      <c r="A682" s="66" t="s">
        <v>1543</v>
      </c>
      <c r="B682" s="67" t="s">
        <v>1544</v>
      </c>
      <c r="C682" s="67" t="s">
        <v>1545</v>
      </c>
      <c r="D682" s="68">
        <v>45020.0</v>
      </c>
      <c r="E682" s="68">
        <v>45057.0</v>
      </c>
      <c r="F682" s="69">
        <v>1.914E7</v>
      </c>
      <c r="G682" s="69">
        <v>1.74E7</v>
      </c>
      <c r="H682" s="69">
        <v>730000.0</v>
      </c>
      <c r="I682" s="69">
        <v>1.914E7</v>
      </c>
      <c r="J682" s="70">
        <f t="shared" si="11"/>
        <v>0.04195402299</v>
      </c>
    </row>
    <row r="683" ht="22.5" customHeight="1" outlineLevel="2">
      <c r="A683" s="66" t="s">
        <v>1546</v>
      </c>
      <c r="B683" s="67" t="s">
        <v>1547</v>
      </c>
      <c r="C683" s="67" t="s">
        <v>1548</v>
      </c>
      <c r="D683" s="68">
        <v>45078.0</v>
      </c>
      <c r="E683" s="68"/>
      <c r="F683" s="69">
        <v>3.158315E8</v>
      </c>
      <c r="G683" s="69"/>
      <c r="H683" s="69">
        <v>3.158315E7</v>
      </c>
      <c r="I683" s="69">
        <v>3.158315E7</v>
      </c>
      <c r="J683" s="70" t="str">
        <f t="shared" si="11"/>
        <v>#DIV/0!</v>
      </c>
    </row>
    <row r="684" ht="22.5" customHeight="1" outlineLevel="2">
      <c r="A684" s="66" t="s">
        <v>1549</v>
      </c>
      <c r="B684" s="67" t="s">
        <v>1550</v>
      </c>
      <c r="C684" s="67" t="s">
        <v>1551</v>
      </c>
      <c r="D684" s="68">
        <v>45090.0</v>
      </c>
      <c r="E684" s="68">
        <v>45098.0</v>
      </c>
      <c r="F684" s="69">
        <v>5.1558408E8</v>
      </c>
      <c r="G684" s="69">
        <v>5.1558408E8</v>
      </c>
      <c r="H684" s="69">
        <v>3.755058E7</v>
      </c>
      <c r="I684" s="69">
        <v>5.1558408E8</v>
      </c>
      <c r="J684" s="70">
        <f t="shared" si="11"/>
        <v>0.07283114715</v>
      </c>
    </row>
    <row r="685" ht="22.5" customHeight="1" outlineLevel="2">
      <c r="A685" s="66" t="s">
        <v>1552</v>
      </c>
      <c r="B685" s="67" t="s">
        <v>1553</v>
      </c>
      <c r="C685" s="67" t="s">
        <v>1554</v>
      </c>
      <c r="D685" s="68">
        <v>45083.0</v>
      </c>
      <c r="E685" s="68"/>
      <c r="F685" s="69">
        <v>1.02E9</v>
      </c>
      <c r="G685" s="69"/>
      <c r="H685" s="69"/>
      <c r="I685" s="69"/>
      <c r="J685" s="70" t="str">
        <f t="shared" si="11"/>
        <v>#DIV/0!</v>
      </c>
    </row>
    <row r="686" ht="22.5" customHeight="1" outlineLevel="2">
      <c r="A686" s="66" t="s">
        <v>1555</v>
      </c>
      <c r="B686" s="67" t="s">
        <v>1556</v>
      </c>
      <c r="C686" s="67" t="s">
        <v>1557</v>
      </c>
      <c r="D686" s="68">
        <v>45107.0</v>
      </c>
      <c r="E686" s="68">
        <v>45155.0</v>
      </c>
      <c r="F686" s="69">
        <v>4.94E8</v>
      </c>
      <c r="G686" s="69">
        <v>4.4909091E8</v>
      </c>
      <c r="H686" s="69">
        <v>6.013920681999999E7</v>
      </c>
      <c r="I686" s="69">
        <v>4.94E8</v>
      </c>
      <c r="J686" s="70">
        <f t="shared" si="11"/>
        <v>0.1339132133</v>
      </c>
    </row>
    <row r="687" ht="22.5" customHeight="1" outlineLevel="2">
      <c r="A687" s="66" t="s">
        <v>1558</v>
      </c>
      <c r="B687" s="67" t="s">
        <v>1559</v>
      </c>
      <c r="C687" s="67" t="s">
        <v>1560</v>
      </c>
      <c r="D687" s="68">
        <v>45105.0</v>
      </c>
      <c r="E687" s="68">
        <v>45169.0</v>
      </c>
      <c r="F687" s="69">
        <v>3.3991488E7</v>
      </c>
      <c r="G687" s="69">
        <v>3.14736E7</v>
      </c>
      <c r="H687" s="69">
        <v>7979745.0</v>
      </c>
      <c r="I687" s="69">
        <v>3.3991488E7</v>
      </c>
      <c r="J687" s="70">
        <f t="shared" si="11"/>
        <v>0.2535377269</v>
      </c>
    </row>
    <row r="688" ht="22.5" customHeight="1" outlineLevel="2">
      <c r="A688" s="66" t="s">
        <v>1561</v>
      </c>
      <c r="B688" s="67" t="s">
        <v>1562</v>
      </c>
      <c r="C688" s="67" t="s">
        <v>1563</v>
      </c>
      <c r="D688" s="68">
        <v>45110.0</v>
      </c>
      <c r="E688" s="68">
        <v>45138.0</v>
      </c>
      <c r="F688" s="69">
        <v>2.70721E8</v>
      </c>
      <c r="G688" s="69">
        <v>2.4611E8</v>
      </c>
      <c r="H688" s="69">
        <v>7.47496095E7</v>
      </c>
      <c r="I688" s="69">
        <v>2.70721E8</v>
      </c>
      <c r="J688" s="70">
        <f t="shared" si="11"/>
        <v>0.3037243895</v>
      </c>
    </row>
    <row r="689" ht="22.5" customHeight="1" outlineLevel="2">
      <c r="A689" s="66" t="s">
        <v>1564</v>
      </c>
      <c r="B689" s="67" t="s">
        <v>1565</v>
      </c>
      <c r="C689" s="67" t="s">
        <v>1566</v>
      </c>
      <c r="D689" s="68">
        <v>45149.0</v>
      </c>
      <c r="E689" s="68">
        <v>45176.0</v>
      </c>
      <c r="F689" s="69">
        <v>4.1866E8</v>
      </c>
      <c r="G689" s="69">
        <v>3.806E8</v>
      </c>
      <c r="H689" s="69">
        <v>7.6328078E7</v>
      </c>
      <c r="I689" s="69">
        <v>4.1866E8</v>
      </c>
      <c r="J689" s="70">
        <f t="shared" si="11"/>
        <v>0.2005467105</v>
      </c>
    </row>
    <row r="690" ht="22.5" customHeight="1" outlineLevel="2">
      <c r="A690" s="66" t="s">
        <v>1567</v>
      </c>
      <c r="B690" s="67" t="s">
        <v>1568</v>
      </c>
      <c r="C690" s="67" t="s">
        <v>1548</v>
      </c>
      <c r="D690" s="68">
        <v>45145.0</v>
      </c>
      <c r="E690" s="68"/>
      <c r="F690" s="69">
        <v>5.17235E8</v>
      </c>
      <c r="G690" s="69"/>
      <c r="H690" s="69">
        <v>5.17235E7</v>
      </c>
      <c r="I690" s="69">
        <v>5.17235E7</v>
      </c>
      <c r="J690" s="70" t="str">
        <f t="shared" si="11"/>
        <v>#DIV/0!</v>
      </c>
    </row>
    <row r="691" ht="22.5" customHeight="1" outlineLevel="2">
      <c r="A691" s="66" t="s">
        <v>1569</v>
      </c>
      <c r="B691" s="67" t="s">
        <v>1570</v>
      </c>
      <c r="C691" s="67" t="s">
        <v>350</v>
      </c>
      <c r="D691" s="68">
        <v>45149.0</v>
      </c>
      <c r="E691" s="68">
        <v>45166.0</v>
      </c>
      <c r="F691" s="69">
        <v>4.82511E8</v>
      </c>
      <c r="G691" s="69">
        <v>4.82511E8</v>
      </c>
      <c r="H691" s="69">
        <v>1.07487177E8</v>
      </c>
      <c r="I691" s="69">
        <v>4.82511E8</v>
      </c>
      <c r="J691" s="70">
        <f t="shared" si="11"/>
        <v>0.2227662727</v>
      </c>
    </row>
    <row r="692" ht="22.5" customHeight="1" outlineLevel="2">
      <c r="A692" s="66" t="s">
        <v>1571</v>
      </c>
      <c r="B692" s="67" t="s">
        <v>1572</v>
      </c>
      <c r="C692" s="67" t="s">
        <v>1573</v>
      </c>
      <c r="D692" s="68">
        <v>45154.0</v>
      </c>
      <c r="E692" s="68">
        <v>45187.0</v>
      </c>
      <c r="F692" s="69">
        <v>9.489700000000001E7</v>
      </c>
      <c r="G692" s="69">
        <v>8.627E7</v>
      </c>
      <c r="H692" s="69">
        <v>3.613811E7</v>
      </c>
      <c r="I692" s="69">
        <v>9.4897E7</v>
      </c>
      <c r="J692" s="70">
        <f t="shared" si="11"/>
        <v>0.4188954445</v>
      </c>
    </row>
    <row r="693" ht="22.5" customHeight="1" outlineLevel="2">
      <c r="A693" s="66" t="s">
        <v>1574</v>
      </c>
      <c r="B693" s="67" t="s">
        <v>1575</v>
      </c>
      <c r="C693" s="67" t="s">
        <v>1576</v>
      </c>
      <c r="D693" s="68">
        <v>45159.0</v>
      </c>
      <c r="E693" s="68">
        <v>45180.0</v>
      </c>
      <c r="F693" s="69">
        <v>2.41984E8</v>
      </c>
      <c r="G693" s="69">
        <v>1.9544E8</v>
      </c>
      <c r="H693" s="69">
        <v>5.1461236E7</v>
      </c>
      <c r="I693" s="69">
        <v>2.14984E8</v>
      </c>
      <c r="J693" s="70">
        <f t="shared" si="11"/>
        <v>0.2633096398</v>
      </c>
    </row>
    <row r="694" ht="22.5" customHeight="1" outlineLevel="2">
      <c r="A694" s="66" t="s">
        <v>1577</v>
      </c>
      <c r="B694" s="67" t="s">
        <v>1578</v>
      </c>
      <c r="C694" s="67" t="s">
        <v>1579</v>
      </c>
      <c r="D694" s="68">
        <v>45159.0</v>
      </c>
      <c r="E694" s="68">
        <v>45250.0</v>
      </c>
      <c r="F694" s="69">
        <v>8.74497E8</v>
      </c>
      <c r="G694" s="69">
        <v>7.94997273E8</v>
      </c>
      <c r="H694" s="69">
        <v>1.41012244E8</v>
      </c>
      <c r="I694" s="69">
        <v>8.74497E8</v>
      </c>
      <c r="J694" s="70">
        <f t="shared" si="11"/>
        <v>0.1773745003</v>
      </c>
    </row>
    <row r="695" ht="22.5" customHeight="1" outlineLevel="2">
      <c r="A695" s="66" t="s">
        <v>570</v>
      </c>
      <c r="B695" s="67" t="s">
        <v>1525</v>
      </c>
      <c r="C695" s="67" t="s">
        <v>1131</v>
      </c>
      <c r="D695" s="68">
        <v>45183.0</v>
      </c>
      <c r="E695" s="68">
        <v>45201.0</v>
      </c>
      <c r="F695" s="69">
        <v>2.6375E9</v>
      </c>
      <c r="G695" s="69">
        <v>2.6375E9</v>
      </c>
      <c r="H695" s="69">
        <v>4.1908925E8</v>
      </c>
      <c r="I695" s="69">
        <v>5.275E9</v>
      </c>
      <c r="J695" s="70">
        <f t="shared" si="11"/>
        <v>0.1588963981</v>
      </c>
    </row>
    <row r="696" ht="22.5" customHeight="1" outlineLevel="2">
      <c r="A696" s="66" t="s">
        <v>1580</v>
      </c>
      <c r="B696" s="67" t="s">
        <v>1581</v>
      </c>
      <c r="C696" s="67" t="s">
        <v>1131</v>
      </c>
      <c r="D696" s="68">
        <v>45209.0</v>
      </c>
      <c r="E696" s="68">
        <v>45216.0</v>
      </c>
      <c r="F696" s="69">
        <v>1.52337E8</v>
      </c>
      <c r="G696" s="69">
        <v>1.52337E8</v>
      </c>
      <c r="H696" s="69">
        <v>5.1613038400000006E7</v>
      </c>
      <c r="I696" s="69">
        <v>1.52337E8</v>
      </c>
      <c r="J696" s="70">
        <f t="shared" si="11"/>
        <v>0.3388082895</v>
      </c>
    </row>
    <row r="697" ht="22.5" customHeight="1" outlineLevel="2">
      <c r="A697" s="66" t="s">
        <v>1582</v>
      </c>
      <c r="B697" s="67" t="s">
        <v>1583</v>
      </c>
      <c r="C697" s="67" t="s">
        <v>1584</v>
      </c>
      <c r="D697" s="68">
        <v>45226.0</v>
      </c>
      <c r="E697" s="68"/>
      <c r="F697" s="69">
        <v>9.12339E8</v>
      </c>
      <c r="G697" s="69">
        <v>0.0</v>
      </c>
      <c r="H697" s="69"/>
      <c r="I697" s="69">
        <v>5.474034E8</v>
      </c>
      <c r="J697" s="70" t="str">
        <f t="shared" si="11"/>
        <v>#DIV/0!</v>
      </c>
    </row>
    <row r="698" ht="22.5" customHeight="1" outlineLevel="2">
      <c r="A698" s="66" t="s">
        <v>1567</v>
      </c>
      <c r="B698" s="67" t="s">
        <v>1568</v>
      </c>
      <c r="C698" s="67" t="s">
        <v>1548</v>
      </c>
      <c r="D698" s="68">
        <v>45229.0</v>
      </c>
      <c r="E698" s="68"/>
      <c r="F698" s="69">
        <v>3.335825E8</v>
      </c>
      <c r="G698" s="69"/>
      <c r="H698" s="69">
        <v>3.335825E7</v>
      </c>
      <c r="I698" s="69">
        <v>3.335825E7</v>
      </c>
      <c r="J698" s="70" t="str">
        <f t="shared" si="11"/>
        <v>#DIV/0!</v>
      </c>
    </row>
    <row r="699" ht="22.5" customHeight="1" outlineLevel="2">
      <c r="A699" s="66" t="s">
        <v>1585</v>
      </c>
      <c r="B699" s="67" t="s">
        <v>1586</v>
      </c>
      <c r="C699" s="67" t="s">
        <v>1587</v>
      </c>
      <c r="D699" s="68">
        <v>45211.0</v>
      </c>
      <c r="E699" s="68"/>
      <c r="F699" s="69">
        <v>5.7789375E8</v>
      </c>
      <c r="G699" s="69"/>
      <c r="H699" s="69">
        <v>1.1557875E8</v>
      </c>
      <c r="I699" s="69">
        <v>1.1557875E8</v>
      </c>
      <c r="J699" s="70" t="str">
        <f t="shared" si="11"/>
        <v>#DIV/0!</v>
      </c>
    </row>
    <row r="700" ht="22.5" customHeight="1" outlineLevel="2">
      <c r="A700" s="66" t="s">
        <v>1588</v>
      </c>
      <c r="B700" s="67" t="s">
        <v>1589</v>
      </c>
      <c r="C700" s="67" t="s">
        <v>1590</v>
      </c>
      <c r="D700" s="68">
        <v>45232.0</v>
      </c>
      <c r="E700" s="68">
        <v>45246.0</v>
      </c>
      <c r="F700" s="69">
        <v>1.65E9</v>
      </c>
      <c r="G700" s="69">
        <v>1.5E9</v>
      </c>
      <c r="H700" s="69">
        <v>3.7260552727272725E8</v>
      </c>
      <c r="I700" s="69">
        <v>1.65E9</v>
      </c>
      <c r="J700" s="70">
        <f t="shared" si="11"/>
        <v>0.2484036848</v>
      </c>
    </row>
    <row r="701" ht="22.5" customHeight="1" outlineLevel="2">
      <c r="A701" s="66" t="s">
        <v>1591</v>
      </c>
      <c r="B701" s="67" t="s">
        <v>1592</v>
      </c>
      <c r="C701" s="67" t="s">
        <v>1593</v>
      </c>
      <c r="D701" s="68">
        <v>45232.0</v>
      </c>
      <c r="E701" s="68">
        <v>45278.0</v>
      </c>
      <c r="F701" s="69">
        <v>1.0237E9</v>
      </c>
      <c r="G701" s="69">
        <v>1.0237E9</v>
      </c>
      <c r="H701" s="69">
        <v>3.3017066666666675E8</v>
      </c>
      <c r="I701" s="69">
        <v>5.1185E8</v>
      </c>
      <c r="J701" s="70">
        <f t="shared" si="11"/>
        <v>0.3225267819</v>
      </c>
    </row>
    <row r="702" ht="22.5" customHeight="1" outlineLevel="2">
      <c r="A702" s="66" t="s">
        <v>1594</v>
      </c>
      <c r="B702" s="67" t="s">
        <v>1595</v>
      </c>
      <c r="C702" s="67" t="s">
        <v>1596</v>
      </c>
      <c r="D702" s="68">
        <v>45233.0</v>
      </c>
      <c r="E702" s="68">
        <v>45253.0</v>
      </c>
      <c r="F702" s="69">
        <v>1.53307E8</v>
      </c>
      <c r="G702" s="69">
        <v>1.3937E8</v>
      </c>
      <c r="H702" s="69">
        <v>4.910409819E7</v>
      </c>
      <c r="I702" s="69">
        <v>1.53307E8</v>
      </c>
      <c r="J702" s="70">
        <f t="shared" si="11"/>
        <v>0.3523290392</v>
      </c>
    </row>
    <row r="703" ht="22.5" customHeight="1" outlineLevel="2">
      <c r="A703" s="66" t="s">
        <v>1597</v>
      </c>
      <c r="B703" s="67" t="s">
        <v>1598</v>
      </c>
      <c r="C703" s="67" t="s">
        <v>1599</v>
      </c>
      <c r="D703" s="68">
        <v>45259.0</v>
      </c>
      <c r="E703" s="68">
        <v>45272.0</v>
      </c>
      <c r="F703" s="69">
        <v>9.494E8</v>
      </c>
      <c r="G703" s="69">
        <v>9.494E8</v>
      </c>
      <c r="H703" s="69">
        <v>3.32975E8</v>
      </c>
      <c r="I703" s="69">
        <v>9.494E8</v>
      </c>
      <c r="J703" s="70">
        <f t="shared" si="11"/>
        <v>0.3507215083</v>
      </c>
    </row>
    <row r="704" ht="22.5" customHeight="1" outlineLevel="2">
      <c r="A704" s="66" t="s">
        <v>1600</v>
      </c>
      <c r="B704" s="67" t="s">
        <v>1601</v>
      </c>
      <c r="C704" s="67" t="s">
        <v>1602</v>
      </c>
      <c r="D704" s="68">
        <v>45259.0</v>
      </c>
      <c r="E704" s="68">
        <v>45260.0</v>
      </c>
      <c r="F704" s="69">
        <v>1.99E8</v>
      </c>
      <c r="G704" s="69">
        <v>1.99E8</v>
      </c>
      <c r="H704" s="69">
        <v>4.173616730000001E7</v>
      </c>
      <c r="I704" s="69">
        <v>1.99E8</v>
      </c>
      <c r="J704" s="70">
        <f t="shared" si="11"/>
        <v>0.2097294839</v>
      </c>
    </row>
    <row r="705" ht="22.5" customHeight="1" outlineLevel="2">
      <c r="A705" s="66" t="s">
        <v>1603</v>
      </c>
      <c r="B705" s="67" t="s">
        <v>1604</v>
      </c>
      <c r="C705" s="67" t="s">
        <v>1605</v>
      </c>
      <c r="D705" s="68">
        <v>45265.0</v>
      </c>
      <c r="E705" s="68">
        <v>45273.0</v>
      </c>
      <c r="F705" s="69">
        <v>1.54148E8</v>
      </c>
      <c r="G705" s="69">
        <v>1.54148E8</v>
      </c>
      <c r="H705" s="69">
        <v>2.406416E7</v>
      </c>
      <c r="I705" s="69"/>
      <c r="J705" s="70">
        <f t="shared" si="11"/>
        <v>0.1561107507</v>
      </c>
    </row>
    <row r="706" ht="22.5" customHeight="1" outlineLevel="2">
      <c r="A706" s="66" t="s">
        <v>1606</v>
      </c>
      <c r="B706" s="67" t="s">
        <v>1607</v>
      </c>
      <c r="C706" s="67" t="s">
        <v>1608</v>
      </c>
      <c r="D706" s="68">
        <v>45272.0</v>
      </c>
      <c r="E706" s="68">
        <v>45285.0</v>
      </c>
      <c r="F706" s="69">
        <v>3.3E8</v>
      </c>
      <c r="G706" s="69">
        <v>3.0E8</v>
      </c>
      <c r="H706" s="69">
        <v>8.7348312E7</v>
      </c>
      <c r="I706" s="69"/>
      <c r="J706" s="70">
        <f t="shared" si="11"/>
        <v>0.29116104</v>
      </c>
    </row>
    <row r="707" ht="22.5" customHeight="1" outlineLevel="2">
      <c r="A707" s="66" t="s">
        <v>1585</v>
      </c>
      <c r="B707" s="67" t="s">
        <v>1586</v>
      </c>
      <c r="C707" s="67" t="s">
        <v>1587</v>
      </c>
      <c r="D707" s="68"/>
      <c r="E707" s="68"/>
      <c r="F707" s="69">
        <v>7.9606625E8</v>
      </c>
      <c r="G707" s="69"/>
      <c r="H707" s="69">
        <v>1.5921325E8</v>
      </c>
      <c r="I707" s="69">
        <v>1.5921325E8</v>
      </c>
      <c r="J707" s="70" t="str">
        <f t="shared" si="11"/>
        <v>#DIV/0!</v>
      </c>
    </row>
    <row r="708" ht="22.5" customHeight="1" outlineLevel="1">
      <c r="A708" s="63" t="s">
        <v>1609</v>
      </c>
      <c r="F708" s="64">
        <f t="shared" ref="F708:I708" si="12">sum(F709:F719)</f>
        <v>623345153</v>
      </c>
      <c r="G708" s="64">
        <f t="shared" si="12"/>
        <v>509305677</v>
      </c>
      <c r="H708" s="64">
        <f t="shared" si="12"/>
        <v>223371501.3</v>
      </c>
      <c r="I708" s="64">
        <f t="shared" si="12"/>
        <v>202360878</v>
      </c>
      <c r="J708" s="65"/>
    </row>
    <row r="709" ht="22.5" customHeight="1" outlineLevel="2">
      <c r="A709" s="66" t="s">
        <v>1610</v>
      </c>
      <c r="B709" s="67" t="s">
        <v>1611</v>
      </c>
      <c r="C709" s="67" t="s">
        <v>1612</v>
      </c>
      <c r="D709" s="68">
        <v>44994.0</v>
      </c>
      <c r="E709" s="68">
        <v>45289.0</v>
      </c>
      <c r="F709" s="69">
        <v>3.28763733E8</v>
      </c>
      <c r="G709" s="69">
        <v>2.73463364E8</v>
      </c>
      <c r="H709" s="69">
        <v>9.04033638E7</v>
      </c>
      <c r="I709" s="69"/>
      <c r="J709" s="70">
        <f t="shared" ref="J709:J719" si="13">H709/G709</f>
        <v>0.3305867465</v>
      </c>
    </row>
    <row r="710" ht="22.5" customHeight="1" outlineLevel="2">
      <c r="A710" s="66" t="s">
        <v>1613</v>
      </c>
      <c r="B710" s="67" t="s">
        <v>1614</v>
      </c>
      <c r="C710" s="67" t="s">
        <v>1615</v>
      </c>
      <c r="D710" s="68"/>
      <c r="E710" s="68">
        <v>45149.0</v>
      </c>
      <c r="F710" s="69">
        <v>2160000.0</v>
      </c>
      <c r="G710" s="69">
        <v>2000000.0</v>
      </c>
      <c r="H710" s="69">
        <v>2000000.0</v>
      </c>
      <c r="I710" s="69">
        <v>2160000.0</v>
      </c>
      <c r="J710" s="70">
        <f t="shared" si="13"/>
        <v>1</v>
      </c>
    </row>
    <row r="711" ht="22.5" customHeight="1" outlineLevel="2">
      <c r="A711" s="66" t="s">
        <v>1616</v>
      </c>
      <c r="B711" s="67"/>
      <c r="C711" s="67" t="s">
        <v>1617</v>
      </c>
      <c r="D711" s="68"/>
      <c r="E711" s="68">
        <v>45273.0</v>
      </c>
      <c r="F711" s="69">
        <v>1.08E7</v>
      </c>
      <c r="G711" s="69">
        <v>1.0E7</v>
      </c>
      <c r="H711" s="69">
        <v>6550000.0</v>
      </c>
      <c r="I711" s="69">
        <v>1.08E7</v>
      </c>
      <c r="J711" s="70">
        <f t="shared" si="13"/>
        <v>0.655</v>
      </c>
    </row>
    <row r="712" ht="22.5" customHeight="1" outlineLevel="2">
      <c r="A712" s="66" t="s">
        <v>1618</v>
      </c>
      <c r="B712" s="67" t="s">
        <v>1619</v>
      </c>
      <c r="C712" s="67" t="s">
        <v>1617</v>
      </c>
      <c r="D712" s="68"/>
      <c r="E712" s="68">
        <v>45273.0</v>
      </c>
      <c r="F712" s="69">
        <v>1.5228E7</v>
      </c>
      <c r="G712" s="69">
        <v>1.41E7</v>
      </c>
      <c r="H712" s="69">
        <v>9235500.0</v>
      </c>
      <c r="I712" s="69"/>
      <c r="J712" s="70">
        <f t="shared" si="13"/>
        <v>0.655</v>
      </c>
    </row>
    <row r="713" ht="22.5" customHeight="1" outlineLevel="2">
      <c r="A713" s="66" t="s">
        <v>1620</v>
      </c>
      <c r="B713" s="67" t="s">
        <v>1621</v>
      </c>
      <c r="C713" s="67" t="s">
        <v>1622</v>
      </c>
      <c r="D713" s="68">
        <v>45167.0</v>
      </c>
      <c r="E713" s="68">
        <v>45289.0</v>
      </c>
      <c r="F713" s="69">
        <v>1.1265E7</v>
      </c>
      <c r="G713" s="69">
        <v>1.0430556E7</v>
      </c>
      <c r="H713" s="69">
        <v>6831056.0</v>
      </c>
      <c r="I713" s="69"/>
      <c r="J713" s="70">
        <f t="shared" si="13"/>
        <v>0.6549081372</v>
      </c>
    </row>
    <row r="714" ht="22.5" customHeight="1" outlineLevel="2">
      <c r="A714" s="66" t="s">
        <v>1623</v>
      </c>
      <c r="B714" s="67" t="s">
        <v>1624</v>
      </c>
      <c r="C714" s="67" t="s">
        <v>1622</v>
      </c>
      <c r="D714" s="68">
        <v>45210.0</v>
      </c>
      <c r="E714" s="68">
        <v>45289.0</v>
      </c>
      <c r="F714" s="69">
        <v>7129000.0</v>
      </c>
      <c r="G714" s="69">
        <v>6610185.0</v>
      </c>
      <c r="H714" s="69">
        <v>4627129.5</v>
      </c>
      <c r="I714" s="69"/>
      <c r="J714" s="70">
        <f t="shared" si="13"/>
        <v>0.7</v>
      </c>
    </row>
    <row r="715" ht="22.5" customHeight="1" outlineLevel="2">
      <c r="A715" s="66" t="s">
        <v>1625</v>
      </c>
      <c r="B715" s="67" t="s">
        <v>1614</v>
      </c>
      <c r="C715" s="67" t="s">
        <v>1626</v>
      </c>
      <c r="D715" s="68">
        <v>45229.0</v>
      </c>
      <c r="E715" s="68">
        <v>45287.0</v>
      </c>
      <c r="F715" s="69">
        <v>2.03839E8</v>
      </c>
      <c r="G715" s="69">
        <v>1.65701183E8</v>
      </c>
      <c r="H715" s="69">
        <v>7.6546174E7</v>
      </c>
      <c r="I715" s="69">
        <v>1.78957278E8</v>
      </c>
      <c r="J715" s="70">
        <f t="shared" si="13"/>
        <v>0.461953093</v>
      </c>
    </row>
    <row r="716" ht="22.5" customHeight="1" outlineLevel="2">
      <c r="A716" s="66" t="s">
        <v>1627</v>
      </c>
      <c r="B716" s="67"/>
      <c r="C716" s="67" t="s">
        <v>1628</v>
      </c>
      <c r="D716" s="68">
        <v>45239.0</v>
      </c>
      <c r="E716" s="68"/>
      <c r="F716" s="69">
        <v>1.5E7</v>
      </c>
      <c r="G716" s="69"/>
      <c r="H716" s="69">
        <v>9058889.0</v>
      </c>
      <c r="I716" s="69"/>
      <c r="J716" s="70" t="str">
        <f t="shared" si="13"/>
        <v>#DIV/0!</v>
      </c>
    </row>
    <row r="717" ht="22.5" customHeight="1" outlineLevel="2">
      <c r="A717" s="66" t="s">
        <v>1629</v>
      </c>
      <c r="B717" s="67" t="s">
        <v>1614</v>
      </c>
      <c r="C717" s="67" t="s">
        <v>1630</v>
      </c>
      <c r="D717" s="68">
        <v>45239.0</v>
      </c>
      <c r="E717" s="68">
        <v>45288.0</v>
      </c>
      <c r="F717" s="69">
        <v>1.871682E7</v>
      </c>
      <c r="G717" s="69">
        <v>1.7330389E7</v>
      </c>
      <c r="H717" s="69">
        <v>1.1350389E7</v>
      </c>
      <c r="I717" s="69"/>
      <c r="J717" s="70">
        <f t="shared" si="13"/>
        <v>0.6549413865</v>
      </c>
    </row>
    <row r="718" ht="22.5" customHeight="1" outlineLevel="2">
      <c r="A718" s="66" t="s">
        <v>1631</v>
      </c>
      <c r="B718" s="67" t="s">
        <v>1632</v>
      </c>
      <c r="C718" s="67" t="s">
        <v>1633</v>
      </c>
      <c r="D718" s="68"/>
      <c r="E718" s="68">
        <v>45286.0</v>
      </c>
      <c r="F718" s="69">
        <v>4278960.0</v>
      </c>
      <c r="G718" s="69">
        <v>3962000.0</v>
      </c>
      <c r="H718" s="69">
        <v>2773400.0</v>
      </c>
      <c r="I718" s="69">
        <v>4278960.0</v>
      </c>
      <c r="J718" s="70">
        <f t="shared" si="13"/>
        <v>0.7</v>
      </c>
    </row>
    <row r="719" ht="22.5" customHeight="1" outlineLevel="2">
      <c r="A719" s="66" t="s">
        <v>1634</v>
      </c>
      <c r="B719" s="67" t="s">
        <v>1635</v>
      </c>
      <c r="C719" s="67" t="s">
        <v>1633</v>
      </c>
      <c r="D719" s="68"/>
      <c r="E719" s="68">
        <v>45286.0</v>
      </c>
      <c r="F719" s="69">
        <v>6164640.0</v>
      </c>
      <c r="G719" s="69">
        <v>5708000.0</v>
      </c>
      <c r="H719" s="69">
        <v>3995599.9999999995</v>
      </c>
      <c r="I719" s="69">
        <v>6164640.0</v>
      </c>
      <c r="J719" s="70">
        <f t="shared" si="13"/>
        <v>0.7</v>
      </c>
    </row>
    <row r="720" ht="22.5" customHeight="1" outlineLevel="1">
      <c r="A720" s="63" t="s">
        <v>1611</v>
      </c>
      <c r="F720" s="64"/>
      <c r="G720" s="64"/>
      <c r="H720" s="64"/>
      <c r="I720" s="64"/>
      <c r="J720" s="65"/>
    </row>
    <row r="721" ht="22.5" customHeight="1" outlineLevel="1">
      <c r="A721" s="63" t="s">
        <v>1636</v>
      </c>
      <c r="F721" s="64">
        <f t="shared" ref="F721:I721" si="14">sum(F722:F734)</f>
        <v>980820000</v>
      </c>
      <c r="G721" s="64">
        <f t="shared" si="14"/>
        <v>802300000</v>
      </c>
      <c r="H721" s="64">
        <f t="shared" si="14"/>
        <v>368064276.3</v>
      </c>
      <c r="I721" s="64">
        <f t="shared" si="14"/>
        <v>720000000</v>
      </c>
      <c r="J721" s="65"/>
    </row>
    <row r="722" ht="22.5" customHeight="1" outlineLevel="2">
      <c r="A722" s="66" t="s">
        <v>1637</v>
      </c>
      <c r="B722" s="67" t="s">
        <v>1638</v>
      </c>
      <c r="C722" s="67" t="s">
        <v>1639</v>
      </c>
      <c r="D722" s="68">
        <v>44970.0</v>
      </c>
      <c r="E722" s="68">
        <v>45100.0</v>
      </c>
      <c r="F722" s="69">
        <v>3.04E8</v>
      </c>
      <c r="G722" s="69">
        <v>3.04E8</v>
      </c>
      <c r="H722" s="69">
        <v>1.4307824866666666E8</v>
      </c>
      <c r="I722" s="69">
        <v>3.04E8</v>
      </c>
      <c r="J722" s="70">
        <f t="shared" ref="J722:J734" si="15">H722/G722</f>
        <v>0.4706521338</v>
      </c>
    </row>
    <row r="723" ht="22.5" customHeight="1" outlineLevel="2">
      <c r="A723" s="66" t="s">
        <v>1640</v>
      </c>
      <c r="B723" s="67" t="s">
        <v>1641</v>
      </c>
      <c r="C723" s="67" t="s">
        <v>1642</v>
      </c>
      <c r="D723" s="68">
        <v>44980.0</v>
      </c>
      <c r="E723" s="68">
        <v>45028.0</v>
      </c>
      <c r="F723" s="69">
        <v>4000000.0</v>
      </c>
      <c r="G723" s="69">
        <v>4000000.0</v>
      </c>
      <c r="H723" s="69">
        <v>1775000.0</v>
      </c>
      <c r="I723" s="69">
        <v>4000000.0</v>
      </c>
      <c r="J723" s="70">
        <f t="shared" si="15"/>
        <v>0.44375</v>
      </c>
    </row>
    <row r="724" ht="22.5" customHeight="1" outlineLevel="2">
      <c r="A724" s="66" t="s">
        <v>1643</v>
      </c>
      <c r="B724" s="67" t="s">
        <v>1644</v>
      </c>
      <c r="C724" s="67" t="s">
        <v>1645</v>
      </c>
      <c r="D724" s="68">
        <v>44998.0</v>
      </c>
      <c r="E724" s="68"/>
      <c r="F724" s="69">
        <v>5300000.0</v>
      </c>
      <c r="G724" s="69"/>
      <c r="H724" s="69"/>
      <c r="I724" s="69"/>
      <c r="J724" s="70" t="str">
        <f t="shared" si="15"/>
        <v>#DIV/0!</v>
      </c>
    </row>
    <row r="725" ht="22.5" customHeight="1" outlineLevel="2">
      <c r="A725" s="66" t="s">
        <v>1646</v>
      </c>
      <c r="B725" s="67" t="s">
        <v>1647</v>
      </c>
      <c r="C725" s="67" t="s">
        <v>1648</v>
      </c>
      <c r="D725" s="68">
        <v>45023.0</v>
      </c>
      <c r="E725" s="68">
        <v>45055.0</v>
      </c>
      <c r="F725" s="69">
        <v>3.65E7</v>
      </c>
      <c r="G725" s="69">
        <v>3.65E7</v>
      </c>
      <c r="H725" s="69">
        <v>1.0001921111111116E7</v>
      </c>
      <c r="I725" s="69">
        <v>3.65E7</v>
      </c>
      <c r="J725" s="70">
        <f t="shared" si="15"/>
        <v>0.2740252359</v>
      </c>
    </row>
    <row r="726" ht="22.5" customHeight="1" outlineLevel="2">
      <c r="A726" s="66" t="s">
        <v>1649</v>
      </c>
      <c r="B726" s="67" t="s">
        <v>1647</v>
      </c>
      <c r="C726" s="67" t="s">
        <v>1650</v>
      </c>
      <c r="D726" s="68">
        <v>45062.0</v>
      </c>
      <c r="E726" s="68">
        <v>45289.0</v>
      </c>
      <c r="F726" s="69">
        <v>3.8E7</v>
      </c>
      <c r="G726" s="69">
        <v>3.8E7</v>
      </c>
      <c r="H726" s="69">
        <v>1.1900911722222228E7</v>
      </c>
      <c r="I726" s="69">
        <v>1.9E7</v>
      </c>
      <c r="J726" s="70">
        <f t="shared" si="15"/>
        <v>0.3131818874</v>
      </c>
    </row>
    <row r="727" ht="22.5" customHeight="1" outlineLevel="2">
      <c r="A727" s="66" t="s">
        <v>1651</v>
      </c>
      <c r="B727" s="67" t="s">
        <v>1652</v>
      </c>
      <c r="C727" s="67" t="s">
        <v>1653</v>
      </c>
      <c r="D727" s="68">
        <v>45076.0</v>
      </c>
      <c r="E727" s="68">
        <v>45161.0</v>
      </c>
      <c r="F727" s="69">
        <v>8.7E7</v>
      </c>
      <c r="G727" s="69">
        <v>8.7E7</v>
      </c>
      <c r="H727" s="69">
        <v>4.145197888888889E7</v>
      </c>
      <c r="I727" s="69">
        <v>4.35E7</v>
      </c>
      <c r="J727" s="70">
        <f t="shared" si="15"/>
        <v>0.4764595275</v>
      </c>
    </row>
    <row r="728" ht="22.5" customHeight="1" outlineLevel="2">
      <c r="A728" s="66" t="s">
        <v>1654</v>
      </c>
      <c r="B728" s="67" t="s">
        <v>1655</v>
      </c>
      <c r="C728" s="67" t="s">
        <v>1656</v>
      </c>
      <c r="D728" s="68">
        <v>45128.0</v>
      </c>
      <c r="E728" s="68">
        <v>45152.0</v>
      </c>
      <c r="F728" s="69">
        <v>1.35E7</v>
      </c>
      <c r="G728" s="69">
        <v>1.35E7</v>
      </c>
      <c r="H728" s="69">
        <v>4195406.222222222</v>
      </c>
      <c r="I728" s="69">
        <v>1.35E7</v>
      </c>
      <c r="J728" s="70">
        <f t="shared" si="15"/>
        <v>0.3107708313</v>
      </c>
    </row>
    <row r="729" ht="22.5" customHeight="1" outlineLevel="2">
      <c r="A729" s="66" t="s">
        <v>1657</v>
      </c>
      <c r="B729" s="67" t="s">
        <v>1658</v>
      </c>
      <c r="C729" s="67" t="s">
        <v>1659</v>
      </c>
      <c r="D729" s="68">
        <v>45131.0</v>
      </c>
      <c r="E729" s="68">
        <v>45266.0</v>
      </c>
      <c r="F729" s="69">
        <v>1.8E7</v>
      </c>
      <c r="G729" s="69">
        <v>1.8E7</v>
      </c>
      <c r="H729" s="69">
        <v>1.5E7</v>
      </c>
      <c r="I729" s="69">
        <v>9000000.0</v>
      </c>
      <c r="J729" s="70">
        <f t="shared" si="15"/>
        <v>0.8333333333</v>
      </c>
    </row>
    <row r="730" ht="22.5" customHeight="1" outlineLevel="2">
      <c r="A730" s="66" t="s">
        <v>1660</v>
      </c>
      <c r="B730" s="67" t="s">
        <v>1661</v>
      </c>
      <c r="C730" s="67" t="s">
        <v>1662</v>
      </c>
      <c r="D730" s="68">
        <v>45138.0</v>
      </c>
      <c r="E730" s="68">
        <v>45271.0</v>
      </c>
      <c r="F730" s="69">
        <v>1.085E8</v>
      </c>
      <c r="G730" s="69">
        <v>1.085E8</v>
      </c>
      <c r="H730" s="69">
        <v>2.728948333333333E7</v>
      </c>
      <c r="I730" s="69">
        <v>1.085E8</v>
      </c>
      <c r="J730" s="70">
        <f t="shared" si="15"/>
        <v>0.2515159754</v>
      </c>
    </row>
    <row r="731" ht="22.5" customHeight="1" outlineLevel="2">
      <c r="A731" s="66" t="s">
        <v>1663</v>
      </c>
      <c r="B731" s="67" t="s">
        <v>1664</v>
      </c>
      <c r="C731" s="67" t="s">
        <v>1665</v>
      </c>
      <c r="D731" s="68">
        <v>45147.0</v>
      </c>
      <c r="E731" s="68">
        <v>45167.0</v>
      </c>
      <c r="F731" s="69">
        <v>1.08E7</v>
      </c>
      <c r="G731" s="69">
        <v>1.08E7</v>
      </c>
      <c r="H731" s="69">
        <v>7800000.0</v>
      </c>
      <c r="I731" s="69"/>
      <c r="J731" s="70">
        <f t="shared" si="15"/>
        <v>0.7222222222</v>
      </c>
    </row>
    <row r="732" ht="22.5" customHeight="1" outlineLevel="2">
      <c r="A732" s="66" t="s">
        <v>1666</v>
      </c>
      <c r="B732" s="67" t="s">
        <v>1647</v>
      </c>
      <c r="C732" s="67" t="s">
        <v>1667</v>
      </c>
      <c r="D732" s="68">
        <v>45148.0</v>
      </c>
      <c r="E732" s="68">
        <v>45289.0</v>
      </c>
      <c r="F732" s="69">
        <v>3.5E7</v>
      </c>
      <c r="G732" s="69">
        <v>3.5E7</v>
      </c>
      <c r="H732" s="69">
        <v>8774400.000000004</v>
      </c>
      <c r="I732" s="69">
        <v>3.5E7</v>
      </c>
      <c r="J732" s="70">
        <f t="shared" si="15"/>
        <v>0.2506971429</v>
      </c>
    </row>
    <row r="733" ht="22.5" customHeight="1" outlineLevel="2">
      <c r="A733" s="66" t="s">
        <v>1668</v>
      </c>
      <c r="B733" s="67" t="s">
        <v>1669</v>
      </c>
      <c r="C733" s="67" t="s">
        <v>1670</v>
      </c>
      <c r="D733" s="68">
        <v>45196.0</v>
      </c>
      <c r="E733" s="68"/>
      <c r="F733" s="69">
        <v>6.0E7</v>
      </c>
      <c r="G733" s="69"/>
      <c r="H733" s="69">
        <v>1.17450375E7</v>
      </c>
      <c r="I733" s="69"/>
      <c r="J733" s="70" t="str">
        <f t="shared" si="15"/>
        <v>#DIV/0!</v>
      </c>
    </row>
    <row r="734" ht="22.5" customHeight="1" outlineLevel="2">
      <c r="A734" s="66" t="s">
        <v>1671</v>
      </c>
      <c r="B734" s="67" t="s">
        <v>1672</v>
      </c>
      <c r="C734" s="67" t="s">
        <v>1673</v>
      </c>
      <c r="D734" s="68">
        <v>45245.0</v>
      </c>
      <c r="E734" s="68">
        <v>45289.0</v>
      </c>
      <c r="F734" s="69">
        <v>2.6022E8</v>
      </c>
      <c r="G734" s="69">
        <v>1.47E8</v>
      </c>
      <c r="H734" s="69">
        <v>8.50518888888889E7</v>
      </c>
      <c r="I734" s="69">
        <v>1.47E8</v>
      </c>
      <c r="J734" s="70">
        <f t="shared" si="15"/>
        <v>0.5785842782</v>
      </c>
    </row>
    <row r="735" ht="22.5" customHeight="1" outlineLevel="1">
      <c r="A735" s="63" t="s">
        <v>1674</v>
      </c>
      <c r="F735" s="64"/>
      <c r="G735" s="64"/>
      <c r="H735" s="64"/>
      <c r="I735" s="64"/>
      <c r="J735" s="65"/>
    </row>
    <row r="736" ht="22.5" customHeight="1" outlineLevel="1">
      <c r="A736" s="66"/>
      <c r="B736" s="67"/>
      <c r="C736" s="67"/>
      <c r="D736" s="68"/>
      <c r="E736" s="68"/>
      <c r="F736" s="69"/>
      <c r="G736" s="69"/>
      <c r="H736" s="69"/>
      <c r="I736" s="69"/>
      <c r="J736" s="70"/>
    </row>
  </sheetData>
  <mergeCells count="15">
    <mergeCell ref="A80:E80"/>
    <mergeCell ref="A113:E113"/>
    <mergeCell ref="A356:E356"/>
    <mergeCell ref="A676:E676"/>
    <mergeCell ref="A708:E708"/>
    <mergeCell ref="A720:E720"/>
    <mergeCell ref="A721:E721"/>
    <mergeCell ref="A735:E735"/>
    <mergeCell ref="A1:A3"/>
    <mergeCell ref="B1:B3"/>
    <mergeCell ref="C1:C3"/>
    <mergeCell ref="D1:D3"/>
    <mergeCell ref="E1:E3"/>
    <mergeCell ref="J1:J3"/>
    <mergeCell ref="A4:E4"/>
  </mergeCells>
  <hyperlinks>
    <hyperlink r:id="rId1" location="gid=0&amp;range=A10" ref="A5"/>
    <hyperlink r:id="rId2" location="gid=0&amp;range=A11" ref="A6"/>
    <hyperlink r:id="rId3" location="gid=0&amp;range=A13" ref="A7"/>
    <hyperlink r:id="rId4" location="gid=0&amp;range=A14" ref="A8"/>
    <hyperlink r:id="rId5" location="gid=0&amp;range=A16" ref="A9"/>
    <hyperlink r:id="rId6" location="gid=0&amp;range=A17" ref="A10"/>
    <hyperlink r:id="rId7" location="gid=0&amp;range=A18" ref="A11"/>
    <hyperlink r:id="rId8" location="gid=0&amp;range=A19" ref="A12"/>
    <hyperlink r:id="rId9" location="gid=0&amp;range=A20" ref="A13"/>
    <hyperlink r:id="rId10" location="gid=0&amp;range=A21" ref="A14"/>
    <hyperlink r:id="rId11" location="gid=0&amp;range=A24" ref="A15"/>
    <hyperlink r:id="rId12" location="gid=0&amp;range=A25" ref="A16"/>
    <hyperlink r:id="rId13" location="gid=0&amp;range=A26" ref="A17"/>
    <hyperlink r:id="rId14" location="gid=0&amp;range=A27" ref="A18"/>
    <hyperlink r:id="rId15" location="gid=0&amp;range=A28" ref="A19"/>
    <hyperlink r:id="rId16" location="gid=0&amp;range=A29" ref="A20"/>
    <hyperlink r:id="rId17" location="gid=0&amp;range=A30" ref="A21"/>
    <hyperlink r:id="rId18" location="gid=0&amp;range=A31" ref="A22"/>
    <hyperlink r:id="rId19" location="gid=0&amp;range=A32" ref="A23"/>
    <hyperlink r:id="rId20" location="gid=0&amp;range=A33" ref="A24"/>
    <hyperlink r:id="rId21" location="gid=0&amp;range=A34" ref="A25"/>
    <hyperlink r:id="rId22" location="gid=0&amp;range=A35" ref="A26"/>
    <hyperlink r:id="rId23" location="gid=0&amp;range=A37" ref="A27"/>
    <hyperlink r:id="rId24" location="gid=0&amp;range=A38" ref="A28"/>
    <hyperlink r:id="rId25" location="gid=0&amp;range=A41" ref="A29"/>
    <hyperlink r:id="rId26" location="gid=0&amp;range=A42" ref="A30"/>
    <hyperlink r:id="rId27" location="gid=0&amp;range=A43" ref="A31"/>
    <hyperlink r:id="rId28" location="gid=0&amp;range=A44" ref="A32"/>
    <hyperlink r:id="rId29" location="gid=0&amp;range=A45" ref="A33"/>
    <hyperlink r:id="rId30" location="gid=0&amp;range=A46" ref="A34"/>
    <hyperlink r:id="rId31" location="gid=0&amp;range=A47" ref="A35"/>
    <hyperlink r:id="rId32" location="gid=0&amp;range=A49" ref="A36"/>
    <hyperlink r:id="rId33" location="gid=0&amp;range=A50" ref="A37"/>
    <hyperlink r:id="rId34" location="gid=0&amp;range=A51" ref="A38"/>
    <hyperlink r:id="rId35" location="gid=0&amp;range=A52" ref="A39"/>
    <hyperlink r:id="rId36" location="gid=0&amp;range=A54" ref="A40"/>
    <hyperlink r:id="rId37" location="gid=0&amp;range=A55" ref="A41"/>
    <hyperlink r:id="rId38" location="gid=0&amp;range=A56" ref="A42"/>
    <hyperlink r:id="rId39" location="gid=0&amp;range=A57" ref="A43"/>
    <hyperlink r:id="rId40" location="gid=0&amp;range=A58" ref="A44"/>
    <hyperlink r:id="rId41" location="gid=0&amp;range=A60" ref="A45"/>
    <hyperlink r:id="rId42" location="gid=0&amp;range=A61" ref="A46"/>
    <hyperlink r:id="rId43" location="gid=0&amp;range=A62" ref="A47"/>
    <hyperlink r:id="rId44" location="gid=0&amp;range=A63" ref="A48"/>
    <hyperlink r:id="rId45" location="gid=0&amp;range=A65" ref="A49"/>
    <hyperlink r:id="rId46" location="gid=0&amp;range=A66" ref="A50"/>
    <hyperlink r:id="rId47" location="gid=0&amp;range=A67" ref="A51"/>
    <hyperlink r:id="rId48" location="gid=0&amp;range=A68" ref="A52"/>
    <hyperlink r:id="rId49" location="gid=0&amp;range=A69" ref="A53"/>
    <hyperlink r:id="rId50" location="gid=0&amp;range=A71" ref="A54"/>
    <hyperlink r:id="rId51" location="gid=0&amp;range=A72" ref="A55"/>
    <hyperlink r:id="rId52" location="gid=0&amp;range=A73" ref="A56"/>
    <hyperlink r:id="rId53" location="gid=0&amp;range=A75" ref="A57"/>
    <hyperlink r:id="rId54" location="gid=0&amp;range=A76" ref="A58"/>
    <hyperlink r:id="rId55" location="gid=0&amp;range=A77" ref="A59"/>
    <hyperlink r:id="rId56" location="gid=0&amp;range=A78" ref="A60"/>
    <hyperlink r:id="rId57" location="gid=0&amp;range=A79" ref="A61"/>
    <hyperlink r:id="rId58" location="gid=0&amp;range=A80" ref="A62"/>
    <hyperlink r:id="rId59" location="gid=0&amp;range=A82" ref="A63"/>
    <hyperlink r:id="rId60" location="gid=0&amp;range=A83" ref="A64"/>
    <hyperlink r:id="rId61" location="gid=0&amp;range=A84" ref="A65"/>
    <hyperlink r:id="rId62" location="gid=0&amp;range=A85" ref="A66"/>
    <hyperlink r:id="rId63" location="gid=0&amp;range=A87" ref="A67"/>
    <hyperlink r:id="rId64" location="gid=0&amp;range=A88" ref="A68"/>
    <hyperlink r:id="rId65" location="gid=0&amp;range=A90" ref="A69"/>
    <hyperlink r:id="rId66" location="gid=0&amp;range=A91" ref="A70"/>
    <hyperlink r:id="rId67" location="gid=0&amp;range=A92" ref="A71"/>
    <hyperlink r:id="rId68" location="gid=0&amp;range=A93" ref="A72"/>
    <hyperlink r:id="rId69" location="gid=0&amp;range=A94" ref="A73"/>
    <hyperlink r:id="rId70" location="gid=0&amp;range=A95" ref="A74"/>
    <hyperlink r:id="rId71" location="gid=0&amp;range=A96" ref="A75"/>
    <hyperlink r:id="rId72" location="gid=0&amp;range=A97" ref="A76"/>
    <hyperlink r:id="rId73" location="gid=0&amp;range=A98" ref="A77"/>
    <hyperlink r:id="rId74" location="gid=0&amp;range=A99" ref="A78"/>
    <hyperlink r:id="rId75" location="gid=0&amp;range=A100" ref="A79"/>
    <hyperlink r:id="rId76" location="gid=2074483897&amp;range=A10" ref="A81"/>
    <hyperlink r:id="rId77" location="gid=2074483897&amp;range=A12" ref="A82"/>
    <hyperlink r:id="rId78" location="gid=2074483897&amp;range=A14" ref="A83"/>
    <hyperlink r:id="rId79" location="gid=2074483897&amp;range=A15" ref="A84"/>
    <hyperlink r:id="rId80" location="gid=2074483897&amp;range=A16" ref="A85"/>
    <hyperlink r:id="rId81" location="gid=2074483897&amp;range=A17" ref="A86"/>
    <hyperlink r:id="rId82" location="gid=2074483897&amp;range=A18" ref="A87"/>
    <hyperlink r:id="rId83" location="gid=2074483897&amp;range=A20" ref="A88"/>
    <hyperlink r:id="rId84" location="gid=2074483897&amp;range=A21" ref="A89"/>
    <hyperlink r:id="rId85" location="gid=2074483897&amp;range=A23" ref="A90"/>
    <hyperlink r:id="rId86" location="gid=2074483897&amp;range=A24" ref="A91"/>
    <hyperlink r:id="rId87" location="gid=2074483897&amp;range=A25" ref="A92"/>
    <hyperlink r:id="rId88" location="gid=2074483897&amp;range=A26" ref="A93"/>
    <hyperlink r:id="rId89" location="gid=2074483897&amp;range=A27" ref="A94"/>
    <hyperlink r:id="rId90" location="gid=2074483897&amp;range=A29" ref="A95"/>
    <hyperlink r:id="rId91" location="gid=2074483897&amp;range=A31" ref="A96"/>
    <hyperlink r:id="rId92" location="gid=2074483897&amp;range=A32" ref="A97"/>
    <hyperlink r:id="rId93" location="gid=2074483897&amp;range=A33" ref="A98"/>
    <hyperlink r:id="rId94" location="gid=2074483897&amp;range=A34" ref="A99"/>
    <hyperlink r:id="rId95" location="gid=2074483897&amp;range=A35" ref="A100"/>
    <hyperlink r:id="rId96" location="gid=2074483897&amp;range=A37" ref="A101"/>
    <hyperlink r:id="rId97" location="gid=2074483897&amp;range=A38" ref="A102"/>
    <hyperlink r:id="rId98" location="gid=2074483897&amp;range=A39" ref="A103"/>
    <hyperlink r:id="rId99" location="gid=2074483897&amp;range=A41" ref="A104"/>
    <hyperlink r:id="rId100" location="gid=2074483897&amp;range=A43" ref="A105"/>
    <hyperlink r:id="rId101" location="gid=2074483897&amp;range=A45" ref="A106"/>
    <hyperlink r:id="rId102" location="gid=2074483897&amp;range=A46" ref="A107"/>
    <hyperlink r:id="rId103" location="gid=2074483897&amp;range=A47" ref="A108"/>
    <hyperlink r:id="rId104" location="gid=2074483897&amp;range=A48" ref="A109"/>
    <hyperlink r:id="rId105" location="gid=2074483897&amp;range=A50" ref="A110"/>
    <hyperlink r:id="rId106" location="gid=2074483897&amp;range=A51" ref="A111"/>
    <hyperlink r:id="rId107" location="gid=2074483897&amp;range=A52" ref="A112"/>
    <hyperlink r:id="rId108" location="gid=663001998&amp;range=A12" ref="A114"/>
    <hyperlink r:id="rId109" location="gid=663001998&amp;range=A14" ref="A115"/>
    <hyperlink r:id="rId110" location="gid=663001998&amp;range=A17" ref="A116"/>
    <hyperlink r:id="rId111" location="gid=663001998&amp;range=A19" ref="A117"/>
    <hyperlink r:id="rId112" location="gid=663001998&amp;range=A20" ref="A118"/>
    <hyperlink r:id="rId113" location="gid=663001998&amp;range=A21" ref="A119"/>
    <hyperlink r:id="rId114" location="gid=663001998&amp;range=A22" ref="A120"/>
    <hyperlink r:id="rId115" location="gid=663001998&amp;range=A23" ref="A121"/>
    <hyperlink r:id="rId116" location="gid=663001998&amp;range=A25" ref="A122"/>
    <hyperlink r:id="rId117" location="gid=663001998&amp;range=A29" ref="A123"/>
    <hyperlink r:id="rId118" location="gid=663001998&amp;range=A31" ref="A124"/>
    <hyperlink r:id="rId119" location="gid=663001998&amp;range=A33" ref="A125"/>
    <hyperlink r:id="rId120" location="gid=663001998&amp;range=A35" ref="A126"/>
    <hyperlink r:id="rId121" location="gid=663001998&amp;range=A36" ref="A127"/>
    <hyperlink r:id="rId122" location="gid=663001998&amp;range=A37" ref="A128"/>
    <hyperlink r:id="rId123" location="gid=663001998&amp;range=A39" ref="A129"/>
    <hyperlink r:id="rId124" location="gid=663001998&amp;range=A40" ref="A130"/>
    <hyperlink r:id="rId125" location="gid=663001998&amp;range=A41" ref="A131"/>
    <hyperlink r:id="rId126" location="gid=663001998&amp;range=A42" ref="A132"/>
    <hyperlink r:id="rId127" location="gid=663001998&amp;range=A43" ref="A133"/>
    <hyperlink r:id="rId128" location="gid=663001998&amp;range=A44" ref="A134"/>
    <hyperlink r:id="rId129" location="gid=663001998&amp;range=A45" ref="A135"/>
    <hyperlink r:id="rId130" location="gid=663001998&amp;range=A46" ref="A136"/>
    <hyperlink r:id="rId131" location="gid=663001998&amp;range=A47" ref="A137"/>
    <hyperlink r:id="rId132" location="gid=663001998&amp;range=A48" ref="A138"/>
    <hyperlink r:id="rId133" location="gid=663001998&amp;range=A49" ref="A139"/>
    <hyperlink r:id="rId134" location="gid=663001998&amp;range=A50" ref="A140"/>
    <hyperlink r:id="rId135" location="gid=663001998&amp;range=A52" ref="A141"/>
    <hyperlink r:id="rId136" location="gid=663001998&amp;range=A53" ref="A142"/>
    <hyperlink r:id="rId137" location="gid=663001998&amp;range=A55" ref="A143"/>
    <hyperlink r:id="rId138" location="gid=663001998&amp;range=A57" ref="A144"/>
    <hyperlink r:id="rId139" location="gid=663001998&amp;range=A59" ref="A145"/>
    <hyperlink r:id="rId140" location="gid=663001998&amp;range=A61" ref="A146"/>
    <hyperlink r:id="rId141" location="gid=663001998&amp;range=A62" ref="A147"/>
    <hyperlink r:id="rId142" location="gid=663001998&amp;range=A63" ref="A148"/>
    <hyperlink r:id="rId143" location="gid=663001998&amp;range=A64" ref="A149"/>
    <hyperlink r:id="rId144" location="gid=663001998&amp;range=A65" ref="A150"/>
    <hyperlink r:id="rId145" location="gid=663001998&amp;range=A67" ref="A151"/>
    <hyperlink r:id="rId146" location="gid=663001998&amp;range=A69" ref="A152"/>
    <hyperlink r:id="rId147" location="gid=663001998&amp;range=A70" ref="A153"/>
    <hyperlink r:id="rId148" location="gid=663001998&amp;range=A71" ref="A154"/>
    <hyperlink r:id="rId149" location="gid=663001998&amp;range=A72" ref="A155"/>
    <hyperlink r:id="rId150" location="gid=663001998&amp;range=A73" ref="A156"/>
    <hyperlink r:id="rId151" location="gid=663001998&amp;range=A74" ref="A157"/>
    <hyperlink r:id="rId152" location="gid=663001998&amp;range=A75" ref="A158"/>
    <hyperlink r:id="rId153" location="gid=663001998&amp;range=A76" ref="A159"/>
    <hyperlink r:id="rId154" location="gid=663001998&amp;range=A77" ref="A160"/>
    <hyperlink r:id="rId155" location="gid=663001998&amp;range=A78" ref="A161"/>
    <hyperlink r:id="rId156" location="gid=663001998&amp;range=A79" ref="A162"/>
    <hyperlink r:id="rId157" location="gid=663001998&amp;range=A81" ref="A163"/>
    <hyperlink r:id="rId158" location="gid=663001998&amp;range=A82" ref="A164"/>
    <hyperlink r:id="rId159" location="gid=663001998&amp;range=A83" ref="A165"/>
    <hyperlink r:id="rId160" location="gid=663001998&amp;range=A84" ref="A166"/>
    <hyperlink r:id="rId161" location="gid=663001998&amp;range=A85" ref="A167"/>
    <hyperlink r:id="rId162" location="gid=663001998&amp;range=A87" ref="A168"/>
    <hyperlink r:id="rId163" location="gid=663001998&amp;range=A88" ref="A169"/>
    <hyperlink r:id="rId164" location="gid=663001998&amp;range=A89" ref="A170"/>
    <hyperlink r:id="rId165" location="gid=663001998&amp;range=A91" ref="A171"/>
    <hyperlink r:id="rId166" location="gid=663001998&amp;range=A92" ref="A172"/>
    <hyperlink r:id="rId167" location="gid=663001998&amp;range=A93" ref="A173"/>
    <hyperlink r:id="rId168" location="gid=663001998&amp;range=A94" ref="A174"/>
    <hyperlink r:id="rId169" location="gid=663001998&amp;range=A96" ref="A175"/>
    <hyperlink r:id="rId170" location="gid=663001998&amp;range=A98" ref="A176"/>
    <hyperlink r:id="rId171" location="gid=663001998&amp;range=A100" ref="A177"/>
    <hyperlink r:id="rId172" location="gid=663001998&amp;range=A101" ref="A178"/>
    <hyperlink r:id="rId173" location="gid=663001998&amp;range=A102" ref="A179"/>
    <hyperlink r:id="rId174" location="gid=663001998&amp;range=A105" ref="A180"/>
    <hyperlink r:id="rId175" location="gid=663001998&amp;range=A107" ref="A181"/>
    <hyperlink r:id="rId176" location="gid=663001998&amp;range=A108" ref="A182"/>
    <hyperlink r:id="rId177" location="gid=663001998&amp;range=A109" ref="A183"/>
    <hyperlink r:id="rId178" location="gid=663001998&amp;range=A110" ref="A184"/>
    <hyperlink r:id="rId179" location="gid=663001998&amp;range=A111" ref="A185"/>
    <hyperlink r:id="rId180" location="gid=663001998&amp;range=A112" ref="A186"/>
    <hyperlink r:id="rId181" location="gid=663001998&amp;range=A113" ref="A187"/>
    <hyperlink r:id="rId182" location="gid=663001998&amp;range=A114" ref="A188"/>
    <hyperlink r:id="rId183" location="gid=663001998&amp;range=A116" ref="A189"/>
    <hyperlink r:id="rId184" location="gid=663001998&amp;range=A117" ref="A190"/>
    <hyperlink r:id="rId185" location="gid=663001998&amp;range=A118" ref="A191"/>
    <hyperlink r:id="rId186" location="gid=663001998&amp;range=A119" ref="A192"/>
    <hyperlink r:id="rId187" location="gid=663001998&amp;range=A120" ref="A193"/>
    <hyperlink r:id="rId188" location="gid=663001998&amp;range=A122" ref="A194"/>
    <hyperlink r:id="rId189" location="gid=663001998&amp;range=A123" ref="A195"/>
    <hyperlink r:id="rId190" location="gid=663001998&amp;range=A124" ref="A196"/>
    <hyperlink r:id="rId191" location="gid=663001998&amp;range=A125" ref="A197"/>
    <hyperlink r:id="rId192" location="gid=663001998&amp;range=A127" ref="A198"/>
    <hyperlink r:id="rId193" location="gid=663001998&amp;range=A128" ref="A199"/>
    <hyperlink r:id="rId194" location="gid=663001998&amp;range=A129" ref="A200"/>
    <hyperlink r:id="rId195" location="gid=663001998&amp;range=A130" ref="A201"/>
    <hyperlink r:id="rId196" location="gid=663001998&amp;range=A131" ref="A202"/>
    <hyperlink r:id="rId197" location="gid=663001998&amp;range=A132" ref="A203"/>
    <hyperlink r:id="rId198" location="gid=663001998&amp;range=A133" ref="A204"/>
    <hyperlink r:id="rId199" location="gid=663001998&amp;range=A134" ref="A205"/>
    <hyperlink r:id="rId200" location="gid=663001998&amp;range=A135" ref="A206"/>
    <hyperlink r:id="rId201" location="gid=663001998&amp;range=A136" ref="A207"/>
    <hyperlink r:id="rId202" location="gid=663001998&amp;range=A137" ref="A208"/>
    <hyperlink r:id="rId203" location="gid=663001998&amp;range=A138" ref="A209"/>
    <hyperlink r:id="rId204" location="gid=663001998&amp;range=A139" ref="A210"/>
    <hyperlink r:id="rId205" location="gid=663001998&amp;range=A140" ref="A211"/>
    <hyperlink r:id="rId206" location="gid=663001998&amp;range=A142" ref="A212"/>
    <hyperlink r:id="rId207" location="gid=663001998&amp;range=A144" ref="A213"/>
    <hyperlink r:id="rId208" location="gid=663001998&amp;range=A146" ref="A214"/>
    <hyperlink r:id="rId209" location="gid=663001998&amp;range=A147" ref="A215"/>
    <hyperlink r:id="rId210" location="gid=663001998&amp;range=A148" ref="A216"/>
    <hyperlink r:id="rId211" location="gid=663001998&amp;range=A149" ref="A217"/>
    <hyperlink r:id="rId212" location="gid=663001998&amp;range=A150" ref="A218"/>
    <hyperlink r:id="rId213" location="gid=663001998&amp;range=A151" ref="A219"/>
    <hyperlink r:id="rId214" location="gid=663001998&amp;range=A153" ref="A220"/>
    <hyperlink r:id="rId215" location="gid=663001998&amp;range=A155" ref="A221"/>
    <hyperlink r:id="rId216" location="gid=663001998&amp;range=A156" ref="A222"/>
    <hyperlink r:id="rId217" location="gid=663001998&amp;range=A158" ref="A223"/>
    <hyperlink r:id="rId218" location="gid=663001998&amp;range=A160" ref="A224"/>
    <hyperlink r:id="rId219" location="gid=663001998&amp;range=A161" ref="A225"/>
    <hyperlink r:id="rId220" location="gid=663001998&amp;range=A163" ref="A226"/>
    <hyperlink r:id="rId221" location="gid=663001998&amp;range=A164" ref="A227"/>
    <hyperlink r:id="rId222" location="gid=663001998&amp;range=A166" ref="A228"/>
    <hyperlink r:id="rId223" location="gid=663001998&amp;range=A167" ref="A229"/>
    <hyperlink r:id="rId224" location="gid=663001998&amp;range=A168" ref="A230"/>
    <hyperlink r:id="rId225" location="gid=663001998&amp;range=A170" ref="A231"/>
    <hyperlink r:id="rId226" location="gid=663001998&amp;range=A171" ref="A232"/>
    <hyperlink r:id="rId227" location="gid=663001998&amp;range=A172" ref="A233"/>
    <hyperlink r:id="rId228" location="gid=663001998&amp;range=A174" ref="A234"/>
    <hyperlink r:id="rId229" location="gid=663001998&amp;range=A176" ref="A235"/>
    <hyperlink r:id="rId230" location="gid=663001998&amp;range=A177" ref="A236"/>
    <hyperlink r:id="rId231" location="gid=663001998&amp;range=A179" ref="A237"/>
    <hyperlink r:id="rId232" location="gid=663001998&amp;range=A180" ref="A238"/>
    <hyperlink r:id="rId233" location="gid=663001998&amp;range=A181" ref="A239"/>
    <hyperlink r:id="rId234" location="gid=663001998&amp;range=A182" ref="A240"/>
    <hyperlink r:id="rId235" location="gid=663001998&amp;range=A183" ref="A241"/>
    <hyperlink r:id="rId236" location="gid=663001998&amp;range=A184" ref="A242"/>
    <hyperlink r:id="rId237" location="gid=663001998&amp;range=A185" ref="A243"/>
    <hyperlink r:id="rId238" location="gid=663001998&amp;range=A187" ref="A244"/>
    <hyperlink r:id="rId239" location="gid=663001998&amp;range=A188" ref="A245"/>
    <hyperlink r:id="rId240" location="gid=663001998&amp;range=A190" ref="A246"/>
    <hyperlink r:id="rId241" location="gid=663001998&amp;range=A191" ref="A247"/>
    <hyperlink r:id="rId242" location="gid=663001998&amp;range=A192" ref="A248"/>
    <hyperlink r:id="rId243" location="gid=663001998&amp;range=A194" ref="A249"/>
    <hyperlink r:id="rId244" location="gid=663001998&amp;range=A195" ref="A250"/>
    <hyperlink r:id="rId245" location="gid=663001998&amp;range=A196" ref="A251"/>
    <hyperlink r:id="rId246" location="gid=663001998&amp;range=A198" ref="A252"/>
    <hyperlink r:id="rId247" location="gid=663001998&amp;range=A200" ref="A253"/>
    <hyperlink r:id="rId248" location="gid=663001998&amp;range=A202" ref="A254"/>
    <hyperlink r:id="rId249" location="gid=663001998&amp;range=A204" ref="A255"/>
    <hyperlink r:id="rId250" location="gid=663001998&amp;range=A206" ref="A256"/>
    <hyperlink r:id="rId251" location="gid=663001998&amp;range=A208" ref="A257"/>
    <hyperlink r:id="rId252" location="gid=663001998&amp;range=A210" ref="A258"/>
    <hyperlink r:id="rId253" location="gid=663001998&amp;range=A212" ref="A259"/>
    <hyperlink r:id="rId254" location="gid=663001998&amp;range=A214" ref="A260"/>
    <hyperlink r:id="rId255" location="gid=663001998&amp;range=A216" ref="A261"/>
    <hyperlink r:id="rId256" location="gid=663001998&amp;range=A218" ref="A262"/>
    <hyperlink r:id="rId257" location="gid=663001998&amp;range=A219" ref="A263"/>
    <hyperlink r:id="rId258" location="gid=663001998&amp;range=A220" ref="A264"/>
    <hyperlink r:id="rId259" location="gid=663001998&amp;range=A221" ref="A265"/>
    <hyperlink r:id="rId260" location="gid=663001998&amp;range=A222" ref="A266"/>
    <hyperlink r:id="rId261" location="gid=663001998&amp;range=A223" ref="A267"/>
    <hyperlink r:id="rId262" location="gid=663001998&amp;range=A225" ref="A268"/>
    <hyperlink r:id="rId263" location="gid=663001998&amp;range=A227" ref="A269"/>
    <hyperlink r:id="rId264" location="gid=663001998&amp;range=A228" ref="A270"/>
    <hyperlink r:id="rId265" location="gid=663001998&amp;range=A229" ref="A271"/>
    <hyperlink r:id="rId266" location="gid=663001998&amp;range=A231" ref="A272"/>
    <hyperlink r:id="rId267" location="gid=663001998&amp;range=A232" ref="A273"/>
    <hyperlink r:id="rId268" location="gid=663001998&amp;range=A234" ref="A274"/>
    <hyperlink r:id="rId269" location="gid=663001998&amp;range=A235" ref="A275"/>
    <hyperlink r:id="rId270" location="gid=663001998&amp;range=A236" ref="A276"/>
    <hyperlink r:id="rId271" location="gid=663001998&amp;range=A237" ref="A277"/>
    <hyperlink r:id="rId272" location="gid=663001998&amp;range=A238" ref="A278"/>
    <hyperlink r:id="rId273" location="gid=663001998&amp;range=A239" ref="A279"/>
    <hyperlink r:id="rId274" location="gid=663001998&amp;range=A240" ref="A280"/>
    <hyperlink r:id="rId275" location="gid=663001998&amp;range=A242" ref="A281"/>
    <hyperlink r:id="rId276" location="gid=663001998&amp;range=A243" ref="A282"/>
    <hyperlink r:id="rId277" location="gid=663001998&amp;range=A244" ref="A283"/>
    <hyperlink r:id="rId278" location="gid=663001998&amp;range=A245" ref="A284"/>
    <hyperlink r:id="rId279" location="gid=663001998&amp;range=A246" ref="A285"/>
    <hyperlink r:id="rId280" location="gid=663001998&amp;range=A247" ref="A286"/>
    <hyperlink r:id="rId281" location="gid=663001998&amp;range=A248" ref="A287"/>
    <hyperlink r:id="rId282" location="gid=663001998&amp;range=A250" ref="A288"/>
    <hyperlink r:id="rId283" location="gid=663001998&amp;range=A252" ref="A289"/>
    <hyperlink r:id="rId284" location="gid=663001998&amp;range=A253" ref="A290"/>
    <hyperlink r:id="rId285" location="gid=663001998&amp;range=A254" ref="A291"/>
    <hyperlink r:id="rId286" location="gid=663001998&amp;range=A255" ref="A292"/>
    <hyperlink r:id="rId287" location="gid=663001998&amp;range=A256" ref="A293"/>
    <hyperlink r:id="rId288" location="gid=663001998&amp;range=A258" ref="A294"/>
    <hyperlink r:id="rId289" location="gid=663001998&amp;range=A259" ref="A295"/>
    <hyperlink r:id="rId290" location="gid=663001998&amp;range=A261" ref="A296"/>
    <hyperlink r:id="rId291" location="gid=663001998&amp;range=A262" ref="A297"/>
    <hyperlink r:id="rId292" location="gid=663001998&amp;range=A264" ref="A298"/>
    <hyperlink r:id="rId293" location="gid=663001998&amp;range=A265" ref="A299"/>
    <hyperlink r:id="rId294" location="gid=663001998&amp;range=A267" ref="A300"/>
    <hyperlink r:id="rId295" location="gid=663001998&amp;range=A269" ref="A301"/>
    <hyperlink r:id="rId296" location="gid=663001998&amp;range=A270" ref="A302"/>
    <hyperlink r:id="rId297" location="gid=663001998&amp;range=A271" ref="A303"/>
    <hyperlink r:id="rId298" location="gid=663001998&amp;range=A273" ref="A304"/>
    <hyperlink r:id="rId299" location="gid=663001998&amp;range=A275" ref="A305"/>
    <hyperlink r:id="rId300" location="gid=663001998&amp;range=A276" ref="A306"/>
    <hyperlink r:id="rId301" location="gid=663001998&amp;range=A277" ref="A307"/>
    <hyperlink r:id="rId302" location="gid=663001998&amp;range=A279" ref="A308"/>
    <hyperlink r:id="rId303" location="gid=663001998&amp;range=A280" ref="A309"/>
    <hyperlink r:id="rId304" location="gid=663001998&amp;range=A282" ref="A310"/>
    <hyperlink r:id="rId305" location="gid=663001998&amp;range=A284" ref="A311"/>
    <hyperlink r:id="rId306" location="gid=663001998&amp;range=A285" ref="A312"/>
    <hyperlink r:id="rId307" location="gid=663001998&amp;range=A290" ref="A313"/>
    <hyperlink r:id="rId308" location="gid=663001998&amp;range=A294" ref="A314"/>
    <hyperlink r:id="rId309" location="gid=663001998&amp;range=A295" ref="A315"/>
    <hyperlink r:id="rId310" location="gid=663001998&amp;range=A296" ref="A316"/>
    <hyperlink r:id="rId311" location="gid=663001998&amp;range=A298" ref="A317"/>
    <hyperlink r:id="rId312" location="gid=663001998&amp;range=A299" ref="A318"/>
    <hyperlink r:id="rId313" location="gid=663001998&amp;range=A301" ref="A319"/>
    <hyperlink r:id="rId314" location="gid=663001998&amp;range=A302" ref="A320"/>
    <hyperlink r:id="rId315" location="gid=663001998&amp;range=A303" ref="A321"/>
    <hyperlink r:id="rId316" location="gid=663001998&amp;range=A304" ref="A322"/>
    <hyperlink r:id="rId317" location="gid=663001998&amp;range=A305" ref="A323"/>
    <hyperlink r:id="rId318" location="gid=663001998&amp;range=A306" ref="A324"/>
    <hyperlink r:id="rId319" location="gid=663001998&amp;range=A307" ref="A325"/>
    <hyperlink r:id="rId320" location="gid=663001998&amp;range=A311" ref="A326"/>
    <hyperlink r:id="rId321" location="gid=663001998&amp;range=A312" ref="A327"/>
    <hyperlink r:id="rId322" location="gid=663001998&amp;range=A313" ref="A328"/>
    <hyperlink r:id="rId323" location="gid=663001998&amp;range=A314" ref="A329"/>
    <hyperlink r:id="rId324" location="gid=663001998&amp;range=A315" ref="A330"/>
    <hyperlink r:id="rId325" location="gid=663001998&amp;range=A316" ref="A331"/>
    <hyperlink r:id="rId326" location="gid=663001998&amp;range=A317" ref="A332"/>
    <hyperlink r:id="rId327" location="gid=663001998&amp;range=A318" ref="A333"/>
    <hyperlink r:id="rId328" location="gid=663001998&amp;range=A319" ref="A334"/>
    <hyperlink r:id="rId329" location="gid=663001998&amp;range=A321" ref="A335"/>
    <hyperlink r:id="rId330" location="gid=663001998&amp;range=A322" ref="A336"/>
    <hyperlink r:id="rId331" location="gid=663001998&amp;range=A323" ref="A337"/>
    <hyperlink r:id="rId332" location="gid=663001998&amp;range=A325" ref="A338"/>
    <hyperlink r:id="rId333" location="gid=663001998&amp;range=A327" ref="A339"/>
    <hyperlink r:id="rId334" location="gid=663001998&amp;range=A329" ref="A340"/>
    <hyperlink r:id="rId335" location="gid=663001998&amp;range=A331" ref="A341"/>
    <hyperlink r:id="rId336" location="gid=663001998&amp;range=A332" ref="A342"/>
    <hyperlink r:id="rId337" location="gid=663001998&amp;range=A333" ref="A343"/>
    <hyperlink r:id="rId338" location="gid=663001998&amp;range=A334" ref="A344"/>
    <hyperlink r:id="rId339" location="gid=663001998&amp;range=A335" ref="A345"/>
    <hyperlink r:id="rId340" location="gid=663001998&amp;range=A336" ref="A346"/>
    <hyperlink r:id="rId341" location="gid=663001998&amp;range=A337" ref="A347"/>
    <hyperlink r:id="rId342" location="gid=663001998&amp;range=A338" ref="A348"/>
    <hyperlink r:id="rId343" location="gid=663001998&amp;range=A339" ref="A349"/>
    <hyperlink r:id="rId344" location="gid=663001998&amp;range=A340" ref="A350"/>
    <hyperlink r:id="rId345" location="gid=663001998&amp;range=A341" ref="A351"/>
    <hyperlink r:id="rId346" location="gid=663001998&amp;range=A342" ref="A352"/>
    <hyperlink r:id="rId347" location="gid=663001998&amp;range=A343" ref="A353"/>
    <hyperlink r:id="rId348" location="gid=663001998&amp;range=A344" ref="A354"/>
    <hyperlink r:id="rId349" location="gid=663001998&amp;range=A345" ref="A355"/>
    <hyperlink r:id="rId350" location="gid=1340171929&amp;range=A41" ref="A357"/>
    <hyperlink r:id="rId351" location="gid=1340171929&amp;range=A42" ref="A358"/>
    <hyperlink r:id="rId352" location="gid=1340171929&amp;range=A43" ref="A359"/>
    <hyperlink r:id="rId353" location="gid=1340171929&amp;range=A44" ref="A360"/>
    <hyperlink r:id="rId354" location="gid=1340171929&amp;range=A46" ref="A361"/>
    <hyperlink r:id="rId355" location="gid=1340171929&amp;range=A48" ref="A362"/>
    <hyperlink r:id="rId356" location="gid=1340171929&amp;range=A49" ref="A363"/>
    <hyperlink r:id="rId357" location="gid=1340171929&amp;range=A50" ref="A364"/>
    <hyperlink r:id="rId358" location="gid=1340171929&amp;range=A52" ref="A365"/>
    <hyperlink r:id="rId359" location="gid=1340171929&amp;range=A53" ref="A366"/>
    <hyperlink r:id="rId360" location="gid=1340171929&amp;range=A54" ref="A367"/>
    <hyperlink r:id="rId361" location="gid=1340171929&amp;range=A56" ref="A368"/>
    <hyperlink r:id="rId362" location="gid=1340171929&amp;range=A57" ref="A369"/>
    <hyperlink r:id="rId363" location="gid=1340171929&amp;range=A58" ref="A370"/>
    <hyperlink r:id="rId364" location="gid=1340171929&amp;range=A59" ref="A371"/>
    <hyperlink r:id="rId365" location="gid=1340171929&amp;range=A60" ref="A372"/>
    <hyperlink r:id="rId366" location="gid=1340171929&amp;range=A63" ref="A373"/>
    <hyperlink r:id="rId367" location="gid=1340171929&amp;range=A65" ref="A374"/>
    <hyperlink r:id="rId368" location="gid=1340171929&amp;range=A66" ref="A375"/>
    <hyperlink r:id="rId369" location="gid=1340171929&amp;range=A68" ref="A376"/>
    <hyperlink r:id="rId370" location="gid=1340171929&amp;range=A69" ref="A377"/>
    <hyperlink r:id="rId371" location="gid=1340171929&amp;range=A71" ref="A378"/>
    <hyperlink r:id="rId372" location="gid=1340171929&amp;range=A73" ref="A379"/>
    <hyperlink r:id="rId373" location="gid=1340171929&amp;range=A74" ref="A380"/>
    <hyperlink r:id="rId374" location="gid=1340171929&amp;range=A75" ref="A381"/>
    <hyperlink r:id="rId375" location="gid=1340171929&amp;range=A76" ref="A382"/>
    <hyperlink r:id="rId376" location="gid=1340171929&amp;range=A78" ref="A383"/>
    <hyperlink r:id="rId377" location="gid=1340171929&amp;range=A81" ref="A384"/>
    <hyperlink r:id="rId378" location="gid=1340171929&amp;range=A82" ref="A385"/>
    <hyperlink r:id="rId379" location="gid=1340171929&amp;range=A83" ref="A386"/>
    <hyperlink r:id="rId380" location="gid=1340171929&amp;range=A84" ref="A387"/>
    <hyperlink r:id="rId381" location="gid=1340171929&amp;range=A86" ref="A388"/>
    <hyperlink r:id="rId382" location="gid=1340171929&amp;range=A87" ref="A389"/>
    <hyperlink r:id="rId383" location="gid=1340171929&amp;range=A88" ref="A390"/>
    <hyperlink r:id="rId384" location="gid=1340171929&amp;range=A89" ref="A391"/>
    <hyperlink r:id="rId385" location="gid=1340171929&amp;range=A90" ref="A392"/>
    <hyperlink r:id="rId386" location="gid=1340171929&amp;range=A91" ref="A393"/>
    <hyperlink r:id="rId387" location="gid=1340171929&amp;range=A92" ref="A394"/>
    <hyperlink r:id="rId388" location="gid=1340171929&amp;range=A94" ref="A395"/>
    <hyperlink r:id="rId389" location="gid=1340171929&amp;range=A96" ref="A396"/>
    <hyperlink r:id="rId390" location="gid=1340171929&amp;range=A98" ref="A397"/>
    <hyperlink r:id="rId391" location="gid=1340171929&amp;range=A100" ref="A398"/>
    <hyperlink r:id="rId392" location="gid=1340171929&amp;range=A101" ref="A399"/>
    <hyperlink r:id="rId393" location="gid=1340171929&amp;range=A102" ref="A400"/>
    <hyperlink r:id="rId394" location="gid=1340171929&amp;range=A103" ref="A401"/>
    <hyperlink r:id="rId395" location="gid=1340171929&amp;range=A104" ref="A402"/>
    <hyperlink r:id="rId396" location="gid=1340171929&amp;range=A105" ref="A403"/>
    <hyperlink r:id="rId397" location="gid=1340171929&amp;range=A106" ref="A404"/>
    <hyperlink r:id="rId398" location="gid=1340171929&amp;range=A107" ref="A405"/>
    <hyperlink r:id="rId399" location="gid=1340171929&amp;range=A109" ref="A406"/>
    <hyperlink r:id="rId400" location="gid=1340171929&amp;range=A111" ref="A407"/>
    <hyperlink r:id="rId401" location="gid=1340171929&amp;range=A112" ref="A408"/>
    <hyperlink r:id="rId402" location="gid=1340171929&amp;range=A113" ref="A409"/>
    <hyperlink r:id="rId403" location="gid=1340171929&amp;range=A114" ref="A410"/>
    <hyperlink r:id="rId404" location="gid=1340171929&amp;range=A115" ref="A411"/>
    <hyperlink r:id="rId405" location="gid=1340171929&amp;range=A116" ref="A412"/>
    <hyperlink r:id="rId406" location="gid=1340171929&amp;range=A117" ref="A413"/>
    <hyperlink r:id="rId407" location="gid=1340171929&amp;range=A118" ref="A414"/>
    <hyperlink r:id="rId408" location="gid=1340171929&amp;range=A119" ref="A415"/>
    <hyperlink r:id="rId409" location="gid=1340171929&amp;range=A120" ref="A416"/>
    <hyperlink r:id="rId410" location="gid=1340171929&amp;range=A122" ref="A417"/>
    <hyperlink r:id="rId411" location="gid=1340171929&amp;range=A123" ref="A418"/>
    <hyperlink r:id="rId412" location="gid=1340171929&amp;range=A125" ref="A419"/>
    <hyperlink r:id="rId413" location="gid=1340171929&amp;range=A126" ref="A420"/>
    <hyperlink r:id="rId414" location="gid=1340171929&amp;range=A127" ref="A421"/>
    <hyperlink r:id="rId415" location="gid=1340171929&amp;range=A129" ref="A422"/>
    <hyperlink r:id="rId416" location="gid=1340171929&amp;range=A131" ref="A423"/>
    <hyperlink r:id="rId417" location="gid=1340171929&amp;range=A132" ref="A424"/>
    <hyperlink r:id="rId418" location="gid=1340171929&amp;range=A134" ref="A425"/>
    <hyperlink r:id="rId419" location="gid=1340171929&amp;range=A135" ref="A426"/>
    <hyperlink r:id="rId420" location="gid=1340171929&amp;range=A136" ref="A427"/>
    <hyperlink r:id="rId421" location="gid=1340171929&amp;range=A137" ref="A428"/>
    <hyperlink r:id="rId422" location="gid=1340171929&amp;range=A138" ref="A429"/>
    <hyperlink r:id="rId423" location="gid=1340171929&amp;range=A140" ref="A430"/>
    <hyperlink r:id="rId424" location="gid=1340171929&amp;range=A141" ref="A431"/>
    <hyperlink r:id="rId425" location="gid=1340171929&amp;range=A143" ref="A432"/>
    <hyperlink r:id="rId426" location="gid=1340171929&amp;range=A144" ref="A433"/>
    <hyperlink r:id="rId427" location="gid=1340171929&amp;range=A146" ref="A434"/>
    <hyperlink r:id="rId428" location="gid=1340171929&amp;range=A149" ref="A435"/>
    <hyperlink r:id="rId429" location="gid=1340171929&amp;range=A150" ref="A436"/>
    <hyperlink r:id="rId430" location="gid=1340171929&amp;range=A153" ref="A437"/>
    <hyperlink r:id="rId431" location="gid=1340171929&amp;range=A156" ref="A438"/>
    <hyperlink r:id="rId432" location="gid=1340171929&amp;range=A157" ref="A439"/>
    <hyperlink r:id="rId433" location="gid=1340171929&amp;range=A158" ref="A440"/>
    <hyperlink r:id="rId434" location="gid=1340171929&amp;range=A159" ref="A441"/>
    <hyperlink r:id="rId435" location="gid=1340171929&amp;range=A160" ref="A442"/>
    <hyperlink r:id="rId436" location="gid=1340171929&amp;range=A161" ref="A443"/>
    <hyperlink r:id="rId437" location="gid=1340171929&amp;range=A162" ref="A444"/>
    <hyperlink r:id="rId438" location="gid=1340171929&amp;range=A163" ref="A445"/>
    <hyperlink r:id="rId439" location="gid=1340171929&amp;range=A164" ref="A446"/>
    <hyperlink r:id="rId440" location="gid=1340171929&amp;range=A166" ref="A447"/>
    <hyperlink r:id="rId441" location="gid=1340171929&amp;range=A168" ref="A448"/>
    <hyperlink r:id="rId442" location="gid=1340171929&amp;range=A169" ref="A449"/>
    <hyperlink r:id="rId443" location="gid=1340171929&amp;range=A170" ref="A450"/>
    <hyperlink r:id="rId444" location="gid=1340171929&amp;range=A172" ref="A451"/>
    <hyperlink r:id="rId445" location="gid=1340171929&amp;range=A173" ref="A452"/>
    <hyperlink r:id="rId446" location="gid=1340171929&amp;range=A174" ref="A453"/>
    <hyperlink r:id="rId447" location="gid=1340171929&amp;range=A176" ref="A454"/>
    <hyperlink r:id="rId448" location="gid=1340171929&amp;range=A177" ref="A455"/>
    <hyperlink r:id="rId449" location="gid=1340171929&amp;range=A178" ref="A456"/>
    <hyperlink r:id="rId450" location="gid=1340171929&amp;range=A180" ref="A457"/>
    <hyperlink r:id="rId451" location="gid=1340171929&amp;range=A181" ref="A458"/>
    <hyperlink r:id="rId452" location="gid=1340171929&amp;range=A183" ref="A459"/>
    <hyperlink r:id="rId453" location="gid=1340171929&amp;range=A184" ref="A460"/>
    <hyperlink r:id="rId454" location="gid=1340171929&amp;range=A185" ref="A461"/>
    <hyperlink r:id="rId455" location="gid=1340171929&amp;range=A186" ref="A462"/>
    <hyperlink r:id="rId456" location="gid=1340171929&amp;range=A188" ref="A463"/>
    <hyperlink r:id="rId457" location="gid=1340171929&amp;range=A189" ref="A464"/>
    <hyperlink r:id="rId458" location="gid=1340171929&amp;range=A190" ref="A465"/>
    <hyperlink r:id="rId459" location="gid=1340171929&amp;range=A191" ref="A466"/>
    <hyperlink r:id="rId460" location="gid=1340171929&amp;range=A192" ref="A467"/>
    <hyperlink r:id="rId461" location="gid=1340171929&amp;range=A193" ref="A468"/>
    <hyperlink r:id="rId462" location="gid=1340171929&amp;range=A195" ref="A469"/>
    <hyperlink r:id="rId463" location="gid=1340171929&amp;range=A196" ref="A470"/>
    <hyperlink r:id="rId464" location="gid=1340171929&amp;range=A197" ref="A471"/>
    <hyperlink r:id="rId465" location="gid=1340171929&amp;range=A198" ref="A472"/>
    <hyperlink r:id="rId466" location="gid=1340171929&amp;range=A201" ref="A473"/>
    <hyperlink r:id="rId467" location="gid=1340171929&amp;range=A202" ref="A474"/>
    <hyperlink r:id="rId468" location="gid=1340171929&amp;range=A203" ref="A475"/>
    <hyperlink r:id="rId469" location="gid=1340171929&amp;range=A204" ref="A476"/>
    <hyperlink r:id="rId470" location="gid=1340171929&amp;range=A205" ref="A477"/>
    <hyperlink r:id="rId471" location="gid=1340171929&amp;range=A206" ref="A478"/>
    <hyperlink r:id="rId472" location="gid=1340171929&amp;range=A207" ref="A479"/>
    <hyperlink r:id="rId473" location="gid=1340171929&amp;range=A208" ref="A480"/>
    <hyperlink r:id="rId474" location="gid=1340171929&amp;range=A209" ref="A481"/>
    <hyperlink r:id="rId475" location="gid=1340171929&amp;range=A210" ref="A482"/>
    <hyperlink r:id="rId476" location="gid=1340171929&amp;range=A212" ref="A483"/>
    <hyperlink r:id="rId477" location="gid=1340171929&amp;range=A215" ref="A484"/>
    <hyperlink r:id="rId478" location="gid=1340171929&amp;range=A216" ref="A485"/>
    <hyperlink r:id="rId479" location="gid=1340171929&amp;range=A217" ref="A486"/>
    <hyperlink r:id="rId480" location="gid=1340171929&amp;range=A218" ref="A487"/>
    <hyperlink r:id="rId481" location="gid=1340171929&amp;range=A220" ref="A488"/>
    <hyperlink r:id="rId482" location="gid=1340171929&amp;range=A221" ref="A489"/>
    <hyperlink r:id="rId483" location="gid=1340171929&amp;range=A222" ref="A490"/>
    <hyperlink r:id="rId484" location="gid=1340171929&amp;range=A223" ref="A491"/>
    <hyperlink r:id="rId485" location="gid=1340171929&amp;range=A224" ref="A492"/>
    <hyperlink r:id="rId486" location="gid=1340171929&amp;range=A225" ref="A493"/>
    <hyperlink r:id="rId487" location="gid=1340171929&amp;range=A226" ref="A494"/>
    <hyperlink r:id="rId488" location="gid=1340171929&amp;range=A227" ref="A495"/>
    <hyperlink r:id="rId489" location="gid=1340171929&amp;range=A228" ref="A496"/>
    <hyperlink r:id="rId490" location="gid=1340171929&amp;range=A229" ref="A497"/>
    <hyperlink r:id="rId491" location="gid=1340171929&amp;range=A230" ref="A498"/>
    <hyperlink r:id="rId492" location="gid=1340171929&amp;range=A231" ref="A499"/>
    <hyperlink r:id="rId493" location="gid=1340171929&amp;range=A232" ref="A500"/>
    <hyperlink r:id="rId494" location="gid=1340171929&amp;range=A233" ref="A501"/>
    <hyperlink r:id="rId495" location="gid=1340171929&amp;range=A234" ref="A502"/>
    <hyperlink r:id="rId496" location="gid=1340171929&amp;range=A235" ref="A503"/>
    <hyperlink r:id="rId497" location="gid=1340171929&amp;range=A236" ref="A504"/>
    <hyperlink r:id="rId498" location="gid=1340171929&amp;range=A238" ref="A505"/>
    <hyperlink r:id="rId499" location="gid=1340171929&amp;range=A240" ref="A506"/>
    <hyperlink r:id="rId500" location="gid=1340171929&amp;range=A241" ref="A507"/>
    <hyperlink r:id="rId501" location="gid=1340171929&amp;range=A242" ref="A508"/>
    <hyperlink r:id="rId502" location="gid=1340171929&amp;range=A244" ref="A509"/>
    <hyperlink r:id="rId503" location="gid=1340171929&amp;range=A246" ref="A510"/>
    <hyperlink r:id="rId504" location="gid=1340171929&amp;range=A247" ref="A511"/>
    <hyperlink r:id="rId505" location="gid=1340171929&amp;range=A248" ref="A512"/>
    <hyperlink r:id="rId506" location="gid=1340171929&amp;range=A250" ref="A513"/>
    <hyperlink r:id="rId507" location="gid=1340171929&amp;range=A251" ref="A514"/>
    <hyperlink r:id="rId508" location="gid=1340171929&amp;range=A253" ref="A515"/>
    <hyperlink r:id="rId509" location="gid=1340171929&amp;range=A254" ref="A516"/>
    <hyperlink r:id="rId510" location="gid=1340171929&amp;range=A255" ref="A517"/>
    <hyperlink r:id="rId511" location="gid=1340171929&amp;range=A258" ref="A518"/>
    <hyperlink r:id="rId512" location="gid=1340171929&amp;range=A259" ref="A519"/>
    <hyperlink r:id="rId513" location="gid=1340171929&amp;range=A260" ref="A520"/>
    <hyperlink r:id="rId514" location="gid=1340171929&amp;range=A261" ref="A521"/>
    <hyperlink r:id="rId515" location="gid=1340171929&amp;range=A263" ref="A522"/>
    <hyperlink r:id="rId516" location="gid=1340171929&amp;range=A264" ref="A523"/>
    <hyperlink r:id="rId517" location="gid=1340171929&amp;range=A265" ref="A524"/>
    <hyperlink r:id="rId518" location="gid=1340171929&amp;range=A266" ref="A525"/>
    <hyperlink r:id="rId519" location="gid=1340171929&amp;range=A267" ref="A526"/>
    <hyperlink r:id="rId520" location="gid=1340171929&amp;range=A269" ref="A527"/>
    <hyperlink r:id="rId521" location="gid=1340171929&amp;range=A270" ref="A528"/>
    <hyperlink r:id="rId522" location="gid=1340171929&amp;range=A272" ref="A529"/>
    <hyperlink r:id="rId523" location="gid=1340171929&amp;range=A274" ref="A530"/>
    <hyperlink r:id="rId524" location="gid=1340171929&amp;range=A275" ref="A531"/>
    <hyperlink r:id="rId525" location="gid=1340171929&amp;range=A278" ref="A532"/>
    <hyperlink r:id="rId526" location="gid=1340171929&amp;range=A280" ref="A533"/>
    <hyperlink r:id="rId527" location="gid=1340171929&amp;range=A281" ref="A534"/>
    <hyperlink r:id="rId528" location="gid=1340171929&amp;range=A282" ref="A535"/>
    <hyperlink r:id="rId529" location="gid=1340171929&amp;range=A283" ref="A536"/>
    <hyperlink r:id="rId530" location="gid=1340171929&amp;range=A284" ref="A537"/>
    <hyperlink r:id="rId531" location="gid=1340171929&amp;range=A285" ref="A538"/>
    <hyperlink r:id="rId532" location="gid=1340171929&amp;range=A286" ref="A539"/>
    <hyperlink r:id="rId533" location="gid=1340171929&amp;range=A287" ref="A540"/>
    <hyperlink r:id="rId534" location="gid=1340171929&amp;range=A288" ref="A541"/>
    <hyperlink r:id="rId535" location="gid=1340171929&amp;range=A290" ref="A542"/>
    <hyperlink r:id="rId536" location="gid=1340171929&amp;range=A291" ref="A543"/>
    <hyperlink r:id="rId537" location="gid=1340171929&amp;range=A293" ref="A544"/>
    <hyperlink r:id="rId538" location="gid=1340171929&amp;range=A294" ref="A545"/>
    <hyperlink r:id="rId539" location="gid=1340171929&amp;range=A296" ref="A546"/>
    <hyperlink r:id="rId540" location="gid=1340171929&amp;range=A297" ref="A547"/>
    <hyperlink r:id="rId541" location="gid=1340171929&amp;range=A298" ref="A548"/>
    <hyperlink r:id="rId542" location="gid=1340171929&amp;range=A299" ref="A549"/>
    <hyperlink r:id="rId543" location="gid=1340171929&amp;range=A300" ref="A550"/>
    <hyperlink r:id="rId544" location="gid=1340171929&amp;range=A302" ref="A551"/>
    <hyperlink r:id="rId545" location="gid=1340171929&amp;range=A303" ref="A552"/>
    <hyperlink r:id="rId546" location="gid=1340171929&amp;range=A304" ref="A553"/>
    <hyperlink r:id="rId547" location="gid=1340171929&amp;range=A306" ref="A554"/>
    <hyperlink r:id="rId548" location="gid=1340171929&amp;range=A307" ref="A555"/>
    <hyperlink r:id="rId549" location="gid=1340171929&amp;range=A308" ref="A556"/>
    <hyperlink r:id="rId550" location="gid=1340171929&amp;range=A309" ref="A557"/>
    <hyperlink r:id="rId551" location="gid=1340171929&amp;range=A310" ref="A558"/>
    <hyperlink r:id="rId552" location="gid=1340171929&amp;range=A311" ref="A559"/>
    <hyperlink r:id="rId553" location="gid=1340171929&amp;range=A312" ref="A560"/>
    <hyperlink r:id="rId554" location="gid=1340171929&amp;range=A313" ref="A561"/>
    <hyperlink r:id="rId555" location="gid=1340171929&amp;range=A314" ref="A562"/>
    <hyperlink r:id="rId556" location="gid=1340171929&amp;range=A315" ref="A563"/>
    <hyperlink r:id="rId557" location="gid=1340171929&amp;range=A316" ref="A564"/>
    <hyperlink r:id="rId558" location="gid=1340171929&amp;range=A317" ref="A565"/>
    <hyperlink r:id="rId559" location="gid=1340171929&amp;range=A318" ref="A566"/>
    <hyperlink r:id="rId560" location="gid=1340171929&amp;range=A319" ref="A567"/>
    <hyperlink r:id="rId561" location="gid=1340171929&amp;range=A320" ref="A568"/>
    <hyperlink r:id="rId562" location="gid=1340171929&amp;range=A321" ref="A569"/>
    <hyperlink r:id="rId563" location="gid=1340171929&amp;range=A322" ref="A570"/>
    <hyperlink r:id="rId564" location="gid=1340171929&amp;range=A323" ref="A571"/>
    <hyperlink r:id="rId565" location="gid=1340171929&amp;range=A325" ref="A572"/>
    <hyperlink r:id="rId566" location="gid=1340171929&amp;range=A327" ref="A573"/>
    <hyperlink r:id="rId567" location="gid=1340171929&amp;range=A328" ref="A574"/>
    <hyperlink r:id="rId568" location="gid=1340171929&amp;range=A330" ref="A575"/>
    <hyperlink r:id="rId569" location="gid=1340171929&amp;range=A331" ref="A576"/>
    <hyperlink r:id="rId570" location="gid=1340171929&amp;range=A333" ref="A577"/>
    <hyperlink r:id="rId571" location="gid=1340171929&amp;range=A334" ref="A578"/>
    <hyperlink r:id="rId572" location="gid=1340171929&amp;range=A336" ref="A579"/>
    <hyperlink r:id="rId573" location="gid=1340171929&amp;range=A337" ref="A580"/>
    <hyperlink r:id="rId574" location="gid=1340171929&amp;range=A338" ref="A581"/>
    <hyperlink r:id="rId575" location="gid=1340171929&amp;range=A340" ref="A582"/>
    <hyperlink r:id="rId576" location="gid=1340171929&amp;range=A341" ref="A583"/>
    <hyperlink r:id="rId577" location="gid=1340171929&amp;range=A342" ref="A584"/>
    <hyperlink r:id="rId578" location="gid=1340171929&amp;range=A343" ref="A585"/>
    <hyperlink r:id="rId579" location="gid=1340171929&amp;range=A344" ref="A586"/>
    <hyperlink r:id="rId580" location="gid=1340171929&amp;range=A346" ref="A587"/>
    <hyperlink r:id="rId581" location="gid=1340171929&amp;range=A347" ref="A588"/>
    <hyperlink r:id="rId582" location="gid=1340171929&amp;range=A348" ref="A589"/>
    <hyperlink r:id="rId583" location="gid=1340171929&amp;range=A350" ref="A590"/>
    <hyperlink r:id="rId584" location="gid=1340171929&amp;range=A353" ref="A591"/>
    <hyperlink r:id="rId585" location="gid=1340171929&amp;range=A354" ref="A592"/>
    <hyperlink r:id="rId586" location="gid=1340171929&amp;range=A355" ref="A593"/>
    <hyperlink r:id="rId587" location="gid=1340171929&amp;range=A356" ref="A594"/>
    <hyperlink r:id="rId588" location="gid=1340171929&amp;range=A357" ref="A595"/>
    <hyperlink r:id="rId589" location="gid=1340171929&amp;range=A358" ref="A596"/>
    <hyperlink r:id="rId590" location="gid=1340171929&amp;range=A359" ref="A597"/>
    <hyperlink r:id="rId591" location="gid=1340171929&amp;range=A360" ref="A598"/>
    <hyperlink r:id="rId592" location="gid=1340171929&amp;range=A361" ref="A599"/>
    <hyperlink r:id="rId593" location="gid=1340171929&amp;range=A363" ref="A600"/>
    <hyperlink r:id="rId594" location="gid=1340171929&amp;range=A364" ref="A601"/>
    <hyperlink r:id="rId595" location="gid=1340171929&amp;range=A365" ref="A602"/>
    <hyperlink r:id="rId596" location="gid=1340171929&amp;range=A367" ref="A603"/>
    <hyperlink r:id="rId597" location="gid=1340171929&amp;range=A368" ref="A604"/>
    <hyperlink r:id="rId598" location="gid=1340171929&amp;range=A369" ref="A605"/>
    <hyperlink r:id="rId599" location="gid=1340171929&amp;range=A371" ref="A606"/>
    <hyperlink r:id="rId600" location="gid=1340171929&amp;range=A372" ref="A607"/>
    <hyperlink r:id="rId601" location="gid=1340171929&amp;range=A373" ref="A608"/>
    <hyperlink r:id="rId602" location="gid=1340171929&amp;range=A374" ref="A609"/>
    <hyperlink r:id="rId603" location="gid=1340171929&amp;range=A375" ref="A610"/>
    <hyperlink r:id="rId604" location="gid=1340171929&amp;range=A376" ref="A611"/>
    <hyperlink r:id="rId605" location="gid=1340171929&amp;range=A377" ref="A612"/>
    <hyperlink r:id="rId606" location="gid=1340171929&amp;range=A378" ref="A613"/>
    <hyperlink r:id="rId607" location="gid=1340171929&amp;range=A379" ref="A614"/>
    <hyperlink r:id="rId608" location="gid=1340171929&amp;range=A380" ref="A615"/>
    <hyperlink r:id="rId609" location="gid=1340171929&amp;range=A382" ref="A616"/>
    <hyperlink r:id="rId610" location="gid=1340171929&amp;range=A383" ref="A617"/>
    <hyperlink r:id="rId611" location="gid=1340171929&amp;range=A384" ref="A618"/>
    <hyperlink r:id="rId612" location="gid=1340171929&amp;range=A385" ref="A619"/>
    <hyperlink r:id="rId613" location="gid=1340171929&amp;range=A388" ref="A620"/>
    <hyperlink r:id="rId614" location="gid=1340171929&amp;range=A390" ref="A621"/>
    <hyperlink r:id="rId615" location="gid=1340171929&amp;range=A391" ref="A622"/>
    <hyperlink r:id="rId616" location="gid=1340171929&amp;range=A392" ref="A623"/>
    <hyperlink r:id="rId617" location="gid=1340171929&amp;range=A393" ref="A624"/>
    <hyperlink r:id="rId618" location="gid=1340171929&amp;range=A394" ref="A625"/>
    <hyperlink r:id="rId619" location="gid=1340171929&amp;range=A395" ref="A626"/>
    <hyperlink r:id="rId620" location="gid=1340171929&amp;range=A396" ref="A627"/>
    <hyperlink r:id="rId621" location="gid=1340171929&amp;range=A397" ref="A628"/>
    <hyperlink r:id="rId622" location="gid=1340171929&amp;range=A400" ref="A629"/>
    <hyperlink r:id="rId623" location="gid=1340171929&amp;range=A401" ref="A630"/>
    <hyperlink r:id="rId624" location="gid=1340171929&amp;range=A402" ref="A631"/>
    <hyperlink r:id="rId625" location="gid=1340171929&amp;range=A403" ref="A632"/>
    <hyperlink r:id="rId626" location="gid=1340171929&amp;range=A404" ref="A633"/>
    <hyperlink r:id="rId627" location="gid=1340171929&amp;range=A405" ref="A634"/>
    <hyperlink r:id="rId628" location="gid=1340171929&amp;range=A406" ref="A635"/>
    <hyperlink r:id="rId629" location="gid=1340171929&amp;range=A407" ref="A636"/>
    <hyperlink r:id="rId630" location="gid=1340171929&amp;range=A408" ref="A637"/>
    <hyperlink r:id="rId631" location="gid=1340171929&amp;range=A409" ref="A638"/>
    <hyperlink r:id="rId632" location="gid=1340171929&amp;range=A410" ref="A639"/>
    <hyperlink r:id="rId633" location="gid=1340171929&amp;range=A411" ref="A640"/>
    <hyperlink r:id="rId634" location="gid=1340171929&amp;range=A412" ref="A641"/>
    <hyperlink r:id="rId635" location="gid=1340171929&amp;range=A413" ref="A642"/>
    <hyperlink r:id="rId636" location="gid=1340171929&amp;range=A414" ref="A643"/>
    <hyperlink r:id="rId637" location="gid=1340171929&amp;range=A415" ref="A644"/>
    <hyperlink r:id="rId638" location="gid=1340171929&amp;range=A417" ref="A645"/>
    <hyperlink r:id="rId639" location="gid=1340171929&amp;range=A418" ref="A646"/>
    <hyperlink r:id="rId640" location="gid=1340171929&amp;range=A419" ref="A647"/>
    <hyperlink r:id="rId641" location="gid=1340171929&amp;range=A421" ref="A648"/>
    <hyperlink r:id="rId642" location="gid=1340171929&amp;range=A423" ref="A649"/>
    <hyperlink r:id="rId643" location="gid=1340171929&amp;range=A424" ref="A650"/>
    <hyperlink r:id="rId644" location="gid=1340171929&amp;range=A425" ref="A651"/>
    <hyperlink r:id="rId645" location="gid=1340171929&amp;range=A426" ref="A652"/>
    <hyperlink r:id="rId646" location="gid=1340171929&amp;range=A427" ref="A653"/>
    <hyperlink r:id="rId647" location="gid=1340171929&amp;range=A428" ref="A654"/>
    <hyperlink r:id="rId648" location="gid=1340171929&amp;range=A429" ref="A655"/>
    <hyperlink r:id="rId649" location="gid=1340171929&amp;range=A430" ref="A656"/>
    <hyperlink r:id="rId650" location="gid=1340171929&amp;range=A431" ref="A657"/>
    <hyperlink r:id="rId651" location="gid=1340171929&amp;range=A432" ref="A658"/>
    <hyperlink r:id="rId652" location="gid=1340171929&amp;range=A433" ref="A659"/>
    <hyperlink r:id="rId653" location="gid=1340171929&amp;range=A434" ref="A660"/>
    <hyperlink r:id="rId654" location="gid=1340171929&amp;range=A436" ref="A661"/>
    <hyperlink r:id="rId655" location="gid=1340171929&amp;range=A437" ref="A662"/>
    <hyperlink r:id="rId656" location="gid=1340171929&amp;range=A438" ref="A663"/>
    <hyperlink r:id="rId657" location="gid=1340171929&amp;range=A439" ref="A664"/>
    <hyperlink r:id="rId658" location="gid=1340171929&amp;range=A440" ref="A665"/>
    <hyperlink r:id="rId659" location="gid=1340171929&amp;range=A441" ref="A666"/>
    <hyperlink r:id="rId660" location="gid=1340171929&amp;range=A442" ref="A667"/>
    <hyperlink r:id="rId661" location="gid=1340171929&amp;range=A443" ref="A668"/>
    <hyperlink r:id="rId662" location="gid=1340171929&amp;range=A444" ref="A669"/>
    <hyperlink r:id="rId663" location="gid=1340171929&amp;range=A445" ref="A670"/>
    <hyperlink r:id="rId664" location="gid=1340171929&amp;range=A446" ref="A671"/>
    <hyperlink r:id="rId665" location="gid=1340171929&amp;range=A447" ref="A672"/>
    <hyperlink r:id="rId666" location="gid=1340171929&amp;range=A449" ref="A673"/>
    <hyperlink r:id="rId667" location="gid=1340171929&amp;range=A450" ref="A674"/>
    <hyperlink r:id="rId668" location="gid=1340171929&amp;range=A451" ref="A675"/>
    <hyperlink r:id="rId669" location="gid=0&amp;range=A29" ref="A677"/>
    <hyperlink r:id="rId670" location="gid=0&amp;range=A31" ref="A678"/>
    <hyperlink r:id="rId671" location="gid=0&amp;range=A33" ref="A679"/>
    <hyperlink r:id="rId672" location="gid=0&amp;range=A35" ref="A680"/>
    <hyperlink r:id="rId673" location="gid=0&amp;range=A36" ref="A681"/>
    <hyperlink r:id="rId674" location="gid=0&amp;range=A38" ref="A682"/>
    <hyperlink r:id="rId675" location="gid=0&amp;range=A40" ref="A683"/>
    <hyperlink r:id="rId676" location="gid=0&amp;range=A41" ref="A684"/>
    <hyperlink r:id="rId677" location="gid=0&amp;range=A42" ref="A685"/>
    <hyperlink r:id="rId678" location="gid=0&amp;range=A43" ref="A686"/>
    <hyperlink r:id="rId679" location="gid=0&amp;range=A45" ref="A687"/>
    <hyperlink r:id="rId680" location="gid=0&amp;range=A47" ref="A688"/>
    <hyperlink r:id="rId681" location="gid=0&amp;range=A50" ref="A689"/>
    <hyperlink r:id="rId682" location="gid=0&amp;range=A52" ref="A690"/>
    <hyperlink r:id="rId683" location="gid=0&amp;range=A53" ref="A691"/>
    <hyperlink r:id="rId684" location="gid=0&amp;range=A55" ref="A692"/>
    <hyperlink r:id="rId685" location="gid=0&amp;range=A58" ref="A693"/>
    <hyperlink r:id="rId686" location="gid=0&amp;range=A60" ref="A694"/>
    <hyperlink r:id="rId687" location="gid=0&amp;range=A63" ref="A695"/>
    <hyperlink r:id="rId688" location="gid=0&amp;range=A66" ref="A696"/>
    <hyperlink r:id="rId689" location="gid=0&amp;range=A67" ref="A697"/>
    <hyperlink r:id="rId690" location="gid=0&amp;range=A69" ref="A698"/>
    <hyperlink r:id="rId691" location="gid=0&amp;range=A70" ref="A699"/>
    <hyperlink r:id="rId692" location="gid=0&amp;range=A72" ref="A700"/>
    <hyperlink r:id="rId693" location="gid=0&amp;range=A73" ref="A701"/>
    <hyperlink r:id="rId694" location="gid=0&amp;range=A75" ref="A702"/>
    <hyperlink r:id="rId695" location="gid=0&amp;range=A77" ref="A703"/>
    <hyperlink r:id="rId696" location="gid=0&amp;range=A79" ref="A704"/>
    <hyperlink r:id="rId697" location="gid=0&amp;range=A81" ref="A705"/>
    <hyperlink r:id="rId698" location="gid=0&amp;range=A82" ref="A706"/>
    <hyperlink r:id="rId699" location="gid=0&amp;range=A83" ref="A707"/>
    <hyperlink r:id="rId700" location="gid=0&amp;range=A18" ref="A709"/>
    <hyperlink r:id="rId701" location="gid=0&amp;range=A20" ref="A710"/>
    <hyperlink r:id="rId702" location="gid=0&amp;range=A22" ref="A711"/>
    <hyperlink r:id="rId703" location="gid=0&amp;range=A23" ref="A712"/>
    <hyperlink r:id="rId704" location="gid=0&amp;range=A25" ref="A713"/>
    <hyperlink r:id="rId705" location="gid=0&amp;range=A27" ref="A714"/>
    <hyperlink r:id="rId706" location="gid=0&amp;range=A28" ref="A715"/>
    <hyperlink r:id="rId707" location="gid=0&amp;range=A31" ref="A716"/>
    <hyperlink r:id="rId708" location="gid=0&amp;range=A32" ref="A717"/>
    <hyperlink r:id="rId709" location="gid=0&amp;range=A33" ref="A718"/>
    <hyperlink r:id="rId710" location="gid=0&amp;range=A34" ref="A719"/>
    <hyperlink r:id="rId711" location="gid=0&amp;range=A22" ref="A722"/>
    <hyperlink r:id="rId712" location="gid=0&amp;range=A24" ref="A723"/>
    <hyperlink r:id="rId713" location="gid=0&amp;range=A26" ref="A724"/>
    <hyperlink r:id="rId714" location="gid=0&amp;range=A28" ref="A725"/>
    <hyperlink r:id="rId715" location="gid=0&amp;range=A31" ref="A726"/>
    <hyperlink r:id="rId716" location="gid=0&amp;range=A33" ref="A727"/>
    <hyperlink r:id="rId717" location="gid=0&amp;range=A36" ref="A728"/>
    <hyperlink r:id="rId718" location="gid=0&amp;range=A37" ref="A729"/>
    <hyperlink r:id="rId719" location="gid=0&amp;range=A39" ref="A730"/>
    <hyperlink r:id="rId720" location="gid=0&amp;range=A42" ref="A731"/>
    <hyperlink r:id="rId721" location="gid=0&amp;range=A43" ref="A732"/>
    <hyperlink r:id="rId722" location="gid=0&amp;range=A45" ref="A733"/>
    <hyperlink r:id="rId723" location="gid=0&amp;range=A47" ref="A734"/>
  </hyperlinks>
  <drawing r:id="rId724"/>
</worksheet>
</file>