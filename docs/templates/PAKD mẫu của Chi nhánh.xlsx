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D14" sheetId="1" r:id="rId5"/>
  </sheets>
  <definedNames/>
  <calcPr/>
</workbook>
</file>

<file path=xl/sharedStrings.xml><?xml version="1.0" encoding="utf-8"?>
<sst xmlns="http://schemas.openxmlformats.org/spreadsheetml/2006/main" count="72" uniqueCount="69">
  <si>
    <t>Dự kiến PAKD cho Số PO/HĐ:</t>
  </si>
  <si>
    <t>HD123</t>
  </si>
  <si>
    <t>T/giá EURO</t>
  </si>
  <si>
    <t>xxxx</t>
  </si>
  <si>
    <t>Khách hàng:</t>
  </si>
  <si>
    <t>TỔNG CÔNG TY XÂY DỰNG X</t>
  </si>
  <si>
    <t>T/giá USD</t>
  </si>
  <si>
    <t>Số lượng SP</t>
  </si>
  <si>
    <t/>
  </si>
  <si>
    <t>STT</t>
  </si>
  <si>
    <t>CHI TIẾT SẢN PHẨM/DỊCH VỤ</t>
  </si>
  <si>
    <t>Số Lượng</t>
  </si>
  <si>
    <t xml:space="preserve">Nhập từ </t>
  </si>
  <si>
    <t>Đầu vào</t>
  </si>
  <si>
    <t>Đầu ra</t>
  </si>
  <si>
    <t>CHÊNH LỆCH</t>
  </si>
  <si>
    <t>Giá nhập (VND)</t>
  </si>
  <si>
    <t>Thành tiền (VND)</t>
  </si>
  <si>
    <t>Đơn giá (VND)</t>
  </si>
  <si>
    <t>Chênh lệch: Bán - mua</t>
  </si>
  <si>
    <t>% LN</t>
  </si>
  <si>
    <t>Phần mềm Cubicost TAS Pro - 1 year
(Ghi chú: Phần mềm 5D BIM tích hợp thông minh, một điểm đến cho bóc tách khối lượng Kiến trúc và Kết cấu Gói thuê bao 1 năm (bao gồm bảo trì và cập nhật)
Tích hợp sẵn quy tắc tính toán theo tiêu chuẩn Việt Nam)</t>
  </si>
  <si>
    <t>Glodon</t>
  </si>
  <si>
    <t>Phần mềm Cubicost TME - 1 year
Phần mềm bóc tách khối lượng BIM 5D cho cơ điện và phòng cháy chữa cháy (MEP &amp; Firefighting) Gói thuê bao 1 năm (bao gồm bảo trì và cập nhật) 
Tích hợp Hệ thống Định mức Đo lường Tiêu chuẩn QS</t>
  </si>
  <si>
    <t>Phần mềm Trimble Connect Business
Premium Commercial New Annual
Subscription</t>
  </si>
  <si>
    <t>Trimple</t>
  </si>
  <si>
    <t>Phần mềm SketchUp Pro 1Yr Subs Renewal</t>
  </si>
  <si>
    <t>Tổng cộng hợp đồng:</t>
  </si>
  <si>
    <t>Tổng hợp tài chính:</t>
  </si>
  <si>
    <t>Dự kiến tiến độ thanh toán</t>
  </si>
  <si>
    <t>Thanh toán hợp đồng:</t>
  </si>
  <si>
    <t>A</t>
  </si>
  <si>
    <t>Sản lượng hợp đồng</t>
  </si>
  <si>
    <t>Tạm ứng:</t>
  </si>
  <si>
    <t>B</t>
  </si>
  <si>
    <t>Giá nhập</t>
  </si>
  <si>
    <t>Ngay sau khi ký hợp đồng</t>
  </si>
  <si>
    <t>- Tạm ứng của khách hàng</t>
  </si>
  <si>
    <t>C</t>
  </si>
  <si>
    <t>Chi phí khác (thuế nhà thầu, logistics…)</t>
  </si>
  <si>
    <t>- Tạm ứng cho nhà cung cấp</t>
  </si>
  <si>
    <t>D</t>
  </si>
  <si>
    <t>Phí thuê chuyên gia (net)</t>
  </si>
  <si>
    <t>- Tạm ứng khác</t>
  </si>
  <si>
    <t>E</t>
  </si>
  <si>
    <t>Phí hỗ trợ chuyên gia thực hiện (D x 30%)</t>
  </si>
  <si>
    <t>F</t>
  </si>
  <si>
    <t>Tổng giá mua và chi phí (B+C+D+E)</t>
  </si>
  <si>
    <t>G</t>
  </si>
  <si>
    <t>Lợi nhuận Gộp (G=A-F)</t>
  </si>
  <si>
    <t>H</t>
  </si>
  <si>
    <t>Hệ số LN/ DT (G/A)</t>
  </si>
  <si>
    <t>Thanh toán:</t>
  </si>
  <si>
    <t>I</t>
  </si>
  <si>
    <t xml:space="preserve">Tổng LN chuyển về công ty </t>
  </si>
  <si>
    <t>15 ngày sau khi nhận hàng</t>
  </si>
  <si>
    <t>- Thanh toán của khách hàng</t>
  </si>
  <si>
    <t>Nhóm SP theo tỷ lệ 18,5%</t>
  </si>
  <si>
    <t>Nhóm SP theo tỷ lệ 25%</t>
  </si>
  <si>
    <t>Nhóm SP theo tỷ lệ Khác</t>
  </si>
  <si>
    <t>K</t>
  </si>
  <si>
    <t>LN để lại CN (=G-I)</t>
  </si>
  <si>
    <t>- Thanh toán cho nhà cung cấp</t>
  </si>
  <si>
    <t>Giám đốc</t>
  </si>
  <si>
    <t>Trưởng bộ phận</t>
  </si>
  <si>
    <t>Người thực hiện</t>
  </si>
  <si>
    <t>Mai Anh Tuấn</t>
  </si>
  <si>
    <t>Nguyễn Thị Hoàng Yến</t>
  </si>
  <si>
    <t>Chế Ngọc 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</si>
</sst>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9">
    <font>
      <sz val="10.0"/>
      <color rgb="FF000000"/>
      <name val="Arial"/>
      <scheme val="minor"/>
    </font>
    <font>
      <sz val="10.0"/>
      <color theme="1"/>
      <name val="Times New Roman"/>
    </font>
    <font>
      <b/>
      <sz val="12.0"/>
      <color theme="1"/>
      <name val="Times New Roman"/>
    </font>
    <font>
      <b/>
      <sz val="11.0"/>
      <color rgb="FFFF0000"/>
      <name val="Times New Roman"/>
    </font>
    <font/>
    <font>
      <sz val="11.0"/>
      <color theme="1"/>
      <name val="Times New Roman"/>
    </font>
    <font>
      <b/>
      <sz val="10.0"/>
      <color theme="1"/>
      <name val="Times New Roman"/>
    </font>
    <font>
      <sz val="9.0"/>
      <color rgb="FF000000"/>
      <name val="Arial"/>
    </font>
    <font>
      <sz val="12.0"/>
      <color theme="1"/>
      <name val="Times New Roman"/>
    </font>
    <font>
      <b/>
      <sz val="12.0"/>
      <color rgb="FF000000"/>
      <name val="Times New Roman"/>
    </font>
    <font>
      <b/>
      <sz val="11.0"/>
      <color rgb="FF9900FF"/>
      <name val="Times New Roman"/>
    </font>
    <font>
      <b/>
      <sz val="10.0"/>
      <color rgb="FFFF0000"/>
      <name val="Times New Roman"/>
    </font>
    <font>
      <b/>
      <sz val="10.0"/>
      <color rgb="FF000000"/>
      <name val="Times New Roman"/>
    </font>
    <font>
      <i/>
      <sz val="9.0"/>
      <color rgb="FF000000"/>
      <name val="Times New Roman"/>
    </font>
    <font>
      <sz val="10.0"/>
      <color rgb="FF000000"/>
      <name val="Times New Roman"/>
    </font>
    <font>
      <sz val="10.0"/>
      <color theme="1"/>
      <name val="Palatino Linotype"/>
    </font>
    <font>
      <b/>
      <sz val="10.0"/>
      <color rgb="FF980000"/>
      <name val="Times New Roman"/>
    </font>
    <font>
      <sz val="12.0"/>
      <color rgb="FF000000"/>
      <name val="Times New Roman"/>
    </font>
    <font>
      <b/>
      <u/>
      <sz val="10.0"/>
      <color rgb="FF000000"/>
      <name val="Times New Roman"/>
    </font>
    <font>
      <b/>
      <sz val="10.0"/>
      <color rgb="FF0070C0"/>
      <name val="Times New Roman"/>
    </font>
    <font>
      <sz val="10.0"/>
      <color theme="1"/>
      <name val="Arial"/>
    </font>
    <font>
      <b/>
      <sz val="10.0"/>
      <color rgb="FF7030A0"/>
      <name val="Times New Roman"/>
    </font>
    <font>
      <b/>
      <i/>
      <sz val="9.0"/>
      <color rgb="FF0070C0"/>
      <name val="Times New Roman"/>
    </font>
    <font>
      <b/>
      <i/>
      <sz val="10.0"/>
      <color rgb="FF0070C0"/>
      <name val="Times New Roman"/>
    </font>
    <font>
      <i/>
      <sz val="9.0"/>
      <color rgb="FF0070C0"/>
      <name val="Times New Roman"/>
    </font>
    <font>
      <i/>
      <sz val="10.0"/>
      <color rgb="FF0070C0"/>
      <name val="Times New Roman"/>
    </font>
    <font>
      <b/>
      <i/>
      <sz val="10.0"/>
      <color rgb="FF000000"/>
      <name val="Times New Roman"/>
    </font>
    <font>
      <b/>
      <i/>
      <sz val="10.0"/>
      <color theme="1"/>
      <name val="Times New Roman"/>
    </font>
    <font>
      <b/>
      <sz val="10.0"/>
      <color rgb="FF9900FF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right" shrinkToFit="0" vertical="center" wrapText="1"/>
    </xf>
    <xf borderId="1" fillId="2" fontId="3" numFmtId="0" xfId="0" applyAlignment="1" applyBorder="1" applyFill="1" applyFont="1">
      <alignment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right" shrinkToFit="0" wrapText="1"/>
    </xf>
    <xf borderId="0" fillId="0" fontId="5" numFmtId="0" xfId="0" applyFont="1"/>
    <xf borderId="4" fillId="3" fontId="7" numFmtId="0" xfId="0" applyBorder="1" applyFill="1" applyFont="1"/>
    <xf borderId="0" fillId="0" fontId="8" numFmtId="0" xfId="0" applyFont="1"/>
    <xf borderId="0" fillId="0" fontId="9" numFmtId="0" xfId="0" applyAlignment="1" applyFont="1">
      <alignment horizontal="right" shrinkToFit="0" vertical="center" wrapText="1"/>
    </xf>
    <xf borderId="0" fillId="0" fontId="10" numFmtId="0" xfId="0" applyAlignment="1" applyFont="1">
      <alignment horizontal="left" readingOrder="0" vertical="center"/>
    </xf>
    <xf borderId="0" fillId="0" fontId="11" numFmtId="3" xfId="0" applyAlignment="1" applyFont="1" applyNumberFormat="1">
      <alignment horizontal="right" shrinkToFit="0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Font="1"/>
    <xf borderId="5" fillId="0" fontId="12" numFmtId="0" xfId="0" applyAlignment="1" applyBorder="1" applyFont="1">
      <alignment horizontal="center" shrinkToFit="0" vertical="center" wrapText="1"/>
    </xf>
    <xf borderId="5" fillId="0" fontId="12" numFmtId="49" xfId="0" applyAlignment="1" applyBorder="1" applyFont="1" applyNumberForma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5" fillId="0" fontId="12" numFmtId="164" xfId="0" applyAlignment="1" applyBorder="1" applyFont="1" applyNumberFormat="1">
      <alignment horizontal="center" shrinkToFit="0" vertical="center" wrapText="1"/>
    </xf>
    <xf borderId="9" fillId="0" fontId="13" numFmtId="0" xfId="0" applyAlignment="1" applyBorder="1" applyFont="1">
      <alignment horizontal="center" shrinkToFit="0" vertical="center" wrapText="1"/>
    </xf>
    <xf borderId="9" fillId="0" fontId="13" numFmtId="49" xfId="0" applyAlignment="1" applyBorder="1" applyFont="1" applyNumberFormat="1">
      <alignment horizontal="center" shrinkToFit="0" vertical="center" wrapText="1"/>
    </xf>
    <xf borderId="9" fillId="0" fontId="14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shrinkToFit="0" vertical="center" wrapText="1"/>
    </xf>
    <xf borderId="9" fillId="0" fontId="12" numFmtId="3" xfId="0" applyAlignment="1" applyBorder="1" applyFont="1" applyNumberForma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9" fillId="0" fontId="14" numFmtId="3" xfId="0" applyAlignment="1" applyBorder="1" applyFont="1" applyNumberFormat="1">
      <alignment horizontal="right" shrinkToFit="0" vertical="center" wrapText="1"/>
    </xf>
    <xf borderId="9" fillId="0" fontId="16" numFmtId="3" xfId="0" applyAlignment="1" applyBorder="1" applyFont="1" applyNumberFormat="1">
      <alignment horizontal="right" shrinkToFit="0" vertical="center" wrapText="1"/>
    </xf>
    <xf borderId="9" fillId="0" fontId="1" numFmtId="10" xfId="0" applyAlignment="1" applyBorder="1" applyFont="1" applyNumberFormat="1">
      <alignment shrinkToFit="0" wrapText="1"/>
    </xf>
    <xf borderId="0" fillId="0" fontId="8" numFmtId="9" xfId="0" applyFont="1" applyNumberFormat="1"/>
    <xf borderId="6" fillId="0" fontId="14" numFmtId="0" xfId="0" applyAlignment="1" applyBorder="1" applyFont="1">
      <alignment horizontal="center" shrinkToFit="0" vertical="center" wrapText="1"/>
    </xf>
    <xf borderId="10" fillId="0" fontId="12" numFmtId="49" xfId="0" applyAlignment="1" applyBorder="1" applyFont="1" applyNumberFormat="1">
      <alignment horizontal="center" shrinkToFit="0" vertical="center" wrapText="1"/>
    </xf>
    <xf borderId="10" fillId="0" fontId="12" numFmtId="49" xfId="0" applyAlignment="1" applyBorder="1" applyFont="1" applyNumberFormat="1">
      <alignment shrinkToFit="0" vertical="center" wrapText="1"/>
    </xf>
    <xf borderId="9" fillId="0" fontId="12" numFmtId="3" xfId="0" applyAlignment="1" applyBorder="1" applyFont="1" applyNumberFormat="1">
      <alignment horizontal="right" shrinkToFit="0" vertical="center" wrapText="1"/>
    </xf>
    <xf borderId="9" fillId="0" fontId="6" numFmtId="3" xfId="0" applyAlignment="1" applyBorder="1" applyFont="1" applyNumberFormat="1">
      <alignment horizontal="right" shrinkToFit="0" vertical="center" wrapText="1"/>
    </xf>
    <xf borderId="7" fillId="0" fontId="6" numFmtId="3" xfId="0" applyAlignment="1" applyBorder="1" applyFont="1" applyNumberFormat="1">
      <alignment horizontal="right" shrinkToFit="0" vertical="center" wrapText="1"/>
    </xf>
    <xf borderId="0" fillId="0" fontId="17" numFmtId="0" xfId="0" applyFont="1"/>
    <xf borderId="0" fillId="0" fontId="1" numFmtId="0" xfId="0" applyFont="1"/>
    <xf borderId="0" fillId="0" fontId="18" numFmtId="0" xfId="0" applyAlignment="1" applyFont="1">
      <alignment horizontal="center" vertical="center"/>
    </xf>
    <xf borderId="0" fillId="0" fontId="6" numFmtId="0" xfId="0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6" numFmtId="3" xfId="0" applyAlignment="1" applyFont="1" applyNumberFormat="1">
      <alignment horizontal="right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left" vertical="center"/>
    </xf>
    <xf borderId="0" fillId="0" fontId="19" numFmtId="3" xfId="0" applyAlignment="1" applyFont="1" applyNumberFormat="1">
      <alignment horizontal="right"/>
    </xf>
    <xf borderId="0" fillId="0" fontId="20" numFmtId="0" xfId="0" applyFont="1"/>
    <xf borderId="0" fillId="0" fontId="1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" numFmtId="3" xfId="0" applyAlignment="1" applyFont="1" applyNumberFormat="1">
      <alignment horizontal="right"/>
    </xf>
    <xf borderId="0" fillId="0" fontId="21" numFmtId="3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164" xfId="0" applyFont="1" applyNumberFormat="1"/>
    <xf borderId="0" fillId="0" fontId="12" numFmtId="0" xfId="0" applyAlignment="1" applyFont="1">
      <alignment horizontal="left" vertical="center"/>
    </xf>
    <xf borderId="0" fillId="0" fontId="6" numFmtId="0" xfId="0" applyAlignment="1" applyFont="1">
      <alignment horizontal="right" vertical="center"/>
    </xf>
    <xf borderId="0" fillId="0" fontId="14" numFmtId="0" xfId="0" applyAlignment="1" applyFont="1">
      <alignment horizontal="right" vertical="center"/>
    </xf>
    <xf borderId="0" fillId="0" fontId="1" numFmtId="164" xfId="0" applyAlignment="1" applyFont="1" applyNumberFormat="1">
      <alignment horizontal="right"/>
    </xf>
    <xf borderId="0" fillId="0" fontId="22" numFmtId="49" xfId="0" applyAlignment="1" applyFont="1" applyNumberFormat="1">
      <alignment horizontal="right" readingOrder="0" shrinkToFit="0" wrapText="1"/>
    </xf>
    <xf borderId="0" fillId="0" fontId="23" numFmtId="3" xfId="0" applyAlignment="1" applyFont="1" applyNumberFormat="1">
      <alignment horizontal="right"/>
    </xf>
    <xf borderId="0" fillId="0" fontId="20" numFmtId="3" xfId="0" applyFont="1" applyNumberFormat="1"/>
    <xf borderId="0" fillId="0" fontId="24" numFmtId="49" xfId="0" applyAlignment="1" applyFont="1" applyNumberFormat="1">
      <alignment horizontal="right" readingOrder="0" shrinkToFit="0" wrapText="1"/>
    </xf>
    <xf borderId="0" fillId="0" fontId="25" numFmtId="3" xfId="0" applyAlignment="1" applyFont="1" applyNumberFormat="1">
      <alignment horizontal="right"/>
    </xf>
    <xf borderId="0" fillId="0" fontId="11" numFmtId="0" xfId="0" applyAlignment="1" applyFont="1">
      <alignment horizontal="center" vertical="center"/>
    </xf>
    <xf borderId="0" fillId="0" fontId="11" numFmtId="49" xfId="0" applyAlignment="1" applyFont="1" applyNumberFormat="1">
      <alignment horizontal="right" shrinkToFit="0" wrapText="1"/>
    </xf>
    <xf borderId="0" fillId="0" fontId="11" numFmtId="3" xfId="0" applyAlignment="1" applyFont="1" applyNumberFormat="1">
      <alignment horizontal="right"/>
    </xf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vertical="center"/>
    </xf>
    <xf borderId="0" fillId="0" fontId="26" numFmtId="0" xfId="0" applyAlignment="1" applyFont="1">
      <alignment vertical="center"/>
    </xf>
    <xf borderId="0" fillId="0" fontId="6" numFmtId="164" xfId="0" applyFont="1" applyNumberFormat="1"/>
    <xf borderId="0" fillId="0" fontId="2" numFmtId="0" xfId="0" applyFont="1"/>
    <xf borderId="0" fillId="0" fontId="1" numFmtId="0" xfId="0" applyAlignment="1" applyFont="1">
      <alignment horizontal="left" shrinkToFit="0" vertical="center" wrapText="1"/>
    </xf>
    <xf borderId="0" fillId="0" fontId="14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wrapText="1"/>
    </xf>
    <xf borderId="0" fillId="0" fontId="12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0" fillId="0" fontId="20" numFmtId="0" xfId="0" applyAlignment="1" applyFont="1">
      <alignment shrinkToFit="0" wrapText="1"/>
    </xf>
    <xf borderId="0" fillId="0" fontId="28" numFmtId="0" xfId="0" applyAlignment="1" applyFont="1">
      <alignment readingOrder="0" vertical="center"/>
    </xf>
    <xf borderId="0" fillId="0" fontId="8" numFmtId="0" xfId="0" applyAlignment="1" applyFont="1">
      <alignment horizontal="left" shrinkToFit="0" vertical="center" wrapText="1"/>
    </xf>
    <xf borderId="0" fillId="0" fontId="8" numFmtId="49" xfId="0" applyAlignment="1" applyFont="1" applyNumberFormat="1">
      <alignment shrinkToFit="0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shrinkToFit="0" vertical="center" wrapText="1"/>
    </xf>
    <xf borderId="0" fillId="0" fontId="8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71.5"/>
    <col customWidth="1" min="3" max="3" width="7.0"/>
    <col customWidth="1" min="4" max="4" width="9.38"/>
    <col customWidth="1" min="5" max="5" width="12.63"/>
    <col customWidth="1" min="6" max="6" width="13.13"/>
    <col customWidth="1" min="7" max="7" width="10.5"/>
    <col customWidth="1" min="8" max="8" width="13.63"/>
    <col customWidth="1" min="9" max="9" width="12.63"/>
    <col customWidth="1" min="10" max="10" width="8.38"/>
    <col customWidth="1" min="11" max="11" width="20.38"/>
    <col customWidth="1" min="12" max="12" width="14.63"/>
    <col customWidth="1" min="13" max="13" width="13.88"/>
    <col customWidth="1" min="14" max="14" width="8.88"/>
    <col customWidth="1" min="15" max="25" width="8.0"/>
    <col customWidth="1" min="26" max="26" width="12.5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5"/>
      <c r="I1" s="6" t="s">
        <v>2</v>
      </c>
      <c r="J1" s="7" t="s">
        <v>3</v>
      </c>
      <c r="K1" s="8"/>
      <c r="L1" s="9"/>
      <c r="M1" s="10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1"/>
      <c r="B2" s="11" t="s">
        <v>4</v>
      </c>
      <c r="C2" s="12" t="s">
        <v>5</v>
      </c>
      <c r="I2" s="1" t="s">
        <v>6</v>
      </c>
      <c r="J2" s="13">
        <v>26400.0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"/>
      <c r="B3" s="14" t="s">
        <v>7</v>
      </c>
      <c r="C3" s="15">
        <v>4.0</v>
      </c>
      <c r="D3" s="16" t="s">
        <v>8</v>
      </c>
      <c r="E3" s="1"/>
      <c r="F3" s="1"/>
      <c r="G3" s="1"/>
      <c r="H3" s="1"/>
      <c r="I3" s="1"/>
      <c r="J3" s="1"/>
      <c r="K3" s="8"/>
      <c r="L3" s="1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7" t="s">
        <v>9</v>
      </c>
      <c r="B4" s="18" t="s">
        <v>10</v>
      </c>
      <c r="C4" s="17" t="s">
        <v>11</v>
      </c>
      <c r="D4" s="17" t="s">
        <v>12</v>
      </c>
      <c r="E4" s="19" t="s">
        <v>13</v>
      </c>
      <c r="F4" s="20"/>
      <c r="G4" s="19" t="s">
        <v>14</v>
      </c>
      <c r="H4" s="20"/>
      <c r="I4" s="19" t="s">
        <v>15</v>
      </c>
      <c r="J4" s="2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21"/>
      <c r="B5" s="21"/>
      <c r="C5" s="21"/>
      <c r="D5" s="21"/>
      <c r="E5" s="17" t="s">
        <v>16</v>
      </c>
      <c r="F5" s="17" t="s">
        <v>17</v>
      </c>
      <c r="G5" s="17" t="s">
        <v>18</v>
      </c>
      <c r="H5" s="17" t="s">
        <v>17</v>
      </c>
      <c r="I5" s="17" t="s">
        <v>19</v>
      </c>
      <c r="J5" s="22" t="s">
        <v>20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23">
        <v>1.0</v>
      </c>
      <c r="B6" s="24">
        <v>2.0</v>
      </c>
      <c r="C6" s="24">
        <v>3.0</v>
      </c>
      <c r="D6" s="24">
        <v>4.0</v>
      </c>
      <c r="E6" s="24">
        <v>5.0</v>
      </c>
      <c r="F6" s="24">
        <v>6.0</v>
      </c>
      <c r="G6" s="24">
        <v>7.0</v>
      </c>
      <c r="H6" s="24">
        <v>8.0</v>
      </c>
      <c r="I6" s="24">
        <v>9.0</v>
      </c>
      <c r="J6" s="24">
        <v>10.0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25">
        <v>1.0</v>
      </c>
      <c r="B7" s="26" t="s">
        <v>21</v>
      </c>
      <c r="C7" s="27">
        <v>2.0</v>
      </c>
      <c r="D7" s="28" t="s">
        <v>22</v>
      </c>
      <c r="E7" s="29">
        <f>1280*0.92*1.11*J2</f>
        <v>34508390.4</v>
      </c>
      <c r="F7" s="29">
        <f t="shared" ref="F7:F10" si="1">E7*C7</f>
        <v>69016780.8</v>
      </c>
      <c r="G7" s="29">
        <v>3.7584E7</v>
      </c>
      <c r="H7" s="29">
        <f t="shared" ref="H7:H10" si="2">G7*C7</f>
        <v>75168000</v>
      </c>
      <c r="I7" s="30">
        <f t="shared" ref="I7:I11" si="3">H7-F7</f>
        <v>6151219.2</v>
      </c>
      <c r="J7" s="31">
        <f t="shared" ref="J7:J11" si="4">I7/H7</f>
        <v>0.08183295019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25">
        <v>2.0</v>
      </c>
      <c r="B8" s="26" t="s">
        <v>23</v>
      </c>
      <c r="C8" s="27">
        <v>2.0</v>
      </c>
      <c r="D8" s="28" t="s">
        <v>22</v>
      </c>
      <c r="E8" s="29">
        <f>1280*0.92*1.11*J2</f>
        <v>34508390.4</v>
      </c>
      <c r="F8" s="29">
        <f t="shared" si="1"/>
        <v>69016780.8</v>
      </c>
      <c r="G8" s="29">
        <v>3.7584E7</v>
      </c>
      <c r="H8" s="29">
        <f t="shared" si="2"/>
        <v>75168000</v>
      </c>
      <c r="I8" s="30">
        <f t="shared" si="3"/>
        <v>6151219.2</v>
      </c>
      <c r="J8" s="31">
        <f t="shared" si="4"/>
        <v>0.08183295019</v>
      </c>
      <c r="K8" s="32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25">
        <v>3.0</v>
      </c>
      <c r="B9" s="26" t="s">
        <v>24</v>
      </c>
      <c r="C9" s="27">
        <v>1.0</v>
      </c>
      <c r="D9" s="28" t="s">
        <v>25</v>
      </c>
      <c r="E9" s="29">
        <f>270*J2</f>
        <v>7128000</v>
      </c>
      <c r="F9" s="29">
        <f t="shared" si="1"/>
        <v>7128000</v>
      </c>
      <c r="G9" s="29">
        <v>8341000.0</v>
      </c>
      <c r="H9" s="29">
        <f t="shared" si="2"/>
        <v>8341000</v>
      </c>
      <c r="I9" s="30">
        <f t="shared" si="3"/>
        <v>1213000</v>
      </c>
      <c r="J9" s="31">
        <f t="shared" si="4"/>
        <v>0.1454262079</v>
      </c>
      <c r="K9" s="32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25">
        <v>4.0</v>
      </c>
      <c r="B10" s="26" t="s">
        <v>26</v>
      </c>
      <c r="C10" s="27">
        <v>1.0</v>
      </c>
      <c r="D10" s="28" t="s">
        <v>25</v>
      </c>
      <c r="E10" s="29">
        <f>375*J2</f>
        <v>9900000</v>
      </c>
      <c r="F10" s="29">
        <f t="shared" si="1"/>
        <v>9900000</v>
      </c>
      <c r="G10" s="29">
        <v>1.1386E7</v>
      </c>
      <c r="H10" s="29">
        <f t="shared" si="2"/>
        <v>11386000</v>
      </c>
      <c r="I10" s="30">
        <f t="shared" si="3"/>
        <v>1486000</v>
      </c>
      <c r="J10" s="31">
        <f t="shared" si="4"/>
        <v>0.130511154</v>
      </c>
      <c r="K10" s="32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33"/>
      <c r="B11" s="34" t="s">
        <v>27</v>
      </c>
      <c r="C11" s="35"/>
      <c r="D11" s="35"/>
      <c r="E11" s="36"/>
      <c r="F11" s="37">
        <f>SUM(F7:F10)</f>
        <v>155061561.6</v>
      </c>
      <c r="G11" s="38"/>
      <c r="H11" s="38">
        <f>SUM(H7:H10)</f>
        <v>170063000</v>
      </c>
      <c r="I11" s="30">
        <f t="shared" si="3"/>
        <v>15001438.4</v>
      </c>
      <c r="J11" s="31">
        <f t="shared" si="4"/>
        <v>0.08821106531</v>
      </c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40"/>
      <c r="B13" s="41" t="s">
        <v>28</v>
      </c>
      <c r="C13" s="40"/>
      <c r="D13" s="40"/>
      <c r="E13" s="42"/>
      <c r="F13" s="42" t="s">
        <v>29</v>
      </c>
      <c r="G13" s="40"/>
      <c r="H13" s="42" t="s">
        <v>30</v>
      </c>
      <c r="I13" s="40"/>
      <c r="J13" s="4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43" t="s">
        <v>31</v>
      </c>
      <c r="B14" s="44" t="s">
        <v>32</v>
      </c>
      <c r="C14" s="45">
        <f>H11</f>
        <v>170063000</v>
      </c>
      <c r="E14" s="40"/>
      <c r="F14" s="40"/>
      <c r="G14" s="40"/>
      <c r="H14" s="40" t="s">
        <v>33</v>
      </c>
      <c r="I14" s="40"/>
      <c r="J14" s="4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46" t="s">
        <v>34</v>
      </c>
      <c r="B15" s="47" t="s">
        <v>35</v>
      </c>
      <c r="C15" s="48">
        <f>F11</f>
        <v>155061561.6</v>
      </c>
      <c r="E15" s="49"/>
      <c r="F15" s="42" t="s">
        <v>36</v>
      </c>
      <c r="G15" s="40"/>
      <c r="H15" s="40" t="s">
        <v>37</v>
      </c>
      <c r="I15" s="40"/>
      <c r="J15" s="4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50" t="s">
        <v>38</v>
      </c>
      <c r="B16" s="51" t="s">
        <v>39</v>
      </c>
      <c r="C16" s="52"/>
      <c r="E16" s="49"/>
      <c r="F16" s="40"/>
      <c r="G16" s="40"/>
      <c r="H16" s="40" t="s">
        <v>40</v>
      </c>
      <c r="I16" s="40"/>
      <c r="J16" s="40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50" t="s">
        <v>41</v>
      </c>
      <c r="B17" s="51" t="s">
        <v>42</v>
      </c>
      <c r="C17" s="53">
        <v>5000000.0</v>
      </c>
      <c r="E17" s="49"/>
      <c r="F17" s="40"/>
      <c r="G17" s="40"/>
      <c r="H17" s="54" t="s">
        <v>43</v>
      </c>
      <c r="I17" s="40"/>
      <c r="J17" s="55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50" t="s">
        <v>44</v>
      </c>
      <c r="B18" s="51" t="s">
        <v>45</v>
      </c>
      <c r="C18" s="52">
        <f>C17*0.3</f>
        <v>1500000</v>
      </c>
      <c r="E18" s="49"/>
      <c r="F18" s="40"/>
      <c r="G18" s="40"/>
      <c r="H18" s="40"/>
      <c r="I18" s="40"/>
      <c r="J18" s="55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50" t="s">
        <v>46</v>
      </c>
      <c r="B19" s="56" t="s">
        <v>47</v>
      </c>
      <c r="C19" s="45">
        <f>SUM(C15:D18)</f>
        <v>161561561.6</v>
      </c>
      <c r="E19" s="49"/>
      <c r="F19" s="40"/>
      <c r="G19" s="40"/>
      <c r="H19" s="40"/>
      <c r="I19" s="40"/>
      <c r="J19" s="55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50" t="s">
        <v>48</v>
      </c>
      <c r="B20" s="57" t="s">
        <v>49</v>
      </c>
      <c r="C20" s="45">
        <f>C14-C19</f>
        <v>8501438.4</v>
      </c>
      <c r="E20" s="49"/>
      <c r="F20" s="40"/>
      <c r="G20" s="40"/>
      <c r="H20" s="40"/>
      <c r="I20" s="40"/>
      <c r="J20" s="55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50" t="s">
        <v>50</v>
      </c>
      <c r="B21" s="58" t="s">
        <v>51</v>
      </c>
      <c r="C21" s="59">
        <f>C20/C14</f>
        <v>0.04998993549</v>
      </c>
      <c r="E21" s="49"/>
      <c r="F21" s="40"/>
      <c r="G21" s="40"/>
      <c r="H21" s="42" t="s">
        <v>52</v>
      </c>
      <c r="I21" s="40"/>
      <c r="J21" s="55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46" t="s">
        <v>53</v>
      </c>
      <c r="B22" s="60" t="s">
        <v>54</v>
      </c>
      <c r="C22" s="61">
        <f>SUM(C23:D25)</f>
        <v>2647451.104</v>
      </c>
      <c r="E22" s="62"/>
      <c r="F22" s="42" t="s">
        <v>55</v>
      </c>
      <c r="G22" s="40"/>
      <c r="H22" s="40" t="s">
        <v>56</v>
      </c>
      <c r="I22" s="40"/>
      <c r="J22" s="55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46"/>
      <c r="B23" s="63" t="s">
        <v>57</v>
      </c>
      <c r="C23" s="64">
        <f>(I7+I8)*18.5%</f>
        <v>2275951.104</v>
      </c>
      <c r="E23" s="62"/>
      <c r="F23" s="42"/>
      <c r="G23" s="40"/>
      <c r="H23" s="40"/>
      <c r="I23" s="40"/>
      <c r="J23" s="55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46"/>
      <c r="B24" s="63" t="s">
        <v>58</v>
      </c>
      <c r="C24" s="64">
        <f>I10*25%</f>
        <v>371500</v>
      </c>
      <c r="E24" s="62"/>
      <c r="F24" s="42"/>
      <c r="G24" s="40"/>
      <c r="H24" s="40"/>
      <c r="I24" s="40"/>
      <c r="J24" s="55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46"/>
      <c r="B25" s="63" t="s">
        <v>59</v>
      </c>
      <c r="C25" s="64"/>
      <c r="E25" s="62"/>
      <c r="F25" s="42"/>
      <c r="G25" s="40"/>
      <c r="H25" s="40"/>
      <c r="I25" s="40"/>
      <c r="J25" s="55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65" t="s">
        <v>60</v>
      </c>
      <c r="B26" s="66" t="s">
        <v>61</v>
      </c>
      <c r="C26" s="67">
        <f>C20-C22</f>
        <v>5853987.296</v>
      </c>
      <c r="E26" s="62"/>
      <c r="F26" s="40"/>
      <c r="G26" s="40"/>
      <c r="H26" s="40" t="s">
        <v>62</v>
      </c>
      <c r="I26" s="40"/>
      <c r="J26" s="55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44"/>
      <c r="B27" s="68" t="s">
        <v>63</v>
      </c>
      <c r="C27" s="69"/>
      <c r="D27" s="70"/>
      <c r="E27" s="69"/>
      <c r="F27" s="70" t="s">
        <v>64</v>
      </c>
      <c r="G27" s="70"/>
      <c r="H27" s="70" t="s">
        <v>65</v>
      </c>
      <c r="I27" s="42"/>
      <c r="J27" s="71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</row>
    <row r="28">
      <c r="A28" s="73"/>
      <c r="B28" s="74"/>
      <c r="C28" s="74"/>
      <c r="D28" s="74"/>
      <c r="E28" s="74"/>
      <c r="F28" s="74"/>
      <c r="G28" s="74"/>
      <c r="H28" s="74"/>
      <c r="I28" s="1"/>
      <c r="J28" s="75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73"/>
      <c r="B29" s="74"/>
      <c r="C29" s="74"/>
      <c r="D29" s="74"/>
      <c r="E29" s="74"/>
      <c r="F29" s="74"/>
      <c r="G29" s="74"/>
      <c r="H29" s="74"/>
      <c r="I29" s="1"/>
      <c r="J29" s="75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73"/>
      <c r="B30" s="74"/>
      <c r="C30" s="74"/>
      <c r="D30" s="74"/>
      <c r="E30" s="74"/>
      <c r="F30" s="74"/>
      <c r="G30" s="74"/>
      <c r="H30" s="74"/>
      <c r="I30" s="1"/>
      <c r="J30" s="75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73"/>
      <c r="B31" s="76" t="s">
        <v>66</v>
      </c>
      <c r="C31" s="74"/>
      <c r="D31" s="74"/>
      <c r="E31" s="77"/>
      <c r="F31" s="78" t="s">
        <v>67</v>
      </c>
      <c r="G31" s="79"/>
      <c r="H31" s="80" t="s">
        <v>68</v>
      </c>
      <c r="I31" s="1"/>
      <c r="J31" s="75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81"/>
      <c r="B32" s="82"/>
      <c r="C32" s="83"/>
      <c r="D32" s="83"/>
      <c r="E32" s="83"/>
      <c r="F32" s="83"/>
      <c r="G32" s="83"/>
      <c r="H32" s="84"/>
      <c r="I32" s="83"/>
      <c r="J32" s="85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81"/>
      <c r="B33" s="82"/>
      <c r="C33" s="83"/>
      <c r="D33" s="83"/>
      <c r="E33" s="83"/>
      <c r="F33" s="83"/>
      <c r="G33" s="83"/>
      <c r="H33" s="84"/>
      <c r="I33" s="83"/>
      <c r="J33" s="85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81"/>
      <c r="B34" s="82"/>
      <c r="C34" s="83"/>
      <c r="D34" s="83"/>
      <c r="E34" s="83"/>
      <c r="F34" s="83"/>
      <c r="G34" s="83"/>
      <c r="H34" s="84"/>
      <c r="I34" s="83"/>
      <c r="J34" s="85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81"/>
      <c r="B35" s="82"/>
      <c r="C35" s="83"/>
      <c r="D35" s="83"/>
      <c r="E35" s="83"/>
      <c r="F35" s="83"/>
      <c r="G35" s="83"/>
      <c r="H35" s="84"/>
      <c r="I35" s="83"/>
      <c r="J35" s="85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81"/>
      <c r="B36" s="82"/>
      <c r="C36" s="83"/>
      <c r="D36" s="83"/>
      <c r="E36" s="83"/>
      <c r="F36" s="83"/>
      <c r="G36" s="83"/>
      <c r="H36" s="84"/>
      <c r="I36" s="83"/>
      <c r="J36" s="85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81"/>
      <c r="B37" s="82"/>
      <c r="C37" s="83"/>
      <c r="D37" s="83"/>
      <c r="E37" s="83"/>
      <c r="F37" s="83"/>
      <c r="G37" s="83"/>
      <c r="H37" s="84"/>
      <c r="I37" s="83"/>
      <c r="J37" s="85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81"/>
      <c r="B38" s="82"/>
      <c r="C38" s="83"/>
      <c r="D38" s="83"/>
      <c r="E38" s="83"/>
      <c r="F38" s="83"/>
      <c r="G38" s="83"/>
      <c r="H38" s="84"/>
      <c r="I38" s="83"/>
      <c r="J38" s="85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81"/>
      <c r="B39" s="82"/>
      <c r="C39" s="83"/>
      <c r="D39" s="83"/>
      <c r="E39" s="83"/>
      <c r="F39" s="83"/>
      <c r="G39" s="83"/>
      <c r="H39" s="84"/>
      <c r="I39" s="83"/>
      <c r="J39" s="85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22">
    <mergeCell ref="G4:H4"/>
    <mergeCell ref="I4:J4"/>
    <mergeCell ref="C1:H1"/>
    <mergeCell ref="C2:H2"/>
    <mergeCell ref="A4:A5"/>
    <mergeCell ref="B4:B5"/>
    <mergeCell ref="C4:C5"/>
    <mergeCell ref="D4:D5"/>
    <mergeCell ref="E4:F4"/>
    <mergeCell ref="C21:D21"/>
    <mergeCell ref="C22:D22"/>
    <mergeCell ref="C23:D23"/>
    <mergeCell ref="C24:D24"/>
    <mergeCell ref="C25:D25"/>
    <mergeCell ref="C26:D26"/>
    <mergeCell ref="C14:D14"/>
    <mergeCell ref="C15:D15"/>
    <mergeCell ref="C16:D16"/>
    <mergeCell ref="C17:D17"/>
    <mergeCell ref="C18:D18"/>
    <mergeCell ref="C19:D19"/>
    <mergeCell ref="C20:D20"/>
  </mergeCells>
  <printOptions/>
  <pageMargins bottom="0.25" footer="0.0" header="0.0" left="0.25" right="0.25" top="0.33"/>
  <pageSetup paperSize="9" orientation="landscape"/>
  <drawing r:id="rId1"/>
</worksheet>
</file>