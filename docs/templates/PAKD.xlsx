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ocAnh\CIC-ERP\"/>
    </mc:Choice>
  </mc:AlternateContent>
  <xr:revisionPtr revIDLastSave="0" documentId="13_ncr:1_{42F5FC82-DD56-4495-832E-C01227D0C4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Đ01" sheetId="2" r:id="rId1"/>
  </sheets>
  <definedNames>
    <definedName name="KeToan">#REF!</definedName>
    <definedName name="NamedRang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C14" i="2"/>
  <c r="H12" i="2"/>
  <c r="C10" i="2"/>
  <c r="I6" i="2"/>
  <c r="G6" i="2"/>
  <c r="H21" i="2" s="1"/>
  <c r="M5" i="2"/>
  <c r="I5" i="2"/>
  <c r="C11" i="2" s="1"/>
  <c r="G5" i="2"/>
  <c r="H20" i="2" s="1"/>
  <c r="H11" i="2" l="1"/>
  <c r="H18" i="2"/>
  <c r="M6" i="2"/>
  <c r="C9" i="2"/>
  <c r="C15" i="2" s="1"/>
  <c r="C16" i="2" s="1"/>
  <c r="L5" i="2"/>
  <c r="C12" i="2" s="1"/>
  <c r="C17" i="2" l="1"/>
</calcChain>
</file>

<file path=xl/sharedStrings.xml><?xml version="1.0" encoding="utf-8"?>
<sst xmlns="http://schemas.openxmlformats.org/spreadsheetml/2006/main" count="50" uniqueCount="44">
  <si>
    <t>Bentley</t>
  </si>
  <si>
    <t xml:space="preserve">Bảng phương án kinh doanh cho hợp đồng số 01/PPXD2025 với
CÔNG TY CỔ PHẦN PHÁT TRIỂN VÀ ĐẦU TƯ XÂY DỰNG VINCONS  </t>
  </si>
  <si>
    <t>←</t>
  </si>
  <si>
    <t>STT</t>
  </si>
  <si>
    <t>Tên phần mềm</t>
  </si>
  <si>
    <t>Nhà cung cấp</t>
  </si>
  <si>
    <t>Số lượng</t>
  </si>
  <si>
    <t>ĐVT</t>
  </si>
  <si>
    <t>Đầu vào</t>
  </si>
  <si>
    <t>Đầu ra</t>
  </si>
  <si>
    <t>Chi phí khác</t>
  </si>
  <si>
    <t>Chênh lệch</t>
  </si>
  <si>
    <t>Đơn giá</t>
  </si>
  <si>
    <t>Thành tiền</t>
  </si>
  <si>
    <t>Nhập khẩu</t>
  </si>
  <si>
    <t>Thuế nhà thầu</t>
  </si>
  <si>
    <t>Chuyển tiền</t>
  </si>
  <si>
    <t>ETAB nonline</t>
  </si>
  <si>
    <t>CSI</t>
  </si>
  <si>
    <t>VNĐ</t>
  </si>
  <si>
    <t>ewrgsdbdfsdfh</t>
  </si>
  <si>
    <t>Tổng hợp tài chính:</t>
  </si>
  <si>
    <t>Thanh toán hợp đồng:</t>
  </si>
  <si>
    <t>Giá trị</t>
  </si>
  <si>
    <t xml:space="preserve">Đầu vào </t>
  </si>
  <si>
    <t>Tạm ứng:</t>
  </si>
  <si>
    <t>Chiết khấu thêm của Bentley</t>
  </si>
  <si>
    <t>Sản lượng</t>
  </si>
  <si>
    <t>- Tạm ứng của khách hàng</t>
  </si>
  <si>
    <t>- Tạm ứng cho nhà cung cấp</t>
  </si>
  <si>
    <t>Phí thuê chuyên gia (net)</t>
  </si>
  <si>
    <t xml:space="preserve">  + CSI</t>
  </si>
  <si>
    <t>Phí thanh toán chứng từ</t>
  </si>
  <si>
    <t xml:space="preserve">  + Bentley</t>
  </si>
  <si>
    <t>Tổng chi phí</t>
  </si>
  <si>
    <t>Lợi nhuận</t>
  </si>
  <si>
    <t>Hệ số LN/ SL</t>
  </si>
  <si>
    <t>Thanh toán:</t>
  </si>
  <si>
    <t>- Thanh toán của khách hàng</t>
  </si>
  <si>
    <t>- Thanh toán cho nhà cung cấp</t>
  </si>
  <si>
    <t>Tổng giám đốc</t>
  </si>
  <si>
    <t>Phụ trách trung tâm</t>
  </si>
  <si>
    <t>Nguyễn Hoàng Hà</t>
  </si>
  <si>
    <t>Đinh Trần Tuấn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</si>
</sst>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</font>
    <font>
      <sz val="10"/>
      <name val="Arial"/>
    </font>
    <font>
      <b/>
      <sz val="18"/>
      <name val="&quot;Times New Roman&quot;"/>
    </font>
    <font>
      <b/>
      <u/>
      <sz val="36"/>
      <color rgb="FF1155CC"/>
      <name val="Times New Roman"/>
    </font>
    <font>
      <b/>
      <sz val="11"/>
      <name val="Times New Roman"/>
    </font>
    <font>
      <sz val="10"/>
      <name val="Arial"/>
    </font>
    <font>
      <sz val="11"/>
      <name val="Times New Roman"/>
    </font>
    <font>
      <b/>
      <u/>
      <sz val="11"/>
      <name val="Times New Roman"/>
    </font>
    <font>
      <b/>
      <u/>
      <sz val="11"/>
      <name val="Times New Roman"/>
    </font>
    <font>
      <b/>
      <u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3" fontId="6" fillId="0" borderId="6" xfId="0" applyNumberFormat="1" applyFont="1" applyBorder="1" applyAlignment="1">
      <alignment horizontal="right" vertical="center" wrapText="1"/>
    </xf>
    <xf numFmtId="3" fontId="6" fillId="2" borderId="6" xfId="0" applyNumberFormat="1" applyFont="1" applyFill="1" applyBorder="1" applyAlignment="1">
      <alignment horizontal="right" vertical="center" wrapText="1"/>
    </xf>
    <xf numFmtId="3" fontId="6" fillId="0" borderId="6" xfId="0" applyNumberFormat="1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3" fontId="6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horizontal="right" vertical="center" wrapText="1"/>
    </xf>
    <xf numFmtId="3" fontId="4" fillId="2" borderId="0" xfId="0" applyNumberFormat="1" applyFont="1" applyFill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10" fontId="4" fillId="0" borderId="0" xfId="0" applyNumberFormat="1" applyFont="1" applyAlignment="1">
      <alignment horizontal="right" vertical="center" wrapText="1"/>
    </xf>
    <xf numFmtId="10" fontId="6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3" fontId="4" fillId="0" borderId="0" xfId="0" applyNumberFormat="1" applyFont="1" applyAlignment="1">
      <alignment horizontal="right" vertical="center" wrapText="1"/>
    </xf>
    <xf numFmtId="3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0" fontId="9" fillId="0" borderId="0" xfId="0" applyFont="1" applyAlignment="1">
      <alignment vertical="center" wrapText="1"/>
    </xf>
    <xf numFmtId="0" fontId="5" fillId="0" borderId="4" xfId="0" applyFont="1" applyBorder="1" applyAlignment="1">
      <alignment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3" fontId="6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3"/>
  <sheetViews>
    <sheetView tabSelected="1" workbookViewId="0">
      <selection sqref="A1:M1"/>
    </sheetView>
  </sheetViews>
  <sheetFormatPr defaultColWidth="12.6640625" defaultRowHeight="15" customHeight="1"/>
  <cols>
    <col min="1" max="1" width="4.77734375" customWidth="1"/>
    <col min="2" max="2" width="33" customWidth="1"/>
    <col min="3" max="3" width="15.33203125" customWidth="1"/>
    <col min="4" max="4" width="5.6640625" customWidth="1"/>
    <col min="5" max="5" width="5.77734375" customWidth="1"/>
    <col min="6" max="6" width="11.33203125" customWidth="1"/>
    <col min="7" max="7" width="11" customWidth="1"/>
    <col min="8" max="8" width="10.33203125" customWidth="1"/>
    <col min="9" max="9" width="10.44140625" customWidth="1"/>
    <col min="10" max="10" width="9.33203125" customWidth="1"/>
    <col min="11" max="11" width="9.21875" customWidth="1"/>
    <col min="12" max="12" width="8.88671875" customWidth="1"/>
    <col min="13" max="13" width="11.109375" customWidth="1"/>
  </cols>
  <sheetData>
    <row r="1" spans="1:26" ht="12.75" customHeight="1">
      <c r="A1" s="25" t="s">
        <v>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" t="s">
        <v>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26" t="s">
        <v>3</v>
      </c>
      <c r="B3" s="26" t="s">
        <v>4</v>
      </c>
      <c r="C3" s="26" t="s">
        <v>5</v>
      </c>
      <c r="D3" s="26" t="s">
        <v>6</v>
      </c>
      <c r="E3" s="26" t="s">
        <v>7</v>
      </c>
      <c r="F3" s="28" t="s">
        <v>8</v>
      </c>
      <c r="G3" s="29"/>
      <c r="H3" s="28" t="s">
        <v>9</v>
      </c>
      <c r="I3" s="29"/>
      <c r="J3" s="28" t="s">
        <v>10</v>
      </c>
      <c r="K3" s="31"/>
      <c r="L3" s="29"/>
      <c r="M3" s="26" t="s">
        <v>11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27"/>
      <c r="B4" s="27"/>
      <c r="C4" s="27"/>
      <c r="D4" s="27"/>
      <c r="E4" s="27"/>
      <c r="F4" s="3" t="s">
        <v>12</v>
      </c>
      <c r="G4" s="3" t="s">
        <v>13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2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7.5" customHeight="1">
      <c r="A5" s="4">
        <v>1</v>
      </c>
      <c r="B5" s="5" t="s">
        <v>17</v>
      </c>
      <c r="C5" s="4" t="s">
        <v>18</v>
      </c>
      <c r="D5" s="4">
        <v>2</v>
      </c>
      <c r="E5" s="4" t="s">
        <v>19</v>
      </c>
      <c r="F5" s="6">
        <v>23213423</v>
      </c>
      <c r="G5" s="7">
        <f t="shared" ref="G5:G6" si="0">F5*D5</f>
        <v>46426846</v>
      </c>
      <c r="H5" s="6">
        <v>30000000</v>
      </c>
      <c r="I5" s="6">
        <f t="shared" ref="I5:I6" si="1">H5*D5</f>
        <v>60000000</v>
      </c>
      <c r="J5" s="8">
        <v>12344</v>
      </c>
      <c r="K5" s="6">
        <v>234345</v>
      </c>
      <c r="L5" s="6">
        <f>(G5*0.5%)+(10*25500)</f>
        <v>487134.23</v>
      </c>
      <c r="M5" s="6">
        <f t="shared" ref="M5:M6" si="2">I5-G5</f>
        <v>13573154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>
      <c r="A6" s="4">
        <v>2</v>
      </c>
      <c r="B6" s="5" t="s">
        <v>20</v>
      </c>
      <c r="C6" s="4" t="s">
        <v>0</v>
      </c>
      <c r="D6" s="4">
        <v>1</v>
      </c>
      <c r="E6" s="4" t="s">
        <v>19</v>
      </c>
      <c r="F6" s="6">
        <v>234534564</v>
      </c>
      <c r="G6" s="7">
        <f t="shared" si="0"/>
        <v>234534564</v>
      </c>
      <c r="H6" s="6">
        <v>345678933</v>
      </c>
      <c r="I6" s="6">
        <f t="shared" si="1"/>
        <v>345678933</v>
      </c>
      <c r="J6" s="8"/>
      <c r="K6" s="6"/>
      <c r="L6" s="7">
        <v>900776</v>
      </c>
      <c r="M6" s="6">
        <f t="shared" si="2"/>
        <v>111144369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>
      <c r="A7" s="9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9"/>
      <c r="B8" s="12" t="s">
        <v>21</v>
      </c>
      <c r="C8" s="10"/>
      <c r="D8" s="10"/>
      <c r="E8" s="32" t="s">
        <v>22</v>
      </c>
      <c r="F8" s="19"/>
      <c r="G8" s="19"/>
      <c r="H8" s="33" t="s">
        <v>23</v>
      </c>
      <c r="I8" s="19"/>
      <c r="J8" s="10"/>
      <c r="K8" s="34"/>
      <c r="L8" s="19"/>
      <c r="M8" s="1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9"/>
      <c r="B9" s="10" t="s">
        <v>24</v>
      </c>
      <c r="C9" s="14">
        <f>SUM(G5:G6)</f>
        <v>280961410</v>
      </c>
      <c r="D9" s="10"/>
      <c r="E9" s="34" t="s">
        <v>25</v>
      </c>
      <c r="F9" s="19"/>
      <c r="G9" s="19"/>
      <c r="H9" s="11"/>
      <c r="I9" s="11"/>
      <c r="J9" s="10"/>
      <c r="K9" s="10"/>
      <c r="L9" s="10"/>
      <c r="M9" s="1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9"/>
      <c r="B10" s="10" t="s">
        <v>26</v>
      </c>
      <c r="C10" s="15">
        <f>350.8*25765</f>
        <v>9038362</v>
      </c>
      <c r="D10" s="10"/>
      <c r="E10" s="10"/>
      <c r="F10" s="10"/>
      <c r="G10" s="10"/>
      <c r="H10" s="14"/>
      <c r="I10" s="14"/>
      <c r="J10" s="10"/>
      <c r="K10" s="16"/>
      <c r="L10" s="16"/>
      <c r="M10" s="1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9"/>
      <c r="B11" s="10" t="s">
        <v>27</v>
      </c>
      <c r="C11" s="14">
        <f>SUM(I5:I6)</f>
        <v>405678933</v>
      </c>
      <c r="D11" s="10"/>
      <c r="E11" s="20" t="s">
        <v>28</v>
      </c>
      <c r="F11" s="19"/>
      <c r="G11" s="19"/>
      <c r="H11" s="21">
        <f>C11*50%</f>
        <v>202839466.5</v>
      </c>
      <c r="I11" s="19"/>
      <c r="J11" s="10"/>
      <c r="K11" s="30"/>
      <c r="L11" s="19"/>
      <c r="M11" s="1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9"/>
      <c r="B12" s="10" t="s">
        <v>10</v>
      </c>
      <c r="C12" s="14">
        <f>SUM(J5:L6)</f>
        <v>1634599.23</v>
      </c>
      <c r="D12" s="10"/>
      <c r="E12" s="20" t="s">
        <v>29</v>
      </c>
      <c r="F12" s="19"/>
      <c r="G12" s="19"/>
      <c r="H12" s="21">
        <f>SUM(I13:J15)</f>
        <v>0</v>
      </c>
      <c r="I12" s="19"/>
      <c r="J12" s="10"/>
      <c r="K12" s="20"/>
      <c r="L12" s="19"/>
      <c r="M12" s="1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9"/>
      <c r="B13" s="10" t="s">
        <v>30</v>
      </c>
      <c r="C13" s="14">
        <v>12000000</v>
      </c>
      <c r="D13" s="10"/>
      <c r="E13" s="20" t="s">
        <v>31</v>
      </c>
      <c r="F13" s="19"/>
      <c r="G13" s="19"/>
      <c r="H13" s="21">
        <v>0</v>
      </c>
      <c r="I13" s="19"/>
      <c r="J13" s="10"/>
      <c r="K13" s="20"/>
      <c r="L13" s="19"/>
      <c r="M13" s="1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9"/>
      <c r="B14" s="10" t="s">
        <v>32</v>
      </c>
      <c r="C14" s="14">
        <f>C13/0.7*30%</f>
        <v>5142857.1428571437</v>
      </c>
      <c r="D14" s="10"/>
      <c r="E14" s="20" t="s">
        <v>33</v>
      </c>
      <c r="F14" s="19"/>
      <c r="G14" s="19"/>
      <c r="H14" s="21"/>
      <c r="I14" s="19"/>
      <c r="J14" s="10"/>
      <c r="K14" s="20"/>
      <c r="L14" s="19"/>
      <c r="M14" s="1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9"/>
      <c r="B15" s="10" t="s">
        <v>34</v>
      </c>
      <c r="C15" s="14">
        <f>C9-C10+C12+C13+C14</f>
        <v>290700504.37285715</v>
      </c>
      <c r="D15" s="10"/>
      <c r="E15" s="24"/>
      <c r="F15" s="19"/>
      <c r="G15" s="19"/>
      <c r="H15" s="35"/>
      <c r="I15" s="19"/>
      <c r="J15" s="10"/>
      <c r="K15" s="20"/>
      <c r="L15" s="19"/>
      <c r="M15" s="1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9"/>
      <c r="B16" s="10" t="s">
        <v>35</v>
      </c>
      <c r="C16" s="14">
        <f>C11-C15</f>
        <v>114978428.62714285</v>
      </c>
      <c r="D16" s="10"/>
      <c r="E16" s="20"/>
      <c r="F16" s="19"/>
      <c r="G16" s="19"/>
      <c r="H16" s="20"/>
      <c r="I16" s="19"/>
      <c r="J16" s="10"/>
      <c r="K16" s="20"/>
      <c r="L16" s="19"/>
      <c r="M16" s="1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9"/>
      <c r="B17" s="10" t="s">
        <v>36</v>
      </c>
      <c r="C17" s="17">
        <f>C16/C11</f>
        <v>0.2834222319036292</v>
      </c>
      <c r="D17" s="10"/>
      <c r="E17" s="34" t="s">
        <v>37</v>
      </c>
      <c r="F17" s="19"/>
      <c r="G17" s="19"/>
      <c r="H17" s="20"/>
      <c r="I17" s="19"/>
      <c r="J17" s="10"/>
      <c r="K17" s="20"/>
      <c r="L17" s="19"/>
      <c r="M17" s="1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9"/>
      <c r="B18" s="10"/>
      <c r="C18" s="11"/>
      <c r="D18" s="10"/>
      <c r="E18" s="20" t="s">
        <v>38</v>
      </c>
      <c r="F18" s="19"/>
      <c r="G18" s="19"/>
      <c r="H18" s="21">
        <f>C11-H11</f>
        <v>202839466.5</v>
      </c>
      <c r="I18" s="19"/>
      <c r="J18" s="10"/>
      <c r="K18" s="20"/>
      <c r="L18" s="19"/>
      <c r="M18" s="1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9"/>
      <c r="B19" s="20"/>
      <c r="C19" s="19"/>
      <c r="D19" s="10"/>
      <c r="E19" s="20" t="s">
        <v>39</v>
      </c>
      <c r="F19" s="19"/>
      <c r="G19" s="19"/>
      <c r="H19" s="21">
        <f>SUM(I20:J23)</f>
        <v>0</v>
      </c>
      <c r="I19" s="19"/>
      <c r="J19" s="10"/>
      <c r="K19" s="20"/>
      <c r="L19" s="19"/>
      <c r="M19" s="1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9"/>
      <c r="C20" s="10"/>
      <c r="D20" s="10"/>
      <c r="E20" s="20" t="s">
        <v>31</v>
      </c>
      <c r="F20" s="19"/>
      <c r="G20" s="19"/>
      <c r="H20" s="22">
        <f t="shared" ref="H20:H21" si="3">G5</f>
        <v>46426846</v>
      </c>
      <c r="I20" s="19"/>
      <c r="J20" s="10"/>
      <c r="K20" s="20"/>
      <c r="L20" s="19"/>
      <c r="M20" s="1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9"/>
      <c r="B21" s="10"/>
      <c r="C21" s="18"/>
      <c r="D21" s="10"/>
      <c r="E21" s="20" t="s">
        <v>33</v>
      </c>
      <c r="F21" s="19"/>
      <c r="G21" s="19"/>
      <c r="H21" s="22">
        <f t="shared" si="3"/>
        <v>234534564</v>
      </c>
      <c r="I21" s="19"/>
      <c r="J21" s="10"/>
      <c r="K21" s="20"/>
      <c r="L21" s="19"/>
      <c r="M21" s="1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9"/>
      <c r="B22" s="10"/>
      <c r="C22" s="10"/>
      <c r="D22" s="10"/>
      <c r="E22" s="24"/>
      <c r="F22" s="19"/>
      <c r="G22" s="19"/>
      <c r="H22" s="22"/>
      <c r="I22" s="19"/>
      <c r="J22" s="10"/>
      <c r="K22" s="10"/>
      <c r="L22" s="10"/>
      <c r="M22" s="1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9"/>
      <c r="B23" s="10"/>
      <c r="C23" s="18"/>
      <c r="D23" s="10"/>
      <c r="E23" s="20"/>
      <c r="F23" s="19"/>
      <c r="G23" s="19"/>
      <c r="H23" s="20"/>
      <c r="I23" s="19"/>
      <c r="J23" s="10"/>
      <c r="K23" s="10"/>
      <c r="L23" s="10"/>
      <c r="M23" s="1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9"/>
      <c r="B25" s="13"/>
      <c r="C25" s="23" t="s">
        <v>40</v>
      </c>
      <c r="D25" s="19"/>
      <c r="E25" s="19"/>
      <c r="F25" s="10"/>
      <c r="G25" s="10"/>
      <c r="H25" s="10"/>
      <c r="I25" s="23" t="s">
        <v>41</v>
      </c>
      <c r="J25" s="19"/>
      <c r="K25" s="19"/>
      <c r="L25" s="10"/>
      <c r="M25" s="1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9"/>
      <c r="B32" s="10"/>
      <c r="C32" s="23" t="s">
        <v>42</v>
      </c>
      <c r="D32" s="19"/>
      <c r="E32" s="19"/>
      <c r="F32" s="10"/>
      <c r="G32" s="10"/>
      <c r="H32" s="10"/>
      <c r="I32" s="23" t="s">
        <v>43</v>
      </c>
      <c r="J32" s="19"/>
      <c r="K32" s="19"/>
      <c r="L32" s="10"/>
      <c r="M32" s="10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customHeight="1"/>
    <row r="1003" spans="1:26" ht="12.75" customHeight="1"/>
  </sheetData>
  <mergeCells count="56">
    <mergeCell ref="K14:M14"/>
    <mergeCell ref="K15:M15"/>
    <mergeCell ref="K16:M16"/>
    <mergeCell ref="K17:M17"/>
    <mergeCell ref="K18:M18"/>
    <mergeCell ref="E17:G17"/>
    <mergeCell ref="H17:I17"/>
    <mergeCell ref="H18:I18"/>
    <mergeCell ref="K20:M20"/>
    <mergeCell ref="K21:M21"/>
    <mergeCell ref="K19:M19"/>
    <mergeCell ref="E14:G14"/>
    <mergeCell ref="H14:I14"/>
    <mergeCell ref="E15:G15"/>
    <mergeCell ref="H15:I15"/>
    <mergeCell ref="E16:G16"/>
    <mergeCell ref="H16:I16"/>
    <mergeCell ref="E12:G12"/>
    <mergeCell ref="H12:I12"/>
    <mergeCell ref="K12:M12"/>
    <mergeCell ref="E13:G13"/>
    <mergeCell ref="H13:I13"/>
    <mergeCell ref="K13:M13"/>
    <mergeCell ref="H11:I11"/>
    <mergeCell ref="K11:M11"/>
    <mergeCell ref="H3:I3"/>
    <mergeCell ref="J3:L3"/>
    <mergeCell ref="E8:G8"/>
    <mergeCell ref="H8:I8"/>
    <mergeCell ref="K8:M8"/>
    <mergeCell ref="E9:G9"/>
    <mergeCell ref="E11:G11"/>
    <mergeCell ref="A1:M1"/>
    <mergeCell ref="A3:A4"/>
    <mergeCell ref="B3:B4"/>
    <mergeCell ref="C3:C4"/>
    <mergeCell ref="D3:D4"/>
    <mergeCell ref="E3:E4"/>
    <mergeCell ref="F3:G3"/>
    <mergeCell ref="M3:M4"/>
    <mergeCell ref="H21:I21"/>
    <mergeCell ref="C32:E32"/>
    <mergeCell ref="I32:K32"/>
    <mergeCell ref="E21:G21"/>
    <mergeCell ref="E22:G22"/>
    <mergeCell ref="H22:I22"/>
    <mergeCell ref="E23:G23"/>
    <mergeCell ref="H23:I23"/>
    <mergeCell ref="C25:E25"/>
    <mergeCell ref="I25:K25"/>
    <mergeCell ref="E18:G18"/>
    <mergeCell ref="B19:C19"/>
    <mergeCell ref="E19:G19"/>
    <mergeCell ref="H19:I19"/>
    <mergeCell ref="E20:G20"/>
    <mergeCell ref="H20:I20"/>
  </mergeCells>
  <hyperlinks>
    <hyperlink ref="N1" location="'Theo dõi hợp đồng'!A1" display="←" xr:uid="{00000000-0004-0000-0100-000000000000}"/>
  </hyperlinks>
  <printOptions horizontalCentered="1"/>
  <pageMargins left="0.7" right="0.7" top="0.75" bottom="0.75" header="0" footer="0"/>
  <pageSetup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HĐ01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Quoc Anh</cp:lastModifiedBy>
  <dcterms:modified xsi:type="dcterms:W3CDTF">2026-02-01T15:06:53Z</dcterms:modified>
</cp:coreProperties>
</file>