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documenttasks/documenttask96.xml" ContentType="application/vnd.ms-excel.documenttasks+xml"/>
  <Override PartName="/xl/threadedComments/threadedComment96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QuocAnh\cic-erp-contract\"/>
    </mc:Choice>
  </mc:AlternateContent>
  <bookViews>
    <workbookView xWindow="0" yWindow="0" windowWidth="38400" windowHeight="17580"/>
  </bookViews>
  <sheets>
    <sheet name="HĐ185" sheetId="318" r:id="rId1"/>
    <sheet name="HĐ186" sheetId="319" r:id="rId2"/>
  </sheets>
  <definedNames>
    <definedName name="KeToan">#REF!</definedName>
    <definedName name="NamedRange1">#REF!</definedName>
  </definedNames>
  <calcPr calcId="162913"/>
</workbook>
</file>

<file path=xl/calcChain.xml><?xml version="1.0" encoding="utf-8"?>
<calcChain xmlns="http://schemas.openxmlformats.org/spreadsheetml/2006/main">
  <c r="H27" i="319" l="1"/>
  <c r="C19" i="319"/>
  <c r="H17" i="319"/>
  <c r="I12" i="319"/>
  <c r="F12" i="319"/>
  <c r="G12" i="319" s="1"/>
  <c r="H23" i="319" s="1"/>
  <c r="I11" i="319"/>
  <c r="F11" i="319"/>
  <c r="G11" i="319" s="1"/>
  <c r="I10" i="319"/>
  <c r="G10" i="319"/>
  <c r="H21" i="319" s="1"/>
  <c r="I9" i="319"/>
  <c r="G9" i="319"/>
  <c r="L9" i="319" s="1"/>
  <c r="I8" i="319"/>
  <c r="F8" i="319"/>
  <c r="G8" i="319" s="1"/>
  <c r="I7" i="319"/>
  <c r="F7" i="319"/>
  <c r="G7" i="319" s="1"/>
  <c r="H24" i="318"/>
  <c r="C19" i="318"/>
  <c r="H17" i="318"/>
  <c r="I12" i="318"/>
  <c r="G12" i="318"/>
  <c r="I11" i="318"/>
  <c r="F11" i="318"/>
  <c r="G11" i="318" s="1"/>
  <c r="L11" i="318" s="1"/>
  <c r="I10" i="318"/>
  <c r="G10" i="318"/>
  <c r="I9" i="318"/>
  <c r="G9" i="318"/>
  <c r="L9" i="318" s="1"/>
  <c r="I8" i="318"/>
  <c r="F8" i="318"/>
  <c r="G8" i="318" s="1"/>
  <c r="L8" i="318" s="1"/>
  <c r="I7" i="318"/>
  <c r="F7" i="318"/>
  <c r="G7" i="318" s="1"/>
  <c r="K9" i="318" l="1"/>
  <c r="M12" i="318"/>
  <c r="C16" i="318"/>
  <c r="H16" i="318" s="1"/>
  <c r="H23" i="318" s="1"/>
  <c r="K11" i="318"/>
  <c r="M11" i="318" s="1"/>
  <c r="M9" i="319"/>
  <c r="H18" i="319"/>
  <c r="L7" i="319"/>
  <c r="M7" i="319" s="1"/>
  <c r="C15" i="319"/>
  <c r="M8" i="318"/>
  <c r="H22" i="319"/>
  <c r="L11" i="319"/>
  <c r="L8" i="319"/>
  <c r="K8" i="319"/>
  <c r="H19" i="319"/>
  <c r="K11" i="319"/>
  <c r="M11" i="319" s="1"/>
  <c r="C15" i="318"/>
  <c r="L7" i="318"/>
  <c r="M7" i="318" s="1"/>
  <c r="C16" i="319"/>
  <c r="H20" i="319"/>
  <c r="L10" i="319"/>
  <c r="M10" i="319" s="1"/>
  <c r="M9" i="318"/>
  <c r="K12" i="319"/>
  <c r="L12" i="319"/>
  <c r="M10" i="318" l="1"/>
  <c r="M12" i="319"/>
  <c r="M8" i="319"/>
  <c r="H16" i="319"/>
  <c r="H26" i="319" s="1"/>
  <c r="C17" i="318"/>
  <c r="C20" i="318" s="1"/>
  <c r="C21" i="318" s="1"/>
  <c r="C17" i="319"/>
  <c r="C20" i="319" s="1"/>
  <c r="C21" i="319" s="1"/>
  <c r="H25" i="318"/>
  <c r="C22" i="319" l="1"/>
  <c r="C22" i="318"/>
</calcChain>
</file>

<file path=xl/comments1.xml><?xml version="1.0" encoding="utf-8"?>
<comments xmlns="http://schemas.openxmlformats.org/spreadsheetml/2006/main">
  <authors>
    <author>tc={ff34fc00-fe68-4e77-bcbf-e837c7f72cd7}</author>
  </authors>
  <commentList>
    <comment ref="C19" authorId="0" shapeId="0">
      <text>
        <r>
          <rPr>
            <sz val="10"/>
            <color rgb="FF000000"/>
            <rFont val="Arial"/>
            <family val="2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PC 204/25: 1tr (phí bảo lãnh)
</t>
        </r>
      </text>
    </comment>
  </commentList>
</comments>
</file>

<file path=xl/sharedStrings.xml><?xml version="1.0" encoding="utf-8"?>
<sst xmlns="http://schemas.openxmlformats.org/spreadsheetml/2006/main" count="124" uniqueCount="67">
  <si>
    <t>Bentley</t>
  </si>
  <si>
    <t>STT</t>
  </si>
  <si>
    <t>Đinh Trần Tuấn</t>
  </si>
  <si>
    <t>Tên phần mềm</t>
  </si>
  <si>
    <t>Nhà cung cấp</t>
  </si>
  <si>
    <t>Số lượng</t>
  </si>
  <si>
    <t>ĐVT</t>
  </si>
  <si>
    <t>Đầu vào</t>
  </si>
  <si>
    <t>Đầu ra</t>
  </si>
  <si>
    <t>Chi phí khác</t>
  </si>
  <si>
    <t>Chênh lệch</t>
  </si>
  <si>
    <t>Đơn giá</t>
  </si>
  <si>
    <t>Thành tiền</t>
  </si>
  <si>
    <t>Nhập khẩu</t>
  </si>
  <si>
    <t>Thuế nhà thầu</t>
  </si>
  <si>
    <t>Chuyển tiền</t>
  </si>
  <si>
    <t>VNĐ</t>
  </si>
  <si>
    <t>Tổng hợp tài chính:</t>
  </si>
  <si>
    <t>Thanh toán hợp đồng:</t>
  </si>
  <si>
    <t>Giá trị</t>
  </si>
  <si>
    <t>Dự kiến tiến độ thanh toán</t>
  </si>
  <si>
    <t>Tạm ứng:</t>
  </si>
  <si>
    <t>- Tạm ứng của khách hàng</t>
  </si>
  <si>
    <t>- Tạm ứng cho nhà cung cấp</t>
  </si>
  <si>
    <t>Phí thuê chuyên gia (net)</t>
  </si>
  <si>
    <t xml:space="preserve">  + Bentley</t>
  </si>
  <si>
    <t>Phí thanh toán chứng từ</t>
  </si>
  <si>
    <t>Tổng chi phí</t>
  </si>
  <si>
    <t>Lợi nhuận</t>
  </si>
  <si>
    <t>Hệ số LN/ SL</t>
  </si>
  <si>
    <t>Thanh toán:</t>
  </si>
  <si>
    <t>- Thanh toán của khách hàng</t>
  </si>
  <si>
    <t>- Thanh toán cho nhà cung cấp</t>
  </si>
  <si>
    <t>Tổng giám đốc</t>
  </si>
  <si>
    <t>Phụ trách trung tâm</t>
  </si>
  <si>
    <t>Nguyễn Hoàng Hà</t>
  </si>
  <si>
    <t xml:space="preserve">Đầu vào </t>
  </si>
  <si>
    <t>Sản lượng</t>
  </si>
  <si>
    <t>Duy Việt</t>
  </si>
  <si>
    <t xml:space="preserve">  + Gstarsoft</t>
  </si>
  <si>
    <t>Prokon</t>
  </si>
  <si>
    <t xml:space="preserve">  + Prokon</t>
  </si>
  <si>
    <t>Sales Phụ trách: Trịnh Văn Tâm</t>
  </si>
  <si>
    <t>Rồng Xanh</t>
  </si>
  <si>
    <t xml:space="preserve">  + Rồng Xanh</t>
  </si>
  <si>
    <t>Bảng phương án kinh doanh cho hợp đồng số 185/PPXD2025 với
CÔNG TY TNHH DỊCH VỤ CÔNG NGHỆ THÔNG TIN ĐỔI MỚI (EU: Sungroup)</t>
  </si>
  <si>
    <t>Phí gia hạn bảo trì phần mềm PLAXIS 2D WorkSuite (từ 19/12/2025 đến 18/12/2026)</t>
  </si>
  <si>
    <t>Phần mềm Microstation (giấy phép 01 năm từ thời điểm bàn giao)</t>
  </si>
  <si>
    <t>Phí gia hạn nâng cấp, bảo trì phần mềm Global Mapper - Network (từ 28/2/2026 đến 27/2/2027)</t>
  </si>
  <si>
    <t>Blue Marble</t>
  </si>
  <si>
    <t>Phí gia hạn nâng cấp, bảo trì phần mềm Global Mapper Pro - Network (từ 28/2/2026 đến 27/2/2027)</t>
  </si>
  <si>
    <t>Phần mềm MapInfo Pro Advance – Standard - (giấy phép 01 năm từ thời điểm bàn giao)</t>
  </si>
  <si>
    <t>Advintek Limited</t>
  </si>
  <si>
    <t>Phần mềm KataPro cho doanh nghiệp (giấy phép 01 năm từ thời điểm bàn giao)</t>
  </si>
  <si>
    <t>Bảng phương án kinh doanh cho hợp đồng số 186/PPXD2025 với
CÔNG TY TNHH DỊCH VỤ CÔNG NGHỆ THÔNG TIN ĐỔI MỚI (EU: Sungroup)</t>
  </si>
  <si>
    <t>Phần mềm GeoStudio 2D Ultimate (giấy phép 01 năm từ thời điểm bàn giao)</t>
  </si>
  <si>
    <t>Phần mềm ProShow Producer/Photopia (giấy phép 01 năm từ thời điểm bàn giao)</t>
  </si>
  <si>
    <t>Photopia</t>
  </si>
  <si>
    <t>Phần mềm GEO5 Package Professional (giấy phép 01 năm từ thời điểm bàn giao)</t>
  </si>
  <si>
    <t>Phần mềm Articulate 360 Teams - Standard (không có AI) (giấy phép 01 năm từ thời điểm bàn giao)</t>
  </si>
  <si>
    <t>NETTOP LEARNING</t>
  </si>
  <si>
    <t>Phần mềm PROKON Complete (giấy phép 01 năm từ thời điểm bàn giao)</t>
  </si>
  <si>
    <t>Phần mềm ADAPT-Builder PT (giấy phép 01 năm từ thời điểm bàn giao)</t>
  </si>
  <si>
    <t>VR-CAM</t>
  </si>
  <si>
    <t xml:space="preserve">  + .........</t>
  </si>
  <si>
    <t xml:space="preserve">  + NETTOP LEARNING</t>
  </si>
  <si>
    <t xml:space="preserve">  + VR-CAM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</si>
</sst>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0"/>
      <color rgb="FF000000"/>
      <name val="Arial"/>
    </font>
    <font>
      <sz val="10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b/>
      <u/>
      <sz val="11"/>
      <name val="Times New Roman"/>
      <family val="1"/>
    </font>
    <font>
      <b/>
      <u/>
      <sz val="11"/>
      <name val="Times New Roman"/>
      <family val="1"/>
    </font>
    <font>
      <b/>
      <sz val="18"/>
      <name val="&quot;Times New Roman&quot;"/>
    </font>
    <font>
      <b/>
      <u/>
      <sz val="11"/>
      <name val="Times New Roman"/>
      <family val="1"/>
    </font>
    <font>
      <b/>
      <sz val="12"/>
      <name val="Times New Roman"/>
      <family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2" fillId="0" borderId="6" xfId="0" applyFont="1" applyBorder="1" applyAlignment="1">
      <alignment horizontal="center" vertical="center" wrapText="1"/>
    </xf>
    <xf numFmtId="3" fontId="1" fillId="0" borderId="6" xfId="0" applyNumberFormat="1" applyFont="1" applyBorder="1" applyAlignment="1">
      <alignment vertical="center" wrapText="1"/>
    </xf>
    <xf numFmtId="0" fontId="3" fillId="0" borderId="6" xfId="0" applyFont="1" applyBorder="1" applyAlignment="1">
      <alignment horizontal="center" vertical="center" wrapText="1"/>
    </xf>
    <xf numFmtId="3" fontId="3" fillId="0" borderId="6" xfId="0" applyNumberFormat="1" applyFont="1" applyBorder="1" applyAlignment="1">
      <alignment horizontal="right" vertical="center" wrapText="1"/>
    </xf>
    <xf numFmtId="0" fontId="3" fillId="0" borderId="6" xfId="0" applyFont="1" applyBorder="1" applyAlignment="1">
      <alignment horizontal="center" vertical="center" wrapText="1"/>
    </xf>
    <xf numFmtId="3" fontId="3" fillId="0" borderId="6" xfId="0" applyNumberFormat="1" applyFont="1" applyBorder="1" applyAlignment="1">
      <alignment horizontal="right" vertical="center" wrapText="1"/>
    </xf>
    <xf numFmtId="0" fontId="1" fillId="0" borderId="0" xfId="0" applyFont="1" applyAlignment="1">
      <alignment wrapText="1"/>
    </xf>
    <xf numFmtId="0" fontId="5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3" fontId="2" fillId="0" borderId="0" xfId="0" applyNumberFormat="1" applyFont="1" applyAlignment="1">
      <alignment horizontal="right" vertical="center" wrapText="1"/>
    </xf>
    <xf numFmtId="10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right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3" fontId="3" fillId="0" borderId="0" xfId="0" applyNumberFormat="1" applyFont="1" applyAlignment="1">
      <alignment vertical="center" wrapText="1"/>
    </xf>
    <xf numFmtId="10" fontId="3" fillId="0" borderId="0" xfId="0" applyNumberFormat="1" applyFont="1" applyAlignment="1">
      <alignment vertical="center" wrapText="1"/>
    </xf>
    <xf numFmtId="3" fontId="3" fillId="0" borderId="2" xfId="0" applyNumberFormat="1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0" fillId="0" borderId="0" xfId="0" applyFont="1" applyAlignment="1">
      <alignment wrapText="1"/>
    </xf>
    <xf numFmtId="0" fontId="2" fillId="0" borderId="0" xfId="0" applyFont="1" applyAlignment="1">
      <alignment vertical="center" wrapText="1"/>
    </xf>
    <xf numFmtId="3" fontId="2" fillId="0" borderId="0" xfId="0" applyNumberFormat="1" applyFont="1" applyAlignment="1">
      <alignment horizontal="right" vertical="center" wrapText="1"/>
    </xf>
    <xf numFmtId="0" fontId="3" fillId="0" borderId="0" xfId="0" applyFont="1" applyAlignment="1">
      <alignment horizontal="left" vertical="center" wrapText="1"/>
    </xf>
    <xf numFmtId="3" fontId="3" fillId="0" borderId="0" xfId="0" applyNumberFormat="1" applyFont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2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wrapText="1"/>
    </xf>
    <xf numFmtId="0" fontId="5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horizontal="center" wrapText="1"/>
    </xf>
    <xf numFmtId="0" fontId="9" fillId="0" borderId="0" xfId="0" applyFont="1" applyAlignment="1">
      <alignment wrapText="1"/>
    </xf>
    <xf numFmtId="0" fontId="6" fillId="0" borderId="0" xfId="0" applyFont="1" applyAlignment="1">
      <alignment horizontal="right" vertical="center" wrapText="1"/>
    </xf>
    <xf numFmtId="0" fontId="3" fillId="0" borderId="0" xfId="0" applyFont="1" applyAlignment="1">
      <alignment horizontal="center" vertical="center" wrapText="1"/>
    </xf>
    <xf numFmtId="3" fontId="3" fillId="0" borderId="0" xfId="0" applyNumberFormat="1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ocumenttasks/documenttask96.xml><?xml version="1.0" encoding="utf-8"?>
<Tasks xmlns="http://schemas.microsoft.com/office/tasks/2019/documenttasks"/>
</file>

<file path=xl/persons/person.xml><?xml version="1.0" encoding="utf-8"?>
<x18tc:personList xmlns:x18tc="http://schemas.microsoft.com/office/spreadsheetml/2018/threadedcomments">
  <x18tc:person displayName="Tu Nguyen Thanh" id="{3c5ee64f-3bd4-478f-bb71-81063d399ea8}" providerId="google-sheets"/>
  <x18tc:person displayName="Hien Nguyen Thu" id="{2623ebc5-3405-450a-ae0b-4e9c29cfa4a8}" providerId="google-sheets"/>
  <x18tc:person displayName="CIC Software" id="{e43f4f8e-8528-4b05-ab0c-f5be872dfd21}" providerId="google-sheets"/>
  <x18tc:person displayName="huong loan" id="{37f83608-bbba-4d53-bd31-e9eb414cac48}" providerId="google-sheets"/>
</x18tc: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96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19" dT="2026-01-29T03:11:01.00" personId="{2623ebc5-3405-450a-ae0b-4e9c29cfa4a8}" id="{ff34fc00-fe68-4e77-bcbf-e837c7f72cd7}" done="0">
    <x18tc:text xml:space="preserve">PC 204/25: 1tr (phí bảo lãnh)</x18tc:text>
  </x18tc:threadedComment>
</x18tc: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9/04/relationships/documenttask" Target="../documenttasks/documenttask96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9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Y1008"/>
  <sheetViews>
    <sheetView tabSelected="1" workbookViewId="0">
      <selection activeCell="L12" sqref="L12"/>
    </sheetView>
  </sheetViews>
  <sheetFormatPr defaultColWidth="12.7109375" defaultRowHeight="15" customHeight="1"/>
  <cols>
    <col min="1" max="1" width="4.7109375" customWidth="1"/>
    <col min="2" max="2" width="33" customWidth="1"/>
    <col min="3" max="3" width="15" customWidth="1"/>
    <col min="4" max="5" width="5.7109375" customWidth="1"/>
    <col min="6" max="6" width="11.28515625" customWidth="1"/>
    <col min="7" max="7" width="11" customWidth="1"/>
    <col min="8" max="9" width="16.28515625" customWidth="1"/>
    <col min="10" max="10" width="9.28515625" customWidth="1"/>
    <col min="11" max="11" width="21.140625" customWidth="1"/>
    <col min="12" max="12" width="15.5703125" customWidth="1"/>
    <col min="13" max="13" width="11.140625" customWidth="1"/>
  </cols>
  <sheetData>
    <row r="1" spans="1:25" ht="55.9" customHeight="1">
      <c r="A1" s="36" t="s">
        <v>45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spans="1:25" ht="12.75" customHeight="1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 spans="1:25" ht="13.5">
      <c r="A3" s="37" t="s">
        <v>42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</row>
    <row r="4" spans="1:25" ht="12.75" customHeight="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</row>
    <row r="5" spans="1:25" ht="12.75" customHeight="1">
      <c r="A5" s="32" t="s">
        <v>1</v>
      </c>
      <c r="B5" s="32" t="s">
        <v>3</v>
      </c>
      <c r="C5" s="32" t="s">
        <v>4</v>
      </c>
      <c r="D5" s="32" t="s">
        <v>5</v>
      </c>
      <c r="E5" s="32" t="s">
        <v>6</v>
      </c>
      <c r="F5" s="29" t="s">
        <v>7</v>
      </c>
      <c r="G5" s="31"/>
      <c r="H5" s="29" t="s">
        <v>8</v>
      </c>
      <c r="I5" s="31"/>
      <c r="J5" s="29" t="s">
        <v>9</v>
      </c>
      <c r="K5" s="30"/>
      <c r="L5" s="31"/>
      <c r="M5" s="32" t="s">
        <v>10</v>
      </c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  <row r="6" spans="1:25" ht="12.75" customHeight="1">
      <c r="A6" s="33"/>
      <c r="B6" s="33"/>
      <c r="C6" s="33"/>
      <c r="D6" s="33"/>
      <c r="E6" s="33"/>
      <c r="F6" s="4" t="s">
        <v>11</v>
      </c>
      <c r="G6" s="4" t="s">
        <v>12</v>
      </c>
      <c r="H6" s="4" t="s">
        <v>11</v>
      </c>
      <c r="I6" s="4" t="s">
        <v>12</v>
      </c>
      <c r="J6" s="4" t="s">
        <v>13</v>
      </c>
      <c r="K6" s="16" t="s">
        <v>14</v>
      </c>
      <c r="L6" s="4" t="s">
        <v>15</v>
      </c>
      <c r="M6" s="33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</row>
    <row r="7" spans="1:25" ht="45">
      <c r="A7" s="6">
        <v>1</v>
      </c>
      <c r="B7" s="17" t="s">
        <v>46</v>
      </c>
      <c r="C7" s="8" t="s">
        <v>0</v>
      </c>
      <c r="D7" s="8">
        <v>3</v>
      </c>
      <c r="E7" s="6" t="s">
        <v>16</v>
      </c>
      <c r="F7" s="7">
        <f>3136.5*26500</f>
        <v>83117250</v>
      </c>
      <c r="G7" s="7">
        <f t="shared" ref="G7:G12" si="0">F7*D7</f>
        <v>249351750</v>
      </c>
      <c r="H7" s="9">
        <v>138435000</v>
      </c>
      <c r="I7" s="7">
        <f t="shared" ref="I7:I12" si="1">H7*D7</f>
        <v>415305000</v>
      </c>
      <c r="J7" s="5"/>
      <c r="K7" s="9"/>
      <c r="L7" s="9">
        <f t="shared" ref="L7:L11" si="2">(G7*0.5%)+(10*26500)</f>
        <v>1511758.75</v>
      </c>
      <c r="M7" s="7">
        <f t="shared" ref="M7:M12" si="3">I7-G7-K7-L7</f>
        <v>164441491.25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spans="1:25" ht="30">
      <c r="A8" s="8">
        <v>2</v>
      </c>
      <c r="B8" s="17" t="s">
        <v>47</v>
      </c>
      <c r="C8" s="8" t="s">
        <v>0</v>
      </c>
      <c r="D8" s="8">
        <v>6</v>
      </c>
      <c r="E8" s="6" t="s">
        <v>16</v>
      </c>
      <c r="F8" s="7">
        <f>1214.21*26500</f>
        <v>32176565</v>
      </c>
      <c r="G8" s="7">
        <f t="shared" si="0"/>
        <v>193059390</v>
      </c>
      <c r="H8" s="9">
        <v>69415000</v>
      </c>
      <c r="I8" s="7">
        <f t="shared" si="1"/>
        <v>416490000</v>
      </c>
      <c r="J8" s="5"/>
      <c r="K8" s="9"/>
      <c r="L8" s="9">
        <f t="shared" si="2"/>
        <v>1230296.9500000002</v>
      </c>
      <c r="M8" s="7">
        <f t="shared" si="3"/>
        <v>222200313.05000001</v>
      </c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</row>
    <row r="9" spans="1:25" ht="45">
      <c r="A9" s="8">
        <v>3</v>
      </c>
      <c r="B9" s="17" t="s">
        <v>48</v>
      </c>
      <c r="C9" s="8" t="s">
        <v>49</v>
      </c>
      <c r="D9" s="8">
        <v>3</v>
      </c>
      <c r="E9" s="6" t="s">
        <v>16</v>
      </c>
      <c r="F9" s="7"/>
      <c r="G9" s="7">
        <f t="shared" si="0"/>
        <v>0</v>
      </c>
      <c r="H9" s="9">
        <v>37917000</v>
      </c>
      <c r="I9" s="7">
        <f t="shared" si="1"/>
        <v>113751000</v>
      </c>
      <c r="J9" s="5"/>
      <c r="K9" s="21">
        <f>(G9+G10)/0.9*0.1</f>
        <v>0</v>
      </c>
      <c r="L9" s="21">
        <f>((G9+G10)*0.5%)+(10*26500)</f>
        <v>265000</v>
      </c>
      <c r="M9" s="7">
        <f t="shared" si="3"/>
        <v>113486000</v>
      </c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  <row r="10" spans="1:25" ht="45">
      <c r="A10" s="8">
        <v>4</v>
      </c>
      <c r="B10" s="17" t="s">
        <v>50</v>
      </c>
      <c r="C10" s="8" t="s">
        <v>49</v>
      </c>
      <c r="D10" s="8">
        <v>3</v>
      </c>
      <c r="E10" s="6" t="s">
        <v>16</v>
      </c>
      <c r="F10" s="7"/>
      <c r="G10" s="7">
        <f t="shared" si="0"/>
        <v>0</v>
      </c>
      <c r="H10" s="9">
        <v>55502000</v>
      </c>
      <c r="I10" s="7">
        <f t="shared" si="1"/>
        <v>166506000</v>
      </c>
      <c r="J10" s="5"/>
      <c r="K10" s="22"/>
      <c r="L10" s="22"/>
      <c r="M10" s="7">
        <f t="shared" si="3"/>
        <v>166506000</v>
      </c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 spans="1:25" ht="45">
      <c r="A11" s="8">
        <v>5</v>
      </c>
      <c r="B11" s="17" t="s">
        <v>51</v>
      </c>
      <c r="C11" s="8" t="s">
        <v>52</v>
      </c>
      <c r="D11" s="8">
        <v>2</v>
      </c>
      <c r="E11" s="6" t="s">
        <v>16</v>
      </c>
      <c r="F11" s="7">
        <f>1765.5*26500</f>
        <v>46785750</v>
      </c>
      <c r="G11" s="7">
        <f t="shared" si="0"/>
        <v>93571500</v>
      </c>
      <c r="H11" s="9">
        <v>46195000</v>
      </c>
      <c r="I11" s="7">
        <f t="shared" si="1"/>
        <v>92390000</v>
      </c>
      <c r="J11" s="5"/>
      <c r="K11" s="9">
        <f t="shared" ref="K11" si="4">G11/0.9*0.1</f>
        <v>10396833.333333334</v>
      </c>
      <c r="L11" s="9">
        <f t="shared" si="2"/>
        <v>732857.5</v>
      </c>
      <c r="M11" s="7">
        <f t="shared" si="3"/>
        <v>-12311190.833333334</v>
      </c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 spans="1:25" ht="45">
      <c r="A12" s="8">
        <v>6</v>
      </c>
      <c r="B12" s="17" t="s">
        <v>53</v>
      </c>
      <c r="C12" s="8" t="s">
        <v>38</v>
      </c>
      <c r="D12" s="8">
        <v>2</v>
      </c>
      <c r="E12" s="6" t="s">
        <v>16</v>
      </c>
      <c r="F12" s="9">
        <v>2992000</v>
      </c>
      <c r="G12" s="7">
        <f t="shared" si="0"/>
        <v>5984000</v>
      </c>
      <c r="H12" s="9">
        <v>3940000</v>
      </c>
      <c r="I12" s="7">
        <f t="shared" si="1"/>
        <v>7880000</v>
      </c>
      <c r="J12" s="5"/>
      <c r="K12" s="9"/>
      <c r="L12" s="9">
        <v>22000</v>
      </c>
      <c r="M12" s="7">
        <f t="shared" si="3"/>
        <v>1874000</v>
      </c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 spans="1:25">
      <c r="A13" s="2"/>
      <c r="B13" s="18"/>
      <c r="C13" s="18"/>
      <c r="D13" s="18"/>
      <c r="E13" s="12"/>
      <c r="F13" s="19"/>
      <c r="G13" s="19"/>
      <c r="H13" s="19"/>
      <c r="I13" s="19"/>
      <c r="J13" s="19"/>
      <c r="K13" s="19"/>
      <c r="L13" s="19"/>
      <c r="M13" s="19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  <row r="14" spans="1:25" ht="12.75" customHeight="1">
      <c r="A14" s="2"/>
      <c r="B14" s="11" t="s">
        <v>17</v>
      </c>
      <c r="C14" s="12"/>
      <c r="D14" s="12"/>
      <c r="E14" s="34" t="s">
        <v>18</v>
      </c>
      <c r="F14" s="24"/>
      <c r="G14" s="24"/>
      <c r="H14" s="38" t="s">
        <v>19</v>
      </c>
      <c r="I14" s="24"/>
      <c r="J14" s="12"/>
      <c r="K14" s="34" t="s">
        <v>20</v>
      </c>
      <c r="L14" s="24"/>
      <c r="M14" s="24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</row>
    <row r="15" spans="1:25" ht="12.75" customHeight="1">
      <c r="A15" s="2"/>
      <c r="B15" s="12" t="s">
        <v>36</v>
      </c>
      <c r="C15" s="13">
        <f>SUM(G7:G12)</f>
        <v>541966640</v>
      </c>
      <c r="D15" s="12"/>
      <c r="E15" s="25" t="s">
        <v>21</v>
      </c>
      <c r="F15" s="24"/>
      <c r="G15" s="24"/>
      <c r="H15" s="19"/>
      <c r="I15" s="19"/>
      <c r="J15" s="12"/>
      <c r="K15" s="12"/>
      <c r="L15" s="12"/>
      <c r="M15" s="12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  <row r="16" spans="1:25" ht="12.75" customHeight="1">
      <c r="A16" s="2"/>
      <c r="B16" s="12" t="s">
        <v>37</v>
      </c>
      <c r="C16" s="13">
        <f>SUM(I7:I12)</f>
        <v>1212322000</v>
      </c>
      <c r="D16" s="12"/>
      <c r="E16" s="23" t="s">
        <v>22</v>
      </c>
      <c r="F16" s="24"/>
      <c r="G16" s="24"/>
      <c r="H16" s="26">
        <f>C16*0%</f>
        <v>0</v>
      </c>
      <c r="I16" s="24"/>
      <c r="J16" s="12"/>
      <c r="K16" s="35"/>
      <c r="L16" s="24"/>
      <c r="M16" s="24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</row>
    <row r="17" spans="1:25" ht="12.75" customHeight="1">
      <c r="A17" s="2"/>
      <c r="B17" s="12" t="s">
        <v>9</v>
      </c>
      <c r="C17" s="13">
        <f>SUM(J7:L12)</f>
        <v>14158746.533333335</v>
      </c>
      <c r="D17" s="12"/>
      <c r="E17" s="23" t="s">
        <v>23</v>
      </c>
      <c r="F17" s="24"/>
      <c r="G17" s="24"/>
      <c r="H17" s="26">
        <f>SUM(I18:J20)</f>
        <v>0</v>
      </c>
      <c r="I17" s="24"/>
      <c r="J17" s="12"/>
      <c r="K17" s="23"/>
      <c r="L17" s="24"/>
      <c r="M17" s="24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  <row r="18" spans="1:25" ht="12.75" customHeight="1">
      <c r="A18" s="2"/>
      <c r="B18" s="12" t="s">
        <v>24</v>
      </c>
      <c r="C18" s="15"/>
      <c r="D18" s="12"/>
      <c r="E18" s="23" t="s">
        <v>39</v>
      </c>
      <c r="F18" s="24"/>
      <c r="G18" s="24"/>
      <c r="H18" s="26">
        <v>0</v>
      </c>
      <c r="I18" s="24"/>
      <c r="J18" s="12"/>
      <c r="K18" s="23"/>
      <c r="L18" s="24"/>
      <c r="M18" s="24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</row>
    <row r="19" spans="1:25" ht="12.75" customHeight="1">
      <c r="A19" s="2"/>
      <c r="B19" s="12" t="s">
        <v>26</v>
      </c>
      <c r="C19" s="13">
        <f>C18/0.8*20%</f>
        <v>0</v>
      </c>
      <c r="D19" s="12"/>
      <c r="E19" s="23"/>
      <c r="F19" s="24"/>
      <c r="G19" s="24"/>
      <c r="H19" s="26"/>
      <c r="I19" s="24"/>
      <c r="J19" s="12"/>
      <c r="K19" s="23"/>
      <c r="L19" s="24"/>
      <c r="M19" s="24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  <row r="20" spans="1:25" ht="12.75" customHeight="1">
      <c r="A20" s="2"/>
      <c r="B20" s="12" t="s">
        <v>27</v>
      </c>
      <c r="C20" s="13">
        <f>C15+C17+C18+C19</f>
        <v>556125386.5333333</v>
      </c>
      <c r="D20" s="12"/>
      <c r="E20" s="27"/>
      <c r="F20" s="24"/>
      <c r="G20" s="24"/>
      <c r="H20" s="28"/>
      <c r="I20" s="24"/>
      <c r="J20" s="12"/>
      <c r="K20" s="23"/>
      <c r="L20" s="24"/>
      <c r="M20" s="24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  <row r="21" spans="1:25" ht="12.75" customHeight="1">
      <c r="A21" s="2"/>
      <c r="B21" s="12" t="s">
        <v>28</v>
      </c>
      <c r="C21" s="13">
        <f>C16-C20</f>
        <v>656196613.4666667</v>
      </c>
      <c r="D21" s="12"/>
      <c r="E21" s="23"/>
      <c r="F21" s="24"/>
      <c r="G21" s="24"/>
      <c r="H21" s="23"/>
      <c r="I21" s="24"/>
      <c r="J21" s="12"/>
      <c r="K21" s="23"/>
      <c r="L21" s="24"/>
      <c r="M21" s="24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  <row r="22" spans="1:25" ht="12.75" customHeight="1">
      <c r="A22" s="2"/>
      <c r="B22" s="12" t="s">
        <v>29</v>
      </c>
      <c r="C22" s="14">
        <f>C21/C16</f>
        <v>0.54127254431303462</v>
      </c>
      <c r="D22" s="12"/>
      <c r="E22" s="25" t="s">
        <v>30</v>
      </c>
      <c r="F22" s="24"/>
      <c r="G22" s="24"/>
      <c r="H22" s="23"/>
      <c r="I22" s="24"/>
      <c r="J22" s="12"/>
      <c r="K22" s="23"/>
      <c r="L22" s="24"/>
      <c r="M22" s="24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</row>
    <row r="23" spans="1:25" ht="12.75" customHeight="1">
      <c r="A23" s="2"/>
      <c r="B23" s="12"/>
      <c r="C23" s="19"/>
      <c r="D23" s="12"/>
      <c r="E23" s="23" t="s">
        <v>31</v>
      </c>
      <c r="F23" s="24"/>
      <c r="G23" s="24"/>
      <c r="H23" s="26">
        <f>C16-H16</f>
        <v>1212322000</v>
      </c>
      <c r="I23" s="24"/>
      <c r="J23" s="12"/>
      <c r="K23" s="23"/>
      <c r="L23" s="24"/>
      <c r="M23" s="24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  <row r="24" spans="1:25" ht="12.75" customHeight="1">
      <c r="A24" s="2"/>
      <c r="B24" s="23"/>
      <c r="C24" s="24"/>
      <c r="D24" s="12"/>
      <c r="E24" s="23" t="s">
        <v>32</v>
      </c>
      <c r="F24" s="24"/>
      <c r="G24" s="24"/>
      <c r="H24" s="26">
        <f>SUM(I25:J28)</f>
        <v>0</v>
      </c>
      <c r="I24" s="24"/>
      <c r="J24" s="12"/>
      <c r="K24" s="23"/>
      <c r="L24" s="24"/>
      <c r="M24" s="24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</row>
    <row r="25" spans="1:25" ht="12.75" customHeight="1">
      <c r="A25" s="2"/>
      <c r="B25" s="12"/>
      <c r="C25" s="12"/>
      <c r="D25" s="12"/>
      <c r="E25" s="23" t="s">
        <v>39</v>
      </c>
      <c r="F25" s="24"/>
      <c r="G25" s="24"/>
      <c r="H25" s="40">
        <f>C15</f>
        <v>541966640</v>
      </c>
      <c r="I25" s="24"/>
      <c r="J25" s="12"/>
      <c r="K25" s="23"/>
      <c r="L25" s="24"/>
      <c r="M25" s="24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12.75" customHeight="1">
      <c r="A26" s="2"/>
      <c r="B26" s="12"/>
      <c r="C26" s="20"/>
      <c r="D26" s="12"/>
      <c r="E26" s="23"/>
      <c r="F26" s="24"/>
      <c r="G26" s="24"/>
      <c r="H26" s="26"/>
      <c r="I26" s="24"/>
      <c r="J26" s="12"/>
      <c r="K26" s="23"/>
      <c r="L26" s="24"/>
      <c r="M26" s="24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</row>
    <row r="27" spans="1:25" ht="12.75" customHeight="1">
      <c r="A27" s="2"/>
      <c r="B27" s="12"/>
      <c r="C27" s="12"/>
      <c r="D27" s="12"/>
      <c r="E27" s="27"/>
      <c r="F27" s="24"/>
      <c r="G27" s="24"/>
      <c r="H27" s="40"/>
      <c r="I27" s="24"/>
      <c r="J27" s="12"/>
      <c r="K27" s="12"/>
      <c r="L27" s="12"/>
      <c r="M27" s="12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  <row r="28" spans="1:25" ht="12.75" customHeight="1">
      <c r="A28" s="2"/>
      <c r="B28" s="12"/>
      <c r="C28" s="20"/>
      <c r="D28" s="12"/>
      <c r="E28" s="23"/>
      <c r="F28" s="24"/>
      <c r="G28" s="24"/>
      <c r="H28" s="23"/>
      <c r="I28" s="24"/>
      <c r="J28" s="12"/>
      <c r="K28" s="12"/>
      <c r="L28" s="12"/>
      <c r="M28" s="12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</row>
    <row r="29" spans="1:25" ht="12.75" customHeight="1">
      <c r="A29" s="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  <row r="30" spans="1:25" ht="12.75" customHeight="1">
      <c r="A30" s="2"/>
      <c r="B30" s="12"/>
      <c r="C30" s="39" t="s">
        <v>33</v>
      </c>
      <c r="D30" s="24"/>
      <c r="E30" s="24"/>
      <c r="F30" s="12"/>
      <c r="G30" s="12"/>
      <c r="H30" s="12"/>
      <c r="I30" s="39" t="s">
        <v>34</v>
      </c>
      <c r="J30" s="24"/>
      <c r="K30" s="24"/>
      <c r="L30" s="12"/>
      <c r="M30" s="12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</row>
    <row r="31" spans="1:25" ht="12.75" customHeight="1">
      <c r="A31" s="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  <row r="32" spans="1:25" ht="12.75" customHeight="1">
      <c r="A32" s="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</row>
    <row r="33" spans="1:25" ht="12.75" customHeight="1">
      <c r="A33" s="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  <row r="34" spans="1:25" ht="12.75" customHeight="1">
      <c r="A34" s="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</row>
    <row r="35" spans="1:25" ht="12.75" customHeight="1">
      <c r="A35" s="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</row>
    <row r="36" spans="1:25" ht="12.75" customHeight="1">
      <c r="A36" s="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</row>
    <row r="37" spans="1:25" ht="12.75" customHeight="1">
      <c r="A37" s="2"/>
      <c r="B37" s="12"/>
      <c r="C37" s="39" t="s">
        <v>35</v>
      </c>
      <c r="D37" s="24"/>
      <c r="E37" s="24"/>
      <c r="F37" s="12"/>
      <c r="G37" s="12"/>
      <c r="H37" s="12"/>
      <c r="I37" s="39" t="s">
        <v>2</v>
      </c>
      <c r="J37" s="24"/>
      <c r="K37" s="24"/>
      <c r="L37" s="12"/>
      <c r="M37" s="12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  <row r="38" spans="1:25" ht="12.75" customHeight="1">
      <c r="A38" s="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</row>
    <row r="39" spans="1:25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  <row r="40" spans="1:25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 ht="12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ht="12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ht="12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ht="12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ht="12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ht="12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ht="12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ht="12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ht="12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ht="12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ht="12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ht="12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ht="12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ht="12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ht="12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ht="12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ht="12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ht="12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ht="12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ht="12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ht="12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ht="12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ht="12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ht="12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ht="12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ht="12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ht="12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ht="12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ht="12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ht="12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 ht="12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ht="12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ht="12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ht="12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ht="12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ht="12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ht="12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ht="12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ht="12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ht="12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ht="12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ht="12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ht="12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ht="12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 ht="12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 ht="12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 ht="12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 ht="12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 ht="12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ht="12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ht="12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ht="12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 ht="12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 ht="12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 ht="12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 ht="12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 ht="12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 ht="12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 ht="12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 ht="12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 ht="12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 ht="12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 ht="12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 ht="12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 ht="12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 ht="12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 ht="12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5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1:25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1:25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1:25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1: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1:25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1:25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1:25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1:25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1:25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1:25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1:25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1:25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1:25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1:2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1:25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1:25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1:25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1:25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1:25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1:25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1:25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1:25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1:25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1:2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1:25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1:25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1:25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1:25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1:25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1:25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1:25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1:25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1:25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1:2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1:25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1:25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1:25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1:25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1:25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1:25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1:25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1:25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1:25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1:2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1:25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1:25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1:25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1:25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1:25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1:25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1:25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1:25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1:25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1:2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1:25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1:25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1:25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1:25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1:25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1:25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1:25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1:25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1:25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1:2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1:25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1:25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1:25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1:25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1:25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1:25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1:25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1:25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1:25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1:2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1:25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1:25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1:25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1:25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1:25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1:25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1:25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1:25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1:25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1:2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1:25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1:25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1:25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1:25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1:25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1:25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1:25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1:25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1:25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1:2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1:25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1:25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1:25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1:25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1:25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1:25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1:25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1:25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1:25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1: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1:25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1:25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1:25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1:25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1:25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1:25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1:25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1:25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1:25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1:2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spans="1:25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spans="1:25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spans="1:25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spans="1:25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spans="1:25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spans="1:25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spans="1:25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spans="1:25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spans="1:25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spans="1:2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spans="1:25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spans="1:25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spans="1:25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spans="1:25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spans="1:25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spans="1:25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spans="1:25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spans="1:25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spans="1:25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spans="1:2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spans="1:25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spans="1:25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spans="1:25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spans="1:25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spans="1:25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spans="1:25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spans="1:25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spans="1:25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spans="1:25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spans="1:2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spans="1:25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spans="1:25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spans="1:25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spans="1:25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spans="1:25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spans="1:25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spans="1:25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spans="1:25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spans="1:25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spans="1:2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spans="1:25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spans="1:25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spans="1:25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spans="1:25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spans="1:25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spans="1:25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spans="1:25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spans="1:25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spans="1:25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spans="1:2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spans="1:25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spans="1:25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spans="1:25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spans="1:25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spans="1:25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spans="1:25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spans="1:25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spans="1:25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spans="1:25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spans="1:2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spans="1:25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spans="1:25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spans="1:25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spans="1:25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spans="1:25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spans="1:25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spans="1:25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spans="1:25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spans="1:25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spans="1:2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spans="1:25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spans="1:25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spans="1:25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spans="1:25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spans="1:25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spans="1:25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spans="1:25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spans="1:25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spans="1:25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spans="1:2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spans="1:25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spans="1:25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spans="1:25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spans="1:25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spans="1:25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spans="1:25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spans="1:25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spans="1:25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spans="1:25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spans="1: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spans="1:25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spans="1:25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spans="1:25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spans="1:25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spans="1:25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spans="1:25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spans="1:25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spans="1:25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spans="1:25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spans="1:2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spans="1:25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spans="1:25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spans="1:25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spans="1:25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spans="1:25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spans="1:25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spans="1:25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spans="1:25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spans="1:25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spans="1:2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spans="1:25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spans="1:25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spans="1:25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spans="1:25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spans="1:25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spans="1:25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spans="1:25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spans="1:25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spans="1:25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spans="1:2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spans="1:25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spans="1:25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spans="1:25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spans="1:25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spans="1:25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spans="1:25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spans="1:25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spans="1:25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spans="1:25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spans="1:2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spans="1:25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spans="1:25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spans="1:25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spans="1:25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spans="1:25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spans="1:25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spans="1:25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spans="1:25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spans="1:25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spans="1:2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spans="1:25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spans="1:25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spans="1:25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spans="1:25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spans="1:25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spans="1:25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spans="1:25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spans="1:25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spans="1:25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spans="1:2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spans="1:25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spans="1:25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spans="1:25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spans="1:25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spans="1:25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spans="1:25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spans="1:25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spans="1:25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spans="1:25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spans="1:2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spans="1:25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spans="1:25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spans="1:25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spans="1:25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spans="1:25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spans="1:25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spans="1:25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spans="1:25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spans="1:25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spans="1:2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spans="1:25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spans="1:25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spans="1:25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spans="1:25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spans="1:25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spans="1:25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spans="1:25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spans="1:25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spans="1:25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spans="1:2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spans="1:25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spans="1:25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spans="1:25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spans="1:25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spans="1:25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spans="1:25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spans="1:25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spans="1:25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spans="1:25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spans="1: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spans="1:25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spans="1:25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spans="1:25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spans="1:25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spans="1:25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spans="1:25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spans="1:25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spans="1:25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spans="1:25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spans="1:2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spans="1:25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spans="1:25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spans="1:25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spans="1:25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spans="1:25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spans="1:25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spans="1:25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spans="1:25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spans="1:25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spans="1:2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spans="1:25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spans="1:25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spans="1:25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spans="1:25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spans="1:25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spans="1:25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spans="1:25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spans="1:25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spans="1:25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spans="1:2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spans="1:25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spans="1:25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spans="1:25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spans="1:25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spans="1:25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spans="1:25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spans="1:25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spans="1:25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spans="1:25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spans="1:2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spans="1:25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spans="1:25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spans="1:25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spans="1:25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spans="1:25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spans="1:25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spans="1:25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spans="1:25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spans="1:25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spans="1:2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spans="1:25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spans="1:25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spans="1:25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spans="1:25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spans="1:25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spans="1:25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spans="1:25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spans="1:25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spans="1:25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spans="1:2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spans="1:25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spans="1:25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spans="1:25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spans="1:25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spans="1:25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spans="1:25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spans="1:25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spans="1:25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spans="1:25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spans="1:2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spans="1:25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spans="1:25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spans="1:25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spans="1:25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spans="1:25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spans="1:25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spans="1:25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spans="1:25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spans="1:25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spans="1:2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spans="1:25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spans="1:25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spans="1:25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spans="1:25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spans="1:25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spans="1:25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spans="1:25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spans="1:25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spans="1:25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spans="1:2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spans="1:25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spans="1:25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spans="1:25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spans="1:25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spans="1:25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spans="1:25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spans="1:25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spans="1:25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spans="1:25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spans="1: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spans="1:25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spans="1:25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spans="1:25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spans="1:25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spans="1:25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spans="1:25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spans="1:25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spans="1:25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spans="1:25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spans="1:2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spans="1:25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spans="1:25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spans="1:25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spans="1:25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spans="1:25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spans="1:25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spans="1:25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spans="1:25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spans="1:25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spans="1:2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spans="1:25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spans="1:25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spans="1:25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spans="1:25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spans="1:25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spans="1:25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spans="1:25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spans="1:25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spans="1:25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spans="1:2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spans="1:25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spans="1:25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spans="1:25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spans="1:25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spans="1:25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spans="1:25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spans="1:25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spans="1:25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spans="1:25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spans="1:2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spans="1:25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spans="1:25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spans="1:25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spans="1:25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spans="1:25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spans="1:25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spans="1:25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spans="1:25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spans="1:25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spans="1:2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spans="1:25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spans="1:25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spans="1:25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spans="1:25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spans="1:25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spans="1:25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spans="1:25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spans="1:25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spans="1:25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spans="1:2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spans="1:25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spans="1:25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spans="1:25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spans="1:25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spans="1:25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spans="1:25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spans="1:25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spans="1:25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spans="1:25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spans="1:2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spans="1:25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spans="1:25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spans="1:25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spans="1:25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spans="1:25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spans="1:25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spans="1:25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spans="1:25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spans="1:25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spans="1:2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spans="1:25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spans="1:25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spans="1:25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spans="1:25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spans="1:25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spans="1:25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spans="1:25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spans="1:25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spans="1:25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spans="1:2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spans="1:25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spans="1:25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spans="1:25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spans="1:25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spans="1:25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spans="1:25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spans="1:25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spans="1:25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spans="1:25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spans="1: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spans="1:25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spans="1:25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spans="1:25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spans="1:25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spans="1:25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spans="1:25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spans="1:25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spans="1:25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spans="1:25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spans="1:2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spans="1:25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spans="1:25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spans="1:25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spans="1:25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spans="1:25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spans="1:25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spans="1:25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spans="1:25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spans="1:25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spans="1:2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spans="1:25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spans="1:25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spans="1:25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spans="1:25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spans="1:25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spans="1:25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spans="1:25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spans="1:25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spans="1:25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spans="1:2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spans="1:25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spans="1:25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spans="1:25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spans="1:25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spans="1:25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spans="1:25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spans="1:25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spans="1:25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spans="1:25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spans="1:2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spans="1:25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spans="1:25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spans="1:25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spans="1:25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spans="1:25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spans="1:25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spans="1:25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spans="1:25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spans="1:25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spans="1:2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spans="1:25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spans="1:25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spans="1:25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spans="1:25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spans="1:25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spans="1:25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spans="1:25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spans="1:25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spans="1:25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spans="1:2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spans="1:25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spans="1:25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spans="1:25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spans="1:25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spans="1:25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spans="1:25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spans="1:25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spans="1:25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spans="1:25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spans="1:2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spans="1:25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spans="1:25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spans="1:25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spans="1:25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spans="1:25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spans="1:25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spans="1:25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spans="1:25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spans="1:25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spans="1:2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spans="1:25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spans="1:25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spans="1:25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spans="1:25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spans="1:25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spans="1:25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spans="1:25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spans="1:25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spans="1:25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spans="1:2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spans="1:25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spans="1:25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spans="1:25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spans="1:25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spans="1:25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spans="1:25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spans="1:25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spans="1:25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spans="1:25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spans="1: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spans="1:25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spans="1:25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spans="1:25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spans="1:25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spans="1:25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spans="1:25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spans="1:25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spans="1:25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spans="1:25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spans="1:2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spans="1:25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spans="1:25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spans="1:25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spans="1:25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spans="1:25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spans="1:25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spans="1:25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spans="1:25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spans="1:25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spans="1:2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spans="1:25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spans="1:25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spans="1:25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spans="1:25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spans="1:25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spans="1:25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spans="1:25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spans="1:25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spans="1:25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spans="1:2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spans="1:25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spans="1:25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spans="1:25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spans="1:25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spans="1:25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spans="1:25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spans="1:25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spans="1:25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spans="1:25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spans="1:2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spans="1:25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spans="1:25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spans="1:25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spans="1:25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spans="1:25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spans="1:25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spans="1:25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spans="1:25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spans="1:25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spans="1:2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spans="1:25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spans="1:25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spans="1:25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spans="1:25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spans="1:25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spans="1:25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spans="1:25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spans="1:25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spans="1:25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spans="1:2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spans="1:25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spans="1:25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spans="1:25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spans="1:25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spans="1:25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spans="1:25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spans="1:25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spans="1:25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spans="1:25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spans="1:2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spans="1:25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spans="1:25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spans="1:25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spans="1:25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spans="1:25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spans="1:25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spans="1:25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spans="1:25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spans="1:25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spans="1:2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spans="1:25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spans="1:25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spans="1:25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spans="1:25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spans="1:25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spans="1:25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spans="1:25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spans="1:25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spans="1:25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spans="1:2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spans="1:25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spans="1:25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spans="1:25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spans="1:25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spans="1:25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spans="1:25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spans="1:25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spans="1:25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spans="1:25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spans="1: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spans="1:25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spans="1:25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spans="1:25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spans="1:25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spans="1:25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spans="1:25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spans="1:25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spans="1:25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spans="1:25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spans="1:2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spans="1:25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spans="1:25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spans="1:25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spans="1:25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spans="1:25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spans="1:25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spans="1:25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spans="1:25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spans="1:25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spans="1:2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spans="1:25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spans="1:25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spans="1:25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spans="1:25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spans="1:25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spans="1:25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spans="1:25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spans="1:25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spans="1:25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spans="1:2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spans="1:25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spans="1:25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spans="1:25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spans="1:25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spans="1:25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spans="1:25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spans="1:25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spans="1:25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spans="1:25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spans="1:2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spans="1:25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spans="1:25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spans="1:25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spans="1:25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spans="1:25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spans="1:25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spans="1:25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spans="1:25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spans="1:25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spans="1:2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spans="1:25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spans="1:25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spans="1:25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spans="1:25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spans="1:25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spans="1:25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spans="1:25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spans="1:25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spans="1:25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spans="1:2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spans="1:25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spans="1:25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spans="1:25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spans="1:25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spans="1:25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spans="1:25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spans="1:25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spans="1:25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spans="1:25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spans="1:2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spans="1:25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spans="1:25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 spans="1:25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 spans="1:25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 spans="1:25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  <row r="1001" spans="1:25" ht="12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</row>
    <row r="1002" spans="1:25" ht="12.7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</row>
    <row r="1003" spans="1:25" ht="12.7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</row>
    <row r="1004" spans="1:25" ht="12.7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</row>
    <row r="1005" spans="1:25" ht="12.7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</row>
    <row r="1006" spans="1:25" ht="12.75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</row>
    <row r="1007" spans="1:25" ht="12.75" customHeight="1"/>
    <row r="1008" spans="1:25" ht="12.75" customHeight="1"/>
  </sheetData>
  <mergeCells count="59">
    <mergeCell ref="B24:C24"/>
    <mergeCell ref="E24:G24"/>
    <mergeCell ref="H24:I24"/>
    <mergeCell ref="E25:G25"/>
    <mergeCell ref="H25:I25"/>
    <mergeCell ref="H26:I26"/>
    <mergeCell ref="C37:E37"/>
    <mergeCell ref="I37:K37"/>
    <mergeCell ref="E26:G26"/>
    <mergeCell ref="E27:G27"/>
    <mergeCell ref="H27:I27"/>
    <mergeCell ref="E28:G28"/>
    <mergeCell ref="H28:I28"/>
    <mergeCell ref="C30:E30"/>
    <mergeCell ref="I30:K30"/>
    <mergeCell ref="J5:L5"/>
    <mergeCell ref="M5:M6"/>
    <mergeCell ref="K14:M14"/>
    <mergeCell ref="K16:M16"/>
    <mergeCell ref="A1:M1"/>
    <mergeCell ref="A3:M3"/>
    <mergeCell ref="A5:A6"/>
    <mergeCell ref="B5:B6"/>
    <mergeCell ref="C5:C6"/>
    <mergeCell ref="D5:D6"/>
    <mergeCell ref="E5:E6"/>
    <mergeCell ref="F5:G5"/>
    <mergeCell ref="H5:I5"/>
    <mergeCell ref="E14:G14"/>
    <mergeCell ref="H14:I14"/>
    <mergeCell ref="E15:G15"/>
    <mergeCell ref="E16:G16"/>
    <mergeCell ref="H16:I16"/>
    <mergeCell ref="E17:G17"/>
    <mergeCell ref="H17:I17"/>
    <mergeCell ref="K17:M17"/>
    <mergeCell ref="E18:G18"/>
    <mergeCell ref="H18:I18"/>
    <mergeCell ref="E19:G19"/>
    <mergeCell ref="H19:I19"/>
    <mergeCell ref="E20:G20"/>
    <mergeCell ref="H20:I20"/>
    <mergeCell ref="E21:G21"/>
    <mergeCell ref="H21:I21"/>
    <mergeCell ref="E22:G22"/>
    <mergeCell ref="H22:I22"/>
    <mergeCell ref="H23:I23"/>
    <mergeCell ref="E23:G23"/>
    <mergeCell ref="K9:K10"/>
    <mergeCell ref="L9:L10"/>
    <mergeCell ref="K25:M25"/>
    <mergeCell ref="K26:M26"/>
    <mergeCell ref="K18:M18"/>
    <mergeCell ref="K19:M19"/>
    <mergeCell ref="K20:M20"/>
    <mergeCell ref="K21:M21"/>
    <mergeCell ref="K22:M22"/>
    <mergeCell ref="K23:M23"/>
    <mergeCell ref="K24:M24"/>
  </mergeCells>
  <printOptions horizontalCentered="1"/>
  <pageMargins left="0.7" right="0.7" top="0.75" bottom="0.75" header="0" footer="0"/>
  <pageSetup pageOrder="overThenDown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Y1009"/>
  <sheetViews>
    <sheetView zoomScale="85" zoomScaleNormal="85" workbookViewId="0">
      <selection activeCell="L12" sqref="L12"/>
    </sheetView>
  </sheetViews>
  <sheetFormatPr defaultColWidth="12.7109375" defaultRowHeight="15" customHeight="1"/>
  <cols>
    <col min="1" max="1" width="4.7109375" customWidth="1"/>
    <col min="2" max="2" width="44.7109375" customWidth="1"/>
    <col min="3" max="3" width="16.7109375" customWidth="1"/>
    <col min="4" max="4" width="8.140625" customWidth="1"/>
    <col min="5" max="5" width="12.42578125" customWidth="1"/>
    <col min="6" max="9" width="16.140625" customWidth="1"/>
    <col min="10" max="10" width="9.28515625" customWidth="1"/>
    <col min="11" max="11" width="13.7109375" customWidth="1"/>
    <col min="12" max="12" width="11.28515625" customWidth="1"/>
    <col min="13" max="13" width="17.28515625" customWidth="1"/>
  </cols>
  <sheetData>
    <row r="1" spans="1:25">
      <c r="A1" s="36" t="s">
        <v>54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spans="1:25" ht="12.75" customHeight="1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 spans="1:25" ht="20.45" customHeight="1">
      <c r="A3" s="37" t="s">
        <v>42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</row>
    <row r="4" spans="1:25" ht="12.75" customHeight="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</row>
    <row r="5" spans="1:25" ht="12.75" customHeight="1">
      <c r="A5" s="32" t="s">
        <v>1</v>
      </c>
      <c r="B5" s="32" t="s">
        <v>3</v>
      </c>
      <c r="C5" s="32" t="s">
        <v>4</v>
      </c>
      <c r="D5" s="32" t="s">
        <v>5</v>
      </c>
      <c r="E5" s="32" t="s">
        <v>6</v>
      </c>
      <c r="F5" s="29" t="s">
        <v>7</v>
      </c>
      <c r="G5" s="31"/>
      <c r="H5" s="29" t="s">
        <v>8</v>
      </c>
      <c r="I5" s="31"/>
      <c r="J5" s="29" t="s">
        <v>9</v>
      </c>
      <c r="K5" s="30"/>
      <c r="L5" s="31"/>
      <c r="M5" s="32" t="s">
        <v>10</v>
      </c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  <row r="6" spans="1:25" ht="12.75" customHeight="1">
      <c r="A6" s="33"/>
      <c r="B6" s="33"/>
      <c r="C6" s="33"/>
      <c r="D6" s="33"/>
      <c r="E6" s="33"/>
      <c r="F6" s="4" t="s">
        <v>11</v>
      </c>
      <c r="G6" s="4" t="s">
        <v>12</v>
      </c>
      <c r="H6" s="4" t="s">
        <v>11</v>
      </c>
      <c r="I6" s="4" t="s">
        <v>12</v>
      </c>
      <c r="J6" s="4" t="s">
        <v>13</v>
      </c>
      <c r="K6" s="16" t="s">
        <v>14</v>
      </c>
      <c r="L6" s="4" t="s">
        <v>15</v>
      </c>
      <c r="M6" s="33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</row>
    <row r="7" spans="1:25" ht="30">
      <c r="A7" s="8">
        <v>1</v>
      </c>
      <c r="B7" s="17" t="s">
        <v>55</v>
      </c>
      <c r="C7" s="8" t="s">
        <v>0</v>
      </c>
      <c r="D7" s="8">
        <v>1</v>
      </c>
      <c r="E7" s="6" t="s">
        <v>16</v>
      </c>
      <c r="F7" s="7">
        <f>3015.68*26500</f>
        <v>79915520</v>
      </c>
      <c r="G7" s="7">
        <f t="shared" ref="G7:G12" si="0">F7*D7</f>
        <v>79915520</v>
      </c>
      <c r="H7" s="9">
        <v>164160000</v>
      </c>
      <c r="I7" s="7">
        <f t="shared" ref="I7:I12" si="1">H7*D7</f>
        <v>164160000</v>
      </c>
      <c r="J7" s="5"/>
      <c r="K7" s="9"/>
      <c r="L7" s="9">
        <f t="shared" ref="L7:L8" si="2">(G7*0.5%)+(10*26500)</f>
        <v>664577.60000000009</v>
      </c>
      <c r="M7" s="7">
        <f t="shared" ref="M7:M12" si="3">I7-G7-K7-L7</f>
        <v>83579902.400000006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spans="1:25" ht="30">
      <c r="A8" s="8">
        <v>2</v>
      </c>
      <c r="B8" s="17" t="s">
        <v>56</v>
      </c>
      <c r="C8" s="8" t="s">
        <v>57</v>
      </c>
      <c r="D8" s="8">
        <v>3</v>
      </c>
      <c r="E8" s="6" t="s">
        <v>16</v>
      </c>
      <c r="F8" s="7">
        <f>99.95*26500</f>
        <v>2648675</v>
      </c>
      <c r="G8" s="7">
        <f t="shared" si="0"/>
        <v>7946025</v>
      </c>
      <c r="H8" s="9">
        <v>6850000</v>
      </c>
      <c r="I8" s="7">
        <f t="shared" si="1"/>
        <v>20550000</v>
      </c>
      <c r="J8" s="5"/>
      <c r="K8" s="9">
        <f>G8/0.9*0.1</f>
        <v>882891.66666666663</v>
      </c>
      <c r="L8" s="9">
        <f t="shared" si="2"/>
        <v>304730.125</v>
      </c>
      <c r="M8" s="7">
        <f t="shared" si="3"/>
        <v>11416353.208333334</v>
      </c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</row>
    <row r="9" spans="1:25" ht="30">
      <c r="A9" s="8">
        <v>3</v>
      </c>
      <c r="B9" s="17" t="s">
        <v>58</v>
      </c>
      <c r="C9" s="8" t="s">
        <v>43</v>
      </c>
      <c r="D9" s="8">
        <v>1</v>
      </c>
      <c r="E9" s="6" t="s">
        <v>16</v>
      </c>
      <c r="F9" s="9">
        <v>202240000</v>
      </c>
      <c r="G9" s="7">
        <f t="shared" si="0"/>
        <v>202240000</v>
      </c>
      <c r="H9" s="9">
        <v>290520000</v>
      </c>
      <c r="I9" s="7">
        <f t="shared" si="1"/>
        <v>290520000</v>
      </c>
      <c r="J9" s="5"/>
      <c r="K9" s="9"/>
      <c r="L9" s="9">
        <f t="shared" ref="L9:L10" si="4">G9*0.07%</f>
        <v>141568.00000000003</v>
      </c>
      <c r="M9" s="7">
        <f t="shared" si="3"/>
        <v>88138432</v>
      </c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  <row r="10" spans="1:25" ht="45">
      <c r="A10" s="8">
        <v>4</v>
      </c>
      <c r="B10" s="17" t="s">
        <v>59</v>
      </c>
      <c r="C10" s="8" t="s">
        <v>60</v>
      </c>
      <c r="D10" s="8">
        <v>2</v>
      </c>
      <c r="E10" s="6" t="s">
        <v>16</v>
      </c>
      <c r="F10" s="9">
        <v>44500000</v>
      </c>
      <c r="G10" s="7">
        <f t="shared" si="0"/>
        <v>89000000</v>
      </c>
      <c r="H10" s="9">
        <v>46000000</v>
      </c>
      <c r="I10" s="7">
        <f t="shared" si="1"/>
        <v>92000000</v>
      </c>
      <c r="J10" s="5"/>
      <c r="K10" s="9"/>
      <c r="L10" s="9">
        <f t="shared" si="4"/>
        <v>62300.000000000007</v>
      </c>
      <c r="M10" s="7">
        <f t="shared" si="3"/>
        <v>2937700</v>
      </c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 spans="1:25" ht="30">
      <c r="A11" s="8">
        <v>5</v>
      </c>
      <c r="B11" s="17" t="s">
        <v>61</v>
      </c>
      <c r="C11" s="8" t="s">
        <v>40</v>
      </c>
      <c r="D11" s="8">
        <v>1</v>
      </c>
      <c r="E11" s="6" t="s">
        <v>16</v>
      </c>
      <c r="F11" s="7">
        <f>4125*26500</f>
        <v>109312500</v>
      </c>
      <c r="G11" s="7">
        <f t="shared" si="0"/>
        <v>109312500</v>
      </c>
      <c r="H11" s="9">
        <v>185677000</v>
      </c>
      <c r="I11" s="7">
        <f t="shared" si="1"/>
        <v>185677000</v>
      </c>
      <c r="J11" s="5"/>
      <c r="K11" s="9">
        <f t="shared" ref="K11:K12" si="5">G11/0.9*0.1</f>
        <v>12145833.333333334</v>
      </c>
      <c r="L11" s="9">
        <f t="shared" ref="L11:L12" si="6">(G11*0.5%)+(10*26500)</f>
        <v>811562.5</v>
      </c>
      <c r="M11" s="7">
        <f t="shared" si="3"/>
        <v>63407104.166666664</v>
      </c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 spans="1:25" ht="30">
      <c r="A12" s="8">
        <v>6</v>
      </c>
      <c r="B12" s="17" t="s">
        <v>62</v>
      </c>
      <c r="C12" s="8" t="s">
        <v>63</v>
      </c>
      <c r="D12" s="8">
        <v>1</v>
      </c>
      <c r="E12" s="6" t="s">
        <v>16</v>
      </c>
      <c r="F12" s="7">
        <f>3861*26500</f>
        <v>102316500</v>
      </c>
      <c r="G12" s="7">
        <f t="shared" si="0"/>
        <v>102316500</v>
      </c>
      <c r="H12" s="9">
        <v>136382000</v>
      </c>
      <c r="I12" s="7">
        <f t="shared" si="1"/>
        <v>136382000</v>
      </c>
      <c r="J12" s="5"/>
      <c r="K12" s="9">
        <f t="shared" si="5"/>
        <v>11368500</v>
      </c>
      <c r="L12" s="9">
        <f t="shared" si="6"/>
        <v>776582.5</v>
      </c>
      <c r="M12" s="7">
        <f t="shared" si="3"/>
        <v>21920417.5</v>
      </c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 spans="1:25">
      <c r="A13" s="2"/>
      <c r="B13" s="18"/>
      <c r="C13" s="18"/>
      <c r="D13" s="18"/>
      <c r="E13" s="12"/>
      <c r="F13" s="19"/>
      <c r="G13" s="19"/>
      <c r="H13" s="19"/>
      <c r="I13" s="19"/>
      <c r="J13" s="19"/>
      <c r="K13" s="19"/>
      <c r="L13" s="19"/>
      <c r="M13" s="19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  <row r="14" spans="1:25" ht="12.75" customHeight="1">
      <c r="A14" s="2"/>
      <c r="B14" s="11" t="s">
        <v>17</v>
      </c>
      <c r="C14" s="12"/>
      <c r="D14" s="12"/>
      <c r="E14" s="34" t="s">
        <v>18</v>
      </c>
      <c r="F14" s="24"/>
      <c r="G14" s="24"/>
      <c r="H14" s="38" t="s">
        <v>19</v>
      </c>
      <c r="I14" s="24"/>
      <c r="J14" s="12"/>
      <c r="K14" s="34" t="s">
        <v>20</v>
      </c>
      <c r="L14" s="24"/>
      <c r="M14" s="24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</row>
    <row r="15" spans="1:25" ht="12.75" customHeight="1">
      <c r="A15" s="2"/>
      <c r="B15" s="12" t="s">
        <v>36</v>
      </c>
      <c r="C15" s="13">
        <f>SUM(G7:G12)</f>
        <v>590730545</v>
      </c>
      <c r="D15" s="12"/>
      <c r="E15" s="25" t="s">
        <v>21</v>
      </c>
      <c r="F15" s="24"/>
      <c r="G15" s="24"/>
      <c r="H15" s="19"/>
      <c r="I15" s="19"/>
      <c r="J15" s="12"/>
      <c r="K15" s="12"/>
      <c r="L15" s="12"/>
      <c r="M15" s="12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  <row r="16" spans="1:25" ht="12.75" customHeight="1">
      <c r="A16" s="2"/>
      <c r="B16" s="12" t="s">
        <v>37</v>
      </c>
      <c r="C16" s="13">
        <f>SUM(I7:I12)</f>
        <v>889289000</v>
      </c>
      <c r="D16" s="12"/>
      <c r="E16" s="23" t="s">
        <v>22</v>
      </c>
      <c r="F16" s="24"/>
      <c r="G16" s="24"/>
      <c r="H16" s="26">
        <f>C16*30%</f>
        <v>266786700</v>
      </c>
      <c r="I16" s="24"/>
      <c r="J16" s="12"/>
      <c r="K16" s="35"/>
      <c r="L16" s="24"/>
      <c r="M16" s="24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</row>
    <row r="17" spans="1:25" ht="12.75" customHeight="1">
      <c r="A17" s="2"/>
      <c r="B17" s="12" t="s">
        <v>9</v>
      </c>
      <c r="C17" s="13">
        <f>SUM(J7:L12)</f>
        <v>27158545.725000001</v>
      </c>
      <c r="D17" s="12"/>
      <c r="E17" s="23" t="s">
        <v>23</v>
      </c>
      <c r="F17" s="24"/>
      <c r="G17" s="24"/>
      <c r="H17" s="26">
        <f>SUM(I18:J20)</f>
        <v>0</v>
      </c>
      <c r="I17" s="24"/>
      <c r="J17" s="12"/>
      <c r="K17" s="23"/>
      <c r="L17" s="24"/>
      <c r="M17" s="24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  <row r="18" spans="1:25" ht="12.75" customHeight="1">
      <c r="A18" s="2"/>
      <c r="B18" s="12" t="s">
        <v>24</v>
      </c>
      <c r="C18" s="15"/>
      <c r="D18" s="12"/>
      <c r="E18" s="23" t="s">
        <v>25</v>
      </c>
      <c r="F18" s="24"/>
      <c r="G18" s="24"/>
      <c r="H18" s="26">
        <f t="shared" ref="H18:H23" si="7">G7</f>
        <v>79915520</v>
      </c>
      <c r="I18" s="24"/>
      <c r="J18" s="12"/>
      <c r="K18" s="23"/>
      <c r="L18" s="24"/>
      <c r="M18" s="24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</row>
    <row r="19" spans="1:25" ht="12.75" customHeight="1">
      <c r="A19" s="2"/>
      <c r="B19" s="12" t="s">
        <v>26</v>
      </c>
      <c r="C19" s="13">
        <f>C18/0.8*20%</f>
        <v>0</v>
      </c>
      <c r="D19" s="12"/>
      <c r="E19" s="23" t="s">
        <v>64</v>
      </c>
      <c r="F19" s="24"/>
      <c r="G19" s="24"/>
      <c r="H19" s="26">
        <f t="shared" si="7"/>
        <v>7946025</v>
      </c>
      <c r="I19" s="24"/>
      <c r="J19" s="12"/>
      <c r="K19" s="23"/>
      <c r="L19" s="24"/>
      <c r="M19" s="24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  <row r="20" spans="1:25" ht="12.75" customHeight="1">
      <c r="A20" s="2"/>
      <c r="B20" s="12" t="s">
        <v>27</v>
      </c>
      <c r="C20" s="13">
        <f>C15+C17+C18+C19</f>
        <v>617889090.72500002</v>
      </c>
      <c r="D20" s="12"/>
      <c r="E20" s="23" t="s">
        <v>44</v>
      </c>
      <c r="F20" s="24"/>
      <c r="G20" s="24"/>
      <c r="H20" s="28">
        <f t="shared" si="7"/>
        <v>202240000</v>
      </c>
      <c r="I20" s="24"/>
      <c r="J20" s="12"/>
      <c r="K20" s="23"/>
      <c r="L20" s="24"/>
      <c r="M20" s="24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  <row r="21" spans="1:25" ht="12.75" customHeight="1">
      <c r="A21" s="2"/>
      <c r="B21" s="12" t="s">
        <v>28</v>
      </c>
      <c r="C21" s="13">
        <f>C16-C20</f>
        <v>271399909.27499998</v>
      </c>
      <c r="D21" s="12"/>
      <c r="E21" s="23" t="s">
        <v>65</v>
      </c>
      <c r="F21" s="24"/>
      <c r="G21" s="24"/>
      <c r="H21" s="28">
        <f t="shared" si="7"/>
        <v>89000000</v>
      </c>
      <c r="I21" s="24"/>
      <c r="J21" s="12"/>
      <c r="K21" s="23"/>
      <c r="L21" s="24"/>
      <c r="M21" s="24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  <row r="22" spans="1:25" ht="12.75" customHeight="1">
      <c r="A22" s="2"/>
      <c r="B22" s="12" t="s">
        <v>29</v>
      </c>
      <c r="C22" s="14">
        <f>C21/C16</f>
        <v>0.3051875253995045</v>
      </c>
      <c r="D22" s="12"/>
      <c r="E22" s="23" t="s">
        <v>41</v>
      </c>
      <c r="F22" s="24"/>
      <c r="G22" s="24"/>
      <c r="H22" s="28">
        <f t="shared" si="7"/>
        <v>109312500</v>
      </c>
      <c r="I22" s="24"/>
      <c r="J22" s="12"/>
      <c r="K22" s="23"/>
      <c r="L22" s="24"/>
      <c r="M22" s="24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</row>
    <row r="23" spans="1:25" ht="12.75" customHeight="1">
      <c r="A23" s="2"/>
      <c r="B23" s="12"/>
      <c r="C23" s="19"/>
      <c r="D23" s="12"/>
      <c r="E23" s="23" t="s">
        <v>66</v>
      </c>
      <c r="F23" s="24"/>
      <c r="G23" s="24"/>
      <c r="H23" s="28">
        <f t="shared" si="7"/>
        <v>102316500</v>
      </c>
      <c r="I23" s="24"/>
      <c r="J23" s="12"/>
      <c r="K23" s="23"/>
      <c r="L23" s="24"/>
      <c r="M23" s="24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  <row r="24" spans="1:25" ht="12.75" customHeight="1">
      <c r="A24" s="2"/>
      <c r="B24" s="23"/>
      <c r="C24" s="24"/>
      <c r="D24" s="12"/>
      <c r="J24" s="12"/>
      <c r="K24" s="23"/>
      <c r="L24" s="24"/>
      <c r="M24" s="24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</row>
    <row r="25" spans="1:25" ht="12.75" customHeight="1">
      <c r="A25" s="2"/>
      <c r="B25" s="12"/>
      <c r="C25" s="12"/>
      <c r="D25" s="12"/>
      <c r="E25" s="25" t="s">
        <v>30</v>
      </c>
      <c r="F25" s="24"/>
      <c r="G25" s="24"/>
      <c r="H25" s="23"/>
      <c r="I25" s="24"/>
      <c r="J25" s="12"/>
      <c r="K25" s="23"/>
      <c r="L25" s="24"/>
      <c r="M25" s="24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12.75" customHeight="1">
      <c r="A26" s="2"/>
      <c r="B26" s="12"/>
      <c r="C26" s="20"/>
      <c r="D26" s="12"/>
      <c r="E26" s="23" t="s">
        <v>31</v>
      </c>
      <c r="F26" s="24"/>
      <c r="G26" s="24"/>
      <c r="H26" s="26">
        <f>C16-H16</f>
        <v>622502300</v>
      </c>
      <c r="I26" s="24"/>
      <c r="J26" s="12"/>
      <c r="K26" s="23"/>
      <c r="L26" s="24"/>
      <c r="M26" s="24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</row>
    <row r="27" spans="1:25" ht="12.75" customHeight="1">
      <c r="A27" s="2"/>
      <c r="B27" s="12"/>
      <c r="C27" s="12"/>
      <c r="D27" s="12"/>
      <c r="E27" s="23" t="s">
        <v>32</v>
      </c>
      <c r="F27" s="24"/>
      <c r="G27" s="24"/>
      <c r="H27" s="26">
        <f>SUM(I25:J29)</f>
        <v>0</v>
      </c>
      <c r="I27" s="24"/>
      <c r="J27" s="12"/>
      <c r="K27" s="12"/>
      <c r="L27" s="12"/>
      <c r="M27" s="12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  <row r="28" spans="1:25" ht="12.75" customHeight="1">
      <c r="A28" s="2"/>
      <c r="B28" s="12"/>
      <c r="C28" s="20"/>
      <c r="D28" s="12"/>
      <c r="E28" s="23"/>
      <c r="F28" s="24"/>
      <c r="G28" s="24"/>
      <c r="H28" s="40"/>
      <c r="I28" s="24"/>
      <c r="J28" s="12"/>
      <c r="K28" s="12"/>
      <c r="L28" s="12"/>
      <c r="M28" s="12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</row>
    <row r="29" spans="1:25" ht="12.75" customHeight="1">
      <c r="A29" s="2"/>
      <c r="B29" s="12"/>
      <c r="C29" s="20"/>
      <c r="D29" s="12"/>
      <c r="E29" s="23"/>
      <c r="F29" s="24"/>
      <c r="G29" s="24"/>
      <c r="J29" s="12"/>
      <c r="K29" s="12"/>
      <c r="L29" s="12"/>
      <c r="M29" s="12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  <row r="30" spans="1:25" ht="12.75" customHeight="1">
      <c r="A30" s="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</row>
    <row r="31" spans="1:25" ht="12.75" customHeight="1">
      <c r="A31" s="2"/>
      <c r="B31" s="12"/>
      <c r="C31" s="39" t="s">
        <v>33</v>
      </c>
      <c r="D31" s="24"/>
      <c r="E31" s="24"/>
      <c r="F31" s="12"/>
      <c r="G31" s="12"/>
      <c r="H31" s="12"/>
      <c r="I31" s="39" t="s">
        <v>34</v>
      </c>
      <c r="J31" s="24"/>
      <c r="K31" s="24"/>
      <c r="L31" s="12"/>
      <c r="M31" s="12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  <row r="32" spans="1:25" ht="12.75" customHeight="1">
      <c r="A32" s="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</row>
    <row r="33" spans="1:25" ht="12.75" customHeight="1">
      <c r="A33" s="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  <row r="34" spans="1:25" ht="12.75" customHeight="1">
      <c r="A34" s="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</row>
    <row r="35" spans="1:25" ht="12.75" customHeight="1">
      <c r="A35" s="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</row>
    <row r="36" spans="1:25" ht="12.75" customHeight="1">
      <c r="A36" s="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</row>
    <row r="37" spans="1:25" ht="12.75" customHeight="1">
      <c r="A37" s="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  <row r="38" spans="1:25" ht="12.75" customHeight="1">
      <c r="A38" s="2"/>
      <c r="B38" s="12"/>
      <c r="C38" s="39" t="s">
        <v>35</v>
      </c>
      <c r="D38" s="24"/>
      <c r="E38" s="24"/>
      <c r="F38" s="12"/>
      <c r="G38" s="12"/>
      <c r="H38" s="12"/>
      <c r="I38" s="39" t="s">
        <v>2</v>
      </c>
      <c r="J38" s="24"/>
      <c r="K38" s="24"/>
      <c r="L38" s="12"/>
      <c r="M38" s="12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</row>
    <row r="39" spans="1:25" ht="12.75" customHeight="1">
      <c r="A39" s="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  <row r="40" spans="1:25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 spans="1:25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ht="12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ht="12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ht="12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ht="12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ht="12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ht="12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ht="12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ht="12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ht="12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ht="12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ht="12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ht="12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ht="12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ht="12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ht="12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ht="12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ht="12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ht="12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ht="12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ht="12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ht="12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ht="12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ht="12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ht="12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ht="12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ht="12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ht="12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ht="12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ht="12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 ht="12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ht="12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ht="12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ht="12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ht="12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ht="12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ht="12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ht="12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ht="12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ht="12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ht="12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ht="12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ht="12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ht="12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 ht="12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 ht="12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 ht="12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 ht="12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 ht="12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ht="12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ht="12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ht="12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 ht="12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 ht="12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 ht="12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 ht="12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 ht="12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 ht="12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 ht="12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 ht="12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 ht="12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 ht="12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 ht="12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 ht="12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 ht="12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 ht="12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 ht="12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5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1:25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1:25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1:25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1: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1:25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1:25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1:25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1:25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1:25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1:25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1:25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1:25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1:25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1:2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1:25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1:25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1:25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1:25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1:25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1:25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1:25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1:25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1:25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1:2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1:25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1:25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1:25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1:25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1:25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1:25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1:25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1:25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1:25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1:2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1:25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1:25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1:25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1:25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1:25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1:25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1:25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1:25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1:25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1:2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1:25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1:25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1:25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1:25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1:25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1:25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1:25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1:25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1:25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1:2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1:25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1:25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1:25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1:25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1:25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1:25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1:25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1:25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1:25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1:2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1:25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1:25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1:25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1:25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1:25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1:25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1:25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1:25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1:25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1:2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1:25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1:25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1:25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1:25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1:25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1:25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1:25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1:25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1:25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1:2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1:25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1:25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1:25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1:25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1:25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1:25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1:25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1:25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1:25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1:2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1:25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1:25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1:25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1:25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1:25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1:25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1:25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1:25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1:25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1: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1:25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1:25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1:25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1:25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1:25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1:25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1:25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1:25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1:25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1:2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spans="1:25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spans="1:25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spans="1:25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spans="1:25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spans="1:25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spans="1:25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spans="1:25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spans="1:25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spans="1:25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spans="1:2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spans="1:25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spans="1:25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spans="1:25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spans="1:25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spans="1:25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spans="1:25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spans="1:25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spans="1:25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spans="1:25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spans="1:2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spans="1:25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spans="1:25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spans="1:25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spans="1:25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spans="1:25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spans="1:25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spans="1:25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spans="1:25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spans="1:25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spans="1:2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spans="1:25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spans="1:25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spans="1:25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spans="1:25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spans="1:25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spans="1:25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spans="1:25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spans="1:25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spans="1:25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spans="1:2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spans="1:25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spans="1:25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spans="1:25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spans="1:25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spans="1:25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spans="1:25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spans="1:25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spans="1:25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spans="1:25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spans="1:2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spans="1:25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spans="1:25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spans="1:25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spans="1:25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spans="1:25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spans="1:25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spans="1:25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spans="1:25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spans="1:25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spans="1:2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spans="1:25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spans="1:25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spans="1:25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spans="1:25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spans="1:25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spans="1:25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spans="1:25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spans="1:25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spans="1:25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spans="1:2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spans="1:25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spans="1:25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spans="1:25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spans="1:25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spans="1:25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spans="1:25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spans="1:25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spans="1:25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spans="1:25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spans="1:2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spans="1:25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spans="1:25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spans="1:25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spans="1:25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spans="1:25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spans="1:25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spans="1:25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spans="1:25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spans="1:25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spans="1: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spans="1:25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spans="1:25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spans="1:25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spans="1:25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spans="1:25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spans="1:25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spans="1:25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spans="1:25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spans="1:25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spans="1:2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spans="1:25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spans="1:25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spans="1:25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spans="1:25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spans="1:25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spans="1:25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spans="1:25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spans="1:25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spans="1:25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spans="1:2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spans="1:25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spans="1:25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spans="1:25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spans="1:25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spans="1:25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spans="1:25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spans="1:25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spans="1:25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spans="1:25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spans="1:2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spans="1:25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spans="1:25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spans="1:25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spans="1:25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spans="1:25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spans="1:25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spans="1:25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spans="1:25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spans="1:25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spans="1:2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spans="1:25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spans="1:25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spans="1:25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spans="1:25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spans="1:25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spans="1:25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spans="1:25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spans="1:25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spans="1:25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spans="1:2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spans="1:25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spans="1:25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spans="1:25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spans="1:25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spans="1:25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spans="1:25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spans="1:25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spans="1:25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spans="1:25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spans="1:2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spans="1:25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spans="1:25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spans="1:25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spans="1:25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spans="1:25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spans="1:25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spans="1:25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spans="1:25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spans="1:25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spans="1:2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spans="1:25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spans="1:25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spans="1:25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spans="1:25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spans="1:25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spans="1:25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spans="1:25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spans="1:25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spans="1:25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spans="1:2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spans="1:25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spans="1:25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spans="1:25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spans="1:25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spans="1:25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spans="1:25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spans="1:25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spans="1:25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spans="1:25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spans="1:2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spans="1:25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spans="1:25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spans="1:25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spans="1:25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spans="1:25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spans="1:25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spans="1:25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spans="1:25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spans="1:25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spans="1: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spans="1:25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spans="1:25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spans="1:25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spans="1:25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spans="1:25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spans="1:25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spans="1:25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spans="1:25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spans="1:25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spans="1:2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spans="1:25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spans="1:25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spans="1:25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spans="1:25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spans="1:25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spans="1:25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spans="1:25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spans="1:25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spans="1:25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spans="1:2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spans="1:25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spans="1:25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spans="1:25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spans="1:25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spans="1:25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spans="1:25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spans="1:25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spans="1:25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spans="1:25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spans="1:2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spans="1:25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spans="1:25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spans="1:25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spans="1:25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spans="1:25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spans="1:25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spans="1:25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spans="1:25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spans="1:25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spans="1:2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spans="1:25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spans="1:25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spans="1:25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spans="1:25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spans="1:25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spans="1:25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spans="1:25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spans="1:25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spans="1:25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spans="1:2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spans="1:25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spans="1:25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spans="1:25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spans="1:25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spans="1:25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spans="1:25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spans="1:25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spans="1:25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spans="1:25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spans="1:2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spans="1:25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spans="1:25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spans="1:25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spans="1:25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spans="1:25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spans="1:25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spans="1:25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spans="1:25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spans="1:25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spans="1:2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spans="1:25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spans="1:25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spans="1:25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spans="1:25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spans="1:25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spans="1:25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spans="1:25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spans="1:25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spans="1:25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spans="1:2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spans="1:25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spans="1:25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spans="1:25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spans="1:25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spans="1:25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spans="1:25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spans="1:25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spans="1:25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spans="1:25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spans="1:2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spans="1:25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spans="1:25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spans="1:25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spans="1:25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spans="1:25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spans="1:25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spans="1:25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spans="1:25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spans="1:25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spans="1: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spans="1:25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spans="1:25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spans="1:25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spans="1:25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spans="1:25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spans="1:25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spans="1:25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spans="1:25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spans="1:25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spans="1:2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spans="1:25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spans="1:25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spans="1:25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spans="1:25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spans="1:25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spans="1:25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spans="1:25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spans="1:25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spans="1:25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spans="1:2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spans="1:25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spans="1:25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spans="1:25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spans="1:25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spans="1:25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spans="1:25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spans="1:25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spans="1:25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spans="1:25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spans="1:2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spans="1:25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spans="1:25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spans="1:25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spans="1:25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spans="1:25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spans="1:25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spans="1:25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spans="1:25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spans="1:25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spans="1:2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spans="1:25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spans="1:25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spans="1:25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spans="1:25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spans="1:25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spans="1:25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spans="1:25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spans="1:25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spans="1:25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spans="1:2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spans="1:25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spans="1:25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spans="1:25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spans="1:25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spans="1:25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spans="1:25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spans="1:25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spans="1:25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spans="1:25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spans="1:2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spans="1:25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spans="1:25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spans="1:25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spans="1:25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spans="1:25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spans="1:25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spans="1:25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spans="1:25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spans="1:25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spans="1:2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spans="1:25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spans="1:25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spans="1:25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spans="1:25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spans="1:25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spans="1:25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spans="1:25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spans="1:25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spans="1:25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spans="1:2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spans="1:25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spans="1:25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spans="1:25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spans="1:25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spans="1:25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spans="1:25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spans="1:25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spans="1:25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spans="1:25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spans="1:2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spans="1:25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spans="1:25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spans="1:25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spans="1:25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spans="1:25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spans="1:25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spans="1:25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spans="1:25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spans="1:25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spans="1: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spans="1:25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spans="1:25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spans="1:25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spans="1:25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spans="1:25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spans="1:25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spans="1:25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spans="1:25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spans="1:25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spans="1:2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spans="1:25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spans="1:25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spans="1:25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spans="1:25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spans="1:25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spans="1:25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spans="1:25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spans="1:25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spans="1:25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spans="1:2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spans="1:25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spans="1:25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spans="1:25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spans="1:25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spans="1:25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spans="1:25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spans="1:25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spans="1:25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spans="1:25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spans="1:2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spans="1:25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spans="1:25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spans="1:25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spans="1:25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spans="1:25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spans="1:25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spans="1:25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spans="1:25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spans="1:25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spans="1:2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spans="1:25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spans="1:25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spans="1:25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spans="1:25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spans="1:25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spans="1:25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spans="1:25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spans="1:25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spans="1:25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spans="1:2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spans="1:25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spans="1:25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spans="1:25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spans="1:25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spans="1:25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spans="1:25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spans="1:25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spans="1:25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spans="1:25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spans="1:2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spans="1:25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spans="1:25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spans="1:25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spans="1:25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spans="1:25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spans="1:25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spans="1:25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spans="1:25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spans="1:25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spans="1:2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spans="1:25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spans="1:25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spans="1:25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spans="1:25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spans="1:25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spans="1:25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spans="1:25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spans="1:25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spans="1:25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spans="1:2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spans="1:25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spans="1:25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spans="1:25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spans="1:25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spans="1:25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spans="1:25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spans="1:25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spans="1:25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spans="1:25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spans="1:2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spans="1:25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spans="1:25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spans="1:25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spans="1:25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spans="1:25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spans="1:25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spans="1:25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spans="1:25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spans="1:25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spans="1: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spans="1:25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spans="1:25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spans="1:25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spans="1:25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spans="1:25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spans="1:25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spans="1:25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spans="1:25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spans="1:25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spans="1:2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spans="1:25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spans="1:25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spans="1:25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spans="1:25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spans="1:25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spans="1:25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spans="1:25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spans="1:25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spans="1:25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spans="1:2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spans="1:25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spans="1:25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spans="1:25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spans="1:25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spans="1:25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spans="1:25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spans="1:25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spans="1:25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spans="1:25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spans="1:2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spans="1:25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spans="1:25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spans="1:25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spans="1:25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spans="1:25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spans="1:25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spans="1:25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spans="1:25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spans="1:25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spans="1:2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spans="1:25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spans="1:25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spans="1:25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spans="1:25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spans="1:25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spans="1:25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spans="1:25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spans="1:25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spans="1:25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spans="1:2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spans="1:25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spans="1:25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spans="1:25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spans="1:25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spans="1:25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spans="1:25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spans="1:25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spans="1:25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spans="1:25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spans="1:2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spans="1:25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spans="1:25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spans="1:25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spans="1:25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spans="1:25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spans="1:25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spans="1:25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spans="1:25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spans="1:25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spans="1:2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spans="1:25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spans="1:25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spans="1:25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spans="1:25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spans="1:25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spans="1:25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spans="1:25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spans="1:25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spans="1:25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spans="1:2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spans="1:25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spans="1:25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spans="1:25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spans="1:25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spans="1:25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spans="1:25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spans="1:25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spans="1:25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spans="1:25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spans="1:2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spans="1:25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spans="1:25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spans="1:25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spans="1:25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spans="1:25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spans="1:25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spans="1:25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spans="1:25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spans="1:25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spans="1: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spans="1:25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spans="1:25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spans="1:25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spans="1:25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spans="1:25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spans="1:25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spans="1:25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spans="1:25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spans="1:25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spans="1:2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spans="1:25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spans="1:25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spans="1:25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spans="1:25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spans="1:25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spans="1:25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spans="1:25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spans="1:25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spans="1:25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spans="1:2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spans="1:25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spans="1:25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spans="1:25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spans="1:25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spans="1:25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spans="1:25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spans="1:25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spans="1:25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spans="1:25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spans="1:2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spans="1:25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spans="1:25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spans="1:25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spans="1:25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spans="1:25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spans="1:25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spans="1:25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spans="1:25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spans="1:25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spans="1:2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spans="1:25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spans="1:25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spans="1:25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spans="1:25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spans="1:25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spans="1:25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spans="1:25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spans="1:25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spans="1:25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spans="1:2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spans="1:25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spans="1:25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spans="1:25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spans="1:25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spans="1:25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spans="1:25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spans="1:25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spans="1:25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spans="1:25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spans="1:2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spans="1:25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spans="1:25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spans="1:25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spans="1:25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spans="1:25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spans="1:25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spans="1:25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spans="1:25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spans="1:25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spans="1:2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spans="1:25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spans="1:25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 spans="1:25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 spans="1:25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 spans="1:25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  <row r="1001" spans="1:25" ht="12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</row>
    <row r="1002" spans="1:25" ht="12.7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</row>
    <row r="1003" spans="1:25" ht="12.7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</row>
    <row r="1004" spans="1:25" ht="12.7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</row>
    <row r="1005" spans="1:25" ht="12.7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</row>
    <row r="1006" spans="1:25" ht="12.75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</row>
    <row r="1007" spans="1:25" ht="12.75" customHeight="1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</row>
    <row r="1008" spans="1:25" ht="12.75" customHeight="1"/>
    <row r="1009" ht="12.75" customHeight="1"/>
  </sheetData>
  <mergeCells count="56">
    <mergeCell ref="E29:G29"/>
    <mergeCell ref="C31:E31"/>
    <mergeCell ref="I31:K31"/>
    <mergeCell ref="C38:E38"/>
    <mergeCell ref="I38:K38"/>
    <mergeCell ref="E23:G23"/>
    <mergeCell ref="B24:C24"/>
    <mergeCell ref="E25:G25"/>
    <mergeCell ref="H25:I25"/>
    <mergeCell ref="E26:G26"/>
    <mergeCell ref="H26:I26"/>
    <mergeCell ref="H27:I27"/>
    <mergeCell ref="K25:M25"/>
    <mergeCell ref="K26:M26"/>
    <mergeCell ref="K23:M23"/>
    <mergeCell ref="K24:M24"/>
    <mergeCell ref="E27:G27"/>
    <mergeCell ref="E28:G28"/>
    <mergeCell ref="H28:I28"/>
    <mergeCell ref="J5:L5"/>
    <mergeCell ref="M5:M6"/>
    <mergeCell ref="K14:M14"/>
    <mergeCell ref="K16:M16"/>
    <mergeCell ref="A1:M1"/>
    <mergeCell ref="A3:M3"/>
    <mergeCell ref="A5:A6"/>
    <mergeCell ref="B5:B6"/>
    <mergeCell ref="C5:C6"/>
    <mergeCell ref="D5:D6"/>
    <mergeCell ref="E5:E6"/>
    <mergeCell ref="F5:G5"/>
    <mergeCell ref="H5:I5"/>
    <mergeCell ref="E14:G14"/>
    <mergeCell ref="H14:I14"/>
    <mergeCell ref="E15:G15"/>
    <mergeCell ref="E16:G16"/>
    <mergeCell ref="H16:I16"/>
    <mergeCell ref="E17:G17"/>
    <mergeCell ref="H17:I17"/>
    <mergeCell ref="K17:M17"/>
    <mergeCell ref="E18:G18"/>
    <mergeCell ref="H18:I18"/>
    <mergeCell ref="E19:G19"/>
    <mergeCell ref="H19:I19"/>
    <mergeCell ref="E20:G20"/>
    <mergeCell ref="H20:I20"/>
    <mergeCell ref="E21:G21"/>
    <mergeCell ref="H21:I21"/>
    <mergeCell ref="E22:G22"/>
    <mergeCell ref="H22:I22"/>
    <mergeCell ref="H23:I23"/>
    <mergeCell ref="K18:M18"/>
    <mergeCell ref="K19:M19"/>
    <mergeCell ref="K20:M20"/>
    <mergeCell ref="K21:M21"/>
    <mergeCell ref="K22:M22"/>
  </mergeCells>
  <printOptions horizontalCentered="1"/>
  <pageMargins left="0.7" right="0.7" top="0.75" bottom="0.75" header="0" footer="0"/>
  <pageSetup pageOrder="overThenDown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HĐ185</vt:lpstr>
      <vt:lpstr>HĐ186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TU</dc:creator>
  <cp:lastModifiedBy>Personal</cp:lastModifiedBy>
  <dcterms:created xsi:type="dcterms:W3CDTF">2026-02-06T08:54:41Z</dcterms:created>
  <dcterms:modified xsi:type="dcterms:W3CDTF">2026-02-06T09:00:08Z</dcterms:modified>
</cp:coreProperties>
</file>