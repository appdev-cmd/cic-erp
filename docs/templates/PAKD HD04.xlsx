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ocAnh\2026\01.Project\cic-erp-contract\docs\templates\"/>
    </mc:Choice>
  </mc:AlternateContent>
  <bookViews>
    <workbookView xWindow="0" yWindow="0" windowWidth="4650" windowHeight="11595" activeTab="5"/>
  </bookViews>
  <sheets>
    <sheet name="Theo dõi hợp đồng" sheetId="1" r:id="rId1"/>
    <sheet name="Theo dõi DIGICON" sheetId="2" r:id="rId2"/>
    <sheet name="Theo dõi Nhật Nam" sheetId="3" r:id="rId3"/>
    <sheet name="HĐ68.2025" sheetId="4" r:id="rId4"/>
    <sheet name="HĐ02.2026" sheetId="5" r:id="rId5"/>
    <sheet name="HĐ04.2026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KeToan">#REF!</definedName>
    <definedName name="NamedRange1">#REF!</definedName>
  </definedNames>
  <calcPr calcId="162913"/>
</workbook>
</file>

<file path=xl/calcChain.xml><?xml version="1.0" encoding="utf-8"?>
<calcChain xmlns="http://schemas.openxmlformats.org/spreadsheetml/2006/main">
  <c r="C9" i="6" l="1"/>
  <c r="C10" i="6" s="1"/>
  <c r="G5" i="6"/>
  <c r="C8" i="6" s="1"/>
  <c r="C15" i="5"/>
  <c r="C16" i="5" s="1"/>
  <c r="C14" i="5"/>
  <c r="C13" i="5"/>
  <c r="C12" i="5"/>
  <c r="C9" i="5"/>
  <c r="L5" i="5"/>
  <c r="C11" i="5" s="1"/>
  <c r="C17" i="5" s="1"/>
  <c r="C18" i="5" s="1"/>
  <c r="I5" i="5"/>
  <c r="M5" i="5" s="1"/>
  <c r="H5" i="5"/>
  <c r="C10" i="4"/>
  <c r="C13" i="4" s="1"/>
  <c r="C9" i="4"/>
  <c r="L5" i="4"/>
  <c r="C11" i="4" s="1"/>
  <c r="H5" i="4"/>
  <c r="I5" i="4" s="1"/>
  <c r="M5" i="4" s="1"/>
  <c r="O21" i="3"/>
  <c r="Q21" i="3" s="1"/>
  <c r="K21" i="3"/>
  <c r="R21" i="3" s="1"/>
  <c r="J21" i="3"/>
  <c r="A21" i="3"/>
  <c r="Q20" i="3"/>
  <c r="O20" i="3"/>
  <c r="K20" i="3"/>
  <c r="R20" i="3" s="1"/>
  <c r="J20" i="3"/>
  <c r="A20" i="3"/>
  <c r="O19" i="3"/>
  <c r="Q19" i="3" s="1"/>
  <c r="K19" i="3"/>
  <c r="R19" i="3" s="1"/>
  <c r="J19" i="3"/>
  <c r="A19" i="3"/>
  <c r="O18" i="3"/>
  <c r="Q18" i="3" s="1"/>
  <c r="K18" i="3"/>
  <c r="R18" i="3" s="1"/>
  <c r="J18" i="3"/>
  <c r="A18" i="3"/>
  <c r="O17" i="3"/>
  <c r="Q16" i="3"/>
  <c r="O16" i="3"/>
  <c r="M16" i="3"/>
  <c r="H16" i="3"/>
  <c r="J16" i="3" s="1"/>
  <c r="O15" i="3"/>
  <c r="H15" i="3"/>
  <c r="S14" i="3" s="1"/>
  <c r="O14" i="3"/>
  <c r="M14" i="3"/>
  <c r="Q14" i="3" s="1"/>
  <c r="H14" i="3"/>
  <c r="J14" i="3" s="1"/>
  <c r="S13" i="3"/>
  <c r="R13" i="3"/>
  <c r="M13" i="3"/>
  <c r="Q13" i="3" s="1"/>
  <c r="J13" i="3"/>
  <c r="O12" i="3"/>
  <c r="H12" i="3"/>
  <c r="J12" i="3" s="1"/>
  <c r="S11" i="3"/>
  <c r="R11" i="3"/>
  <c r="O11" i="3"/>
  <c r="K11" i="3"/>
  <c r="H11" i="3"/>
  <c r="J11" i="3" s="1"/>
  <c r="A11" i="3"/>
  <c r="R9" i="3"/>
  <c r="Q9" i="3"/>
  <c r="K9" i="3"/>
  <c r="J9" i="3"/>
  <c r="D9" i="3"/>
  <c r="A9" i="3"/>
  <c r="Q8" i="3"/>
  <c r="K8" i="3"/>
  <c r="J8" i="3"/>
  <c r="A8" i="3"/>
  <c r="S5" i="3"/>
  <c r="Q5" i="3"/>
  <c r="O5" i="3"/>
  <c r="M5" i="3"/>
  <c r="K5" i="3"/>
  <c r="R5" i="3" s="1"/>
  <c r="J5" i="3"/>
  <c r="A5" i="3"/>
  <c r="S40" i="2"/>
  <c r="R40" i="2"/>
  <c r="O40" i="2"/>
  <c r="L40" i="2"/>
  <c r="K40" i="2"/>
  <c r="J40" i="2"/>
  <c r="A40" i="2"/>
  <c r="O39" i="2"/>
  <c r="H39" i="2"/>
  <c r="O38" i="2"/>
  <c r="R38" i="2" s="1"/>
  <c r="M38" i="2"/>
  <c r="K38" i="2"/>
  <c r="R39" i="2" s="1"/>
  <c r="J38" i="2"/>
  <c r="A38" i="2"/>
  <c r="S36" i="2"/>
  <c r="R36" i="2"/>
  <c r="O36" i="2"/>
  <c r="Q36" i="2" s="1"/>
  <c r="J36" i="2"/>
  <c r="A36" i="2"/>
  <c r="J35" i="2"/>
  <c r="R34" i="2"/>
  <c r="O34" i="2"/>
  <c r="Q34" i="2" s="1"/>
  <c r="J34" i="2"/>
  <c r="A34" i="2"/>
  <c r="J31" i="2"/>
  <c r="A31" i="2"/>
  <c r="A30" i="2"/>
  <c r="A29" i="2"/>
  <c r="J28" i="2"/>
  <c r="S27" i="2"/>
  <c r="R27" i="2"/>
  <c r="M27" i="2"/>
  <c r="O27" i="2" s="1"/>
  <c r="Q27" i="2" s="1"/>
  <c r="J27" i="2"/>
  <c r="A27" i="2"/>
  <c r="R24" i="2"/>
  <c r="Q24" i="2"/>
  <c r="O24" i="2"/>
  <c r="J24" i="2"/>
  <c r="A24" i="2"/>
  <c r="J23" i="2"/>
  <c r="J22" i="2"/>
  <c r="D22" i="2"/>
  <c r="A22" i="2"/>
  <c r="J21" i="2"/>
  <c r="D21" i="2"/>
  <c r="A21" i="2"/>
  <c r="A20" i="2"/>
  <c r="J18" i="2"/>
  <c r="A18" i="2"/>
  <c r="J17" i="2"/>
  <c r="A17" i="2"/>
  <c r="J16" i="2"/>
  <c r="J15" i="2"/>
  <c r="J14" i="2"/>
  <c r="A14" i="2"/>
  <c r="J12" i="2"/>
  <c r="A12" i="2"/>
  <c r="J10" i="2"/>
  <c r="A10" i="2"/>
  <c r="D9" i="2"/>
  <c r="J8" i="2"/>
  <c r="J7" i="2"/>
  <c r="J6" i="2"/>
  <c r="A6" i="2"/>
  <c r="K81" i="1"/>
  <c r="K2" i="1" s="1"/>
  <c r="A81" i="1"/>
  <c r="A80" i="1"/>
  <c r="AH79" i="1"/>
  <c r="AF79" i="1"/>
  <c r="AE79" i="1"/>
  <c r="AE2" i="1" s="1"/>
  <c r="V79" i="1"/>
  <c r="Q79" i="1"/>
  <c r="N79" i="1"/>
  <c r="M79" i="1"/>
  <c r="M78" i="1" s="1"/>
  <c r="M2" i="1" s="1"/>
  <c r="A79" i="1"/>
  <c r="N78" i="1"/>
  <c r="K78" i="1"/>
  <c r="I78" i="1"/>
  <c r="G78" i="1"/>
  <c r="E78" i="1"/>
  <c r="A77" i="1"/>
  <c r="A76" i="1"/>
  <c r="M75" i="1"/>
  <c r="A75" i="1"/>
  <c r="M74" i="1"/>
  <c r="A74" i="1"/>
  <c r="A73" i="1"/>
  <c r="M72" i="1"/>
  <c r="A72" i="1"/>
  <c r="Y71" i="1"/>
  <c r="V71" i="1"/>
  <c r="U71" i="1" s="1"/>
  <c r="R71" i="1"/>
  <c r="Q71" i="1"/>
  <c r="M70" i="1"/>
  <c r="G70" i="1"/>
  <c r="A70" i="1"/>
  <c r="M69" i="1"/>
  <c r="A69" i="1"/>
  <c r="A68" i="1"/>
  <c r="A67" i="1"/>
  <c r="A66" i="1"/>
  <c r="AD64" i="1"/>
  <c r="Y64" i="1"/>
  <c r="X64" i="1"/>
  <c r="N64" i="1" s="1"/>
  <c r="P64" i="1" s="1"/>
  <c r="V64" i="1"/>
  <c r="M64" i="1"/>
  <c r="G64" i="1"/>
  <c r="A64" i="1"/>
  <c r="Q63" i="1"/>
  <c r="M63" i="1"/>
  <c r="A63" i="1"/>
  <c r="AD60" i="1"/>
  <c r="Y60" i="1"/>
  <c r="X60" i="1"/>
  <c r="W60" i="1" s="1"/>
  <c r="V60" i="1"/>
  <c r="R60" i="1"/>
  <c r="N60" i="1" s="1"/>
  <c r="P60" i="1" s="1"/>
  <c r="M60" i="1"/>
  <c r="G60" i="1"/>
  <c r="A60" i="1"/>
  <c r="AD58" i="1"/>
  <c r="Y58" i="1"/>
  <c r="X58" i="1"/>
  <c r="W58" i="1" s="1"/>
  <c r="V58" i="1"/>
  <c r="M58" i="1"/>
  <c r="G58" i="1"/>
  <c r="A58" i="1"/>
  <c r="AD57" i="1"/>
  <c r="Y57" i="1"/>
  <c r="V57" i="1"/>
  <c r="X57" i="1" s="1"/>
  <c r="W57" i="1" s="1"/>
  <c r="T57" i="1"/>
  <c r="R57" i="1"/>
  <c r="M57" i="1"/>
  <c r="G57" i="1"/>
  <c r="K56" i="1"/>
  <c r="AD55" i="1"/>
  <c r="AB55" i="1"/>
  <c r="Y55" i="1"/>
  <c r="V55" i="1"/>
  <c r="X55" i="1" s="1"/>
  <c r="W55" i="1" s="1"/>
  <c r="T55" i="1"/>
  <c r="R55" i="1"/>
  <c r="N55" i="1" s="1"/>
  <c r="P55" i="1" s="1"/>
  <c r="M55" i="1"/>
  <c r="G55" i="1"/>
  <c r="A55" i="1"/>
  <c r="AD54" i="1"/>
  <c r="V54" i="1"/>
  <c r="P54" i="1"/>
  <c r="N54" i="1"/>
  <c r="M54" i="1"/>
  <c r="A54" i="1"/>
  <c r="A53" i="1"/>
  <c r="AD51" i="1"/>
  <c r="X51" i="1"/>
  <c r="W51" i="1" s="1"/>
  <c r="V51" i="1"/>
  <c r="T51" i="1"/>
  <c r="M51" i="1"/>
  <c r="G51" i="1"/>
  <c r="A51" i="1"/>
  <c r="Q50" i="1"/>
  <c r="A50" i="1"/>
  <c r="AD48" i="1"/>
  <c r="X48" i="1"/>
  <c r="W48" i="1"/>
  <c r="V48" i="1"/>
  <c r="T48" i="1"/>
  <c r="N48" i="1"/>
  <c r="P48" i="1" s="1"/>
  <c r="M48" i="1"/>
  <c r="G48" i="1"/>
  <c r="A48" i="1"/>
  <c r="Q47" i="1"/>
  <c r="M47" i="1"/>
  <c r="A47" i="1"/>
  <c r="AD45" i="1"/>
  <c r="Y45" i="1"/>
  <c r="X45" i="1"/>
  <c r="W45" i="1" s="1"/>
  <c r="V45" i="1"/>
  <c r="T45" i="1"/>
  <c r="S45" i="1" s="1"/>
  <c r="K45" i="1"/>
  <c r="M45" i="1" s="1"/>
  <c r="G45" i="1"/>
  <c r="R45" i="1" s="1"/>
  <c r="K44" i="1"/>
  <c r="AD43" i="1"/>
  <c r="Y43" i="1"/>
  <c r="V43" i="1"/>
  <c r="X43" i="1" s="1"/>
  <c r="T43" i="1"/>
  <c r="S43" i="1"/>
  <c r="R43" i="1"/>
  <c r="Q43" i="1" s="1"/>
  <c r="M43" i="1"/>
  <c r="K43" i="1"/>
  <c r="G43" i="1"/>
  <c r="AD42" i="1"/>
  <c r="Y42" i="1"/>
  <c r="V42" i="1"/>
  <c r="X42" i="1" s="1"/>
  <c r="W42" i="1" s="1"/>
  <c r="T42" i="1"/>
  <c r="S42" i="1"/>
  <c r="R42" i="1"/>
  <c r="Q42" i="1" s="1"/>
  <c r="M42" i="1"/>
  <c r="G42" i="1"/>
  <c r="M41" i="1"/>
  <c r="K41" i="1"/>
  <c r="K40" i="1"/>
  <c r="K6" i="1" s="1"/>
  <c r="A40" i="1"/>
  <c r="AD39" i="1"/>
  <c r="X39" i="1"/>
  <c r="W39" i="1"/>
  <c r="V39" i="1"/>
  <c r="T39" i="1"/>
  <c r="S39" i="1"/>
  <c r="R39" i="1"/>
  <c r="Q39" i="1" s="1"/>
  <c r="M39" i="1"/>
  <c r="G39" i="1"/>
  <c r="AD38" i="1"/>
  <c r="V38" i="1"/>
  <c r="X38" i="1" s="1"/>
  <c r="W38" i="1" s="1"/>
  <c r="T38" i="1"/>
  <c r="S38" i="1"/>
  <c r="R38" i="1"/>
  <c r="Q38" i="1" s="1"/>
  <c r="G38" i="1"/>
  <c r="AD37" i="1"/>
  <c r="V37" i="1"/>
  <c r="X37" i="1" s="1"/>
  <c r="W37" i="1" s="1"/>
  <c r="T37" i="1"/>
  <c r="S37" i="1"/>
  <c r="R37" i="1"/>
  <c r="Q37" i="1" s="1"/>
  <c r="M37" i="1"/>
  <c r="G37" i="1"/>
  <c r="AD36" i="1"/>
  <c r="V36" i="1"/>
  <c r="X36" i="1" s="1"/>
  <c r="W36" i="1" s="1"/>
  <c r="T36" i="1"/>
  <c r="S36" i="1" s="1"/>
  <c r="R36" i="1"/>
  <c r="N36" i="1" s="1"/>
  <c r="P36" i="1" s="1"/>
  <c r="Q36" i="1"/>
  <c r="G36" i="1"/>
  <c r="X35" i="1"/>
  <c r="W35" i="1" s="1"/>
  <c r="V35" i="1"/>
  <c r="T35" i="1"/>
  <c r="S35" i="1" s="1"/>
  <c r="R35" i="1"/>
  <c r="Q35" i="1"/>
  <c r="M35" i="1"/>
  <c r="G35" i="1"/>
  <c r="E35" i="1"/>
  <c r="A35" i="1"/>
  <c r="AD34" i="1"/>
  <c r="Y34" i="1"/>
  <c r="X34" i="1"/>
  <c r="W34" i="1"/>
  <c r="V34" i="1"/>
  <c r="R34" i="1"/>
  <c r="N34" i="1"/>
  <c r="P34" i="1" s="1"/>
  <c r="M34" i="1"/>
  <c r="G34" i="1"/>
  <c r="A34" i="1"/>
  <c r="Q33" i="1"/>
  <c r="K33" i="1"/>
  <c r="G33" i="1"/>
  <c r="A33" i="1"/>
  <c r="G32" i="1"/>
  <c r="A32" i="1"/>
  <c r="AD30" i="1"/>
  <c r="Y30" i="1"/>
  <c r="X30" i="1"/>
  <c r="N30" i="1" s="1"/>
  <c r="P30" i="1" s="1"/>
  <c r="V30" i="1"/>
  <c r="M30" i="1"/>
  <c r="G30" i="1"/>
  <c r="A30" i="1"/>
  <c r="AD29" i="1"/>
  <c r="Y29" i="1"/>
  <c r="X29" i="1"/>
  <c r="N29" i="1" s="1"/>
  <c r="P29" i="1" s="1"/>
  <c r="W29" i="1"/>
  <c r="V29" i="1"/>
  <c r="R29" i="1"/>
  <c r="M29" i="1"/>
  <c r="G29" i="1"/>
  <c r="AD28" i="1"/>
  <c r="X28" i="1"/>
  <c r="W28" i="1" s="1"/>
  <c r="V28" i="1"/>
  <c r="R28" i="1"/>
  <c r="Y28" i="1" s="1"/>
  <c r="M28" i="1"/>
  <c r="G28" i="1"/>
  <c r="A28" i="1"/>
  <c r="AD26" i="1"/>
  <c r="Y26" i="1"/>
  <c r="X26" i="1"/>
  <c r="W26" i="1" s="1"/>
  <c r="V26" i="1"/>
  <c r="M26" i="1"/>
  <c r="G26" i="1"/>
  <c r="A26" i="1"/>
  <c r="A25" i="1"/>
  <c r="A24" i="1"/>
  <c r="AD23" i="1"/>
  <c r="Y23" i="1"/>
  <c r="X23" i="1"/>
  <c r="W23" i="1"/>
  <c r="V23" i="1"/>
  <c r="R23" i="1"/>
  <c r="N23" i="1"/>
  <c r="P23" i="1" s="1"/>
  <c r="M23" i="1"/>
  <c r="AD22" i="1"/>
  <c r="Y22" i="1"/>
  <c r="V22" i="1"/>
  <c r="X22" i="1" s="1"/>
  <c r="R22" i="1"/>
  <c r="M22" i="1"/>
  <c r="G22" i="1"/>
  <c r="A22" i="1"/>
  <c r="Q21" i="1"/>
  <c r="A21" i="1"/>
  <c r="AD19" i="1"/>
  <c r="Y19" i="1"/>
  <c r="X19" i="1"/>
  <c r="W19" i="1" s="1"/>
  <c r="V19" i="1"/>
  <c r="U19" i="1"/>
  <c r="R19" i="1"/>
  <c r="N19" i="1" s="1"/>
  <c r="P19" i="1" s="1"/>
  <c r="Q19" i="1"/>
  <c r="M19" i="1"/>
  <c r="AF18" i="1"/>
  <c r="AE18" i="1"/>
  <c r="M18" i="1"/>
  <c r="G18" i="1"/>
  <c r="E18" i="1"/>
  <c r="A18" i="1"/>
  <c r="AD17" i="1"/>
  <c r="Y17" i="1"/>
  <c r="V17" i="1"/>
  <c r="X17" i="1" s="1"/>
  <c r="W17" i="1" s="1"/>
  <c r="T17" i="1"/>
  <c r="S17" i="1"/>
  <c r="R17" i="1"/>
  <c r="Q17" i="1" s="1"/>
  <c r="Q2" i="1" s="1"/>
  <c r="M17" i="1"/>
  <c r="AF16" i="1"/>
  <c r="AE16" i="1"/>
  <c r="M16" i="1"/>
  <c r="G16" i="1"/>
  <c r="E16" i="1"/>
  <c r="A16" i="1"/>
  <c r="M14" i="1"/>
  <c r="A14" i="1"/>
  <c r="A13" i="1"/>
  <c r="AH12" i="1"/>
  <c r="AF12" i="1"/>
  <c r="AE12" i="1"/>
  <c r="AD12" i="1"/>
  <c r="AB12" i="1"/>
  <c r="X12" i="1"/>
  <c r="W12" i="1" s="1"/>
  <c r="V12" i="1"/>
  <c r="R12" i="1"/>
  <c r="N12" i="1" s="1"/>
  <c r="P12" i="1" s="1"/>
  <c r="M12" i="1"/>
  <c r="AG11" i="1"/>
  <c r="AH11" i="1" s="1"/>
  <c r="M11" i="1"/>
  <c r="AH10" i="1"/>
  <c r="AG10" i="1"/>
  <c r="AF10" i="1"/>
  <c r="AE10" i="1"/>
  <c r="M10" i="1"/>
  <c r="A10" i="1"/>
  <c r="M9" i="1"/>
  <c r="AI8" i="1"/>
  <c r="AF8" i="1"/>
  <c r="AE8" i="1"/>
  <c r="M8" i="1"/>
  <c r="M7" i="1"/>
  <c r="A7" i="1"/>
  <c r="N6" i="1"/>
  <c r="I6" i="1"/>
  <c r="E6" i="1"/>
  <c r="AI2" i="1"/>
  <c r="AG2" i="1"/>
  <c r="AF2" i="1"/>
  <c r="N2" i="1"/>
  <c r="I2" i="1"/>
  <c r="E2" i="1"/>
  <c r="G1" i="1"/>
  <c r="F2" i="1"/>
  <c r="N1" i="1"/>
  <c r="K1" i="1"/>
  <c r="E1" i="1"/>
  <c r="I1" i="1"/>
  <c r="J2" i="1"/>
  <c r="P2" i="1"/>
  <c r="C20" i="5" l="1"/>
  <c r="C19" i="5"/>
  <c r="Q45" i="1"/>
  <c r="N45" i="1"/>
  <c r="P45" i="1" s="1"/>
  <c r="W43" i="1"/>
  <c r="N43" i="1"/>
  <c r="P43" i="1" s="1"/>
  <c r="W22" i="1"/>
  <c r="N22" i="1"/>
  <c r="P22" i="1" s="1"/>
  <c r="N71" i="1"/>
  <c r="P71" i="1" s="1"/>
  <c r="C17" i="4"/>
  <c r="C18" i="4" s="1"/>
  <c r="AF11" i="1"/>
  <c r="AE11" i="1"/>
  <c r="N57" i="1"/>
  <c r="P57" i="1" s="1"/>
  <c r="C15" i="6"/>
  <c r="C16" i="6" s="1"/>
  <c r="C14" i="6"/>
  <c r="C13" i="6"/>
  <c r="C12" i="6"/>
  <c r="H5" i="6"/>
  <c r="I5" i="6" s="1"/>
  <c r="M5" i="6" s="1"/>
  <c r="C14" i="4"/>
  <c r="Y12" i="1"/>
  <c r="X71" i="1"/>
  <c r="W71" i="1" s="1"/>
  <c r="C15" i="4"/>
  <c r="C16" i="4" s="1"/>
  <c r="U17" i="1"/>
  <c r="N28" i="1"/>
  <c r="P28" i="1" s="1"/>
  <c r="W64" i="1"/>
  <c r="N38" i="1"/>
  <c r="P38" i="1" s="1"/>
  <c r="V2" i="1"/>
  <c r="L5" i="6"/>
  <c r="C11" i="6" s="1"/>
  <c r="W30" i="1"/>
  <c r="U57" i="1"/>
  <c r="M40" i="1"/>
  <c r="Q38" i="2"/>
  <c r="AI11" i="1"/>
  <c r="N26" i="1"/>
  <c r="P26" i="1" s="1"/>
  <c r="U55" i="1"/>
  <c r="N42" i="1"/>
  <c r="P42" i="1" s="1"/>
  <c r="N35" i="1"/>
  <c r="P35" i="1" s="1"/>
  <c r="N51" i="1"/>
  <c r="P51" i="1" s="1"/>
  <c r="N37" i="1"/>
  <c r="P37" i="1" s="1"/>
  <c r="N58" i="1"/>
  <c r="P58" i="1" s="1"/>
  <c r="N39" i="1"/>
  <c r="P39" i="1" s="1"/>
  <c r="N17" i="1"/>
  <c r="P17" i="1" s="1"/>
  <c r="C12" i="4"/>
  <c r="C17" i="6" l="1"/>
  <c r="C18" i="6" s="1"/>
  <c r="C20" i="4"/>
  <c r="C19" i="4"/>
  <c r="C20" i="6"/>
  <c r="C19" i="6"/>
</calcChain>
</file>

<file path=xl/comments1.xml><?xml version="1.0" encoding="utf-8"?>
<comments xmlns="http://schemas.openxmlformats.org/spreadsheetml/2006/main">
  <authors>
    <author>tc={ca97b176-1802-41c6-a073-262fe8038c41}</author>
    <author/>
    <author>tc={3bc7724a-2776-46bb-aa66-2e33a044e4d2}</author>
    <author>tc={3b908370-4401-4562-8b5a-51128334dfa5}</author>
    <author>tc={462af11d-3526-4b16-9603-cfd43321211f}</author>
  </authors>
  <commentList>
    <comment ref="A1" authorId="0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
</t>
        </r>
      </text>
    </comment>
    <comment ref="T17" authorId="1" shapeId="0">
      <text>
        <r>
          <rPr>
            <sz val="10"/>
            <color rgb="FF000000"/>
            <rFont val="Calibri"/>
            <scheme val="minor"/>
          </rPr>
          <t>Trần Thị Mỹ Hạnh</t>
        </r>
      </text>
    </comment>
    <comment ref="E34" authorId="1" shapeId="0">
      <text>
        <r>
          <rPr>
            <sz val="10"/>
            <color rgb="FF000000"/>
            <rFont val="Calibri"/>
            <scheme val="minor"/>
          </rPr>
          <t>gồm VAT 10%</t>
        </r>
      </text>
    </comment>
    <comment ref="E35" authorId="1" shapeId="0">
      <text>
        <r>
          <rPr>
            <sz val="10"/>
            <color rgb="FF000000"/>
            <rFont val="Calibri"/>
            <scheme val="minor"/>
          </rPr>
          <t>chưa bao gồm VAT</t>
        </r>
      </text>
    </comment>
    <comment ref="R36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E40" authorId="1" shapeId="0">
      <text>
        <r>
          <rPr>
            <sz val="10"/>
            <color rgb="FF000000"/>
            <rFont val="Calibri"/>
            <scheme val="minor"/>
          </rPr>
          <t>Chưa bao gồm VAT. Bao gồm:
- Tư vấn BIM = 2.781.600.000 (VAT 10%)
- Cập nhật BIM = 878.400.000 (VAT 8%)
- Đào tạo = 2.122.800.000 (VAT 8%)
- Cung cấp chuyên gia = 1.464.000.000 (VAT 8%)</t>
        </r>
      </text>
    </comment>
    <comment ref="K40" authorId="1" shapeId="0">
      <text>
        <r>
          <rPr>
            <sz val="10"/>
            <color rgb="FF000000"/>
            <rFont val="Calibri"/>
            <scheme val="minor"/>
          </rPr>
          <t>tạm ứng cả VAT mục Chuyên gia 30%</t>
        </r>
      </text>
    </comment>
    <comment ref="K41" authorId="1" shapeId="0">
      <text>
        <r>
          <rPr>
            <sz val="10"/>
            <color rgb="FF000000"/>
            <rFont val="Calibri"/>
            <scheme val="minor"/>
          </rPr>
          <t>Tạm ứng 20% cả VAT Cập nhật tiêu chuẩn BIM</t>
        </r>
      </text>
    </comment>
    <comment ref="R42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T42" authorId="1" shapeId="0">
      <text>
        <r>
          <rPr>
            <sz val="10"/>
            <color rgb="FF000000"/>
            <rFont val="Calibri"/>
            <scheme val="minor"/>
          </rPr>
          <t>25% Đào tạo</t>
        </r>
      </text>
    </comment>
    <comment ref="K43" authorId="1" shapeId="0">
      <text>
        <r>
          <rPr>
            <sz val="10"/>
            <color rgb="FF000000"/>
            <rFont val="Calibri"/>
            <scheme val="minor"/>
          </rPr>
          <t xml:space="preserve">tạm ứng 20% cả VAT </t>
        </r>
      </text>
    </comment>
    <comment ref="R43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T43" authorId="1" shapeId="0">
      <text>
        <r>
          <rPr>
            <sz val="10"/>
            <color rgb="FF000000"/>
            <rFont val="Calibri"/>
            <scheme val="minor"/>
          </rPr>
          <t>70% Tư vấn BIM</t>
        </r>
      </text>
    </comment>
    <comment ref="R45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T45" authorId="1" shapeId="0">
      <text>
        <r>
          <rPr>
            <sz val="10"/>
            <color rgb="FF000000"/>
            <rFont val="Calibri"/>
            <scheme val="minor"/>
          </rPr>
          <t>45% Đào tạo</t>
        </r>
      </text>
    </comment>
    <comment ref="E55" authorId="1" shapeId="0">
      <text>
        <r>
          <rPr>
            <sz val="10"/>
            <color rgb="FF000000"/>
            <rFont val="Calibri"/>
            <scheme val="minor"/>
          </rPr>
          <t>- BIM cả VAT = 3.348.000.000
- Cấp FM ko VAT = 100tr</t>
        </r>
      </text>
    </comment>
    <comment ref="N55" authorId="1" shapeId="0">
      <text>
        <r>
          <rPr>
            <sz val="10"/>
            <color rgb="FF000000"/>
            <rFont val="Calibri"/>
            <scheme val="minor"/>
          </rPr>
          <t>mua FM OneCAD 55tr</t>
        </r>
      </text>
    </comment>
    <comment ref="T55" authorId="1" shapeId="0">
      <text>
        <r>
          <rPr>
            <sz val="10"/>
            <color rgb="FF000000"/>
            <rFont val="Calibri"/>
            <scheme val="minor"/>
          </rPr>
          <t>Bùi Văn Hoàng</t>
        </r>
      </text>
    </comment>
    <comment ref="AB55" authorId="1" shapeId="0">
      <text>
        <r>
          <rPr>
            <sz val="10"/>
            <color rgb="FF000000"/>
            <rFont val="Calibri"/>
            <scheme val="minor"/>
          </rPr>
          <t>Trừ 100tr giá trị bán FM</t>
        </r>
      </text>
    </comment>
    <comment ref="AD55" authorId="1" shapeId="0">
      <text>
        <r>
          <rPr>
            <sz val="10"/>
            <color rgb="FF000000"/>
            <rFont val="Calibri"/>
            <scheme val="minor"/>
          </rPr>
          <t>Trừ 100tr giá trị bán FM</t>
        </r>
      </text>
    </comment>
    <comment ref="N57" authorId="1" shapeId="0">
      <text>
        <r>
          <rPr>
            <sz val="10"/>
            <color rgb="FF000000"/>
            <rFont val="Calibri"/>
            <scheme val="minor"/>
          </rPr>
          <t xml:space="preserve">Mua FM OneCAD = 55tr
</t>
        </r>
      </text>
    </comment>
    <comment ref="T57" authorId="1" shapeId="0">
      <text>
        <r>
          <rPr>
            <sz val="10"/>
            <color rgb="FF000000"/>
            <rFont val="Calibri"/>
            <scheme val="minor"/>
          </rPr>
          <t>Bùi Văn Hoàng</t>
        </r>
      </text>
    </comment>
    <comment ref="AD57" authorId="1" shapeId="0">
      <text>
        <r>
          <rPr>
            <sz val="10"/>
            <color rgb="FF000000"/>
            <rFont val="Calibri"/>
            <scheme val="minor"/>
          </rPr>
          <t>Trừ 100tr giá trị bán FM</t>
        </r>
      </text>
    </comment>
    <comment ref="E58" authorId="1" shapeId="0">
      <text>
        <r>
          <rPr>
            <sz val="10"/>
            <color rgb="FF000000"/>
            <rFont val="Calibri"/>
            <scheme val="minor"/>
          </rPr>
          <t xml:space="preserve">bao gồm VAT 10% 
</t>
        </r>
      </text>
    </comment>
    <comment ref="M58" authorId="1" shapeId="0">
      <text>
        <r>
          <rPr>
            <sz val="10"/>
            <color rgb="FF000000"/>
            <rFont val="Calibri"/>
            <scheme val="minor"/>
          </rPr>
          <t>giữ lại 20%</t>
        </r>
      </text>
    </comment>
    <comment ref="E60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E63" authorId="1" shapeId="0">
      <text>
        <r>
          <rPr>
            <sz val="10"/>
            <color rgb="FF000000"/>
            <rFont val="Calibri"/>
            <scheme val="minor"/>
          </rPr>
          <t>bao gồm VAT 8%</t>
        </r>
      </text>
    </comment>
    <comment ref="E64" authorId="1" shapeId="0">
      <text>
        <r>
          <rPr>
            <sz val="10"/>
            <color rgb="FF000000"/>
            <rFont val="Calibri"/>
            <scheme val="minor"/>
          </rPr>
          <t xml:space="preserve">bao gồm VAT 10% 
 </t>
        </r>
      </text>
    </comment>
    <comment ref="E66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E67" authorId="1" shapeId="0">
      <text>
        <r>
          <rPr>
            <sz val="10"/>
            <color rgb="FF000000"/>
            <rFont val="Calibri"/>
            <scheme val="minor"/>
          </rPr>
          <t xml:space="preserve">Chưa gồm VAT 
</t>
        </r>
      </text>
    </comment>
    <comment ref="E68" authorId="1" shapeId="0">
      <text>
        <r>
          <rPr>
            <sz val="10"/>
            <color rgb="FF000000"/>
            <rFont val="Calibri"/>
            <scheme val="minor"/>
          </rPr>
          <t>bao gồm VAT 8%</t>
        </r>
      </text>
    </comment>
    <comment ref="I68" authorId="2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
</t>
        </r>
      </text>
    </comment>
    <comment ref="E69" authorId="1" shapeId="0">
      <text>
        <r>
          <rPr>
            <sz val="10"/>
            <color rgb="FF000000"/>
            <rFont val="Calibri"/>
            <scheme val="minor"/>
          </rPr>
          <t xml:space="preserve">đã bao gồm VAT 8%
</t>
        </r>
      </text>
    </comment>
    <comment ref="E70" authorId="1" shapeId="0">
      <text>
        <r>
          <rPr>
            <sz val="10"/>
            <color rgb="FF000000"/>
            <rFont val="Calibri"/>
            <scheme val="minor"/>
          </rPr>
          <t xml:space="preserve">bao gồm 8% VAT
</t>
        </r>
      </text>
    </comment>
    <comment ref="I70" authorId="3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
</t>
        </r>
      </text>
    </comment>
    <comment ref="R71" authorId="4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Cty Đông Thái Sơn 200tr, ký HĐ 100tr, 100tr nhận ngoài ký qua Digicon phí 28%
</t>
        </r>
      </text>
    </comment>
    <comment ref="E74" authorId="1" shapeId="0">
      <text>
        <r>
          <rPr>
            <sz val="10"/>
            <color rgb="FF000000"/>
            <rFont val="Calibri"/>
            <scheme val="minor"/>
          </rPr>
          <t xml:space="preserve">bao gồm VAT 10%
</t>
        </r>
      </text>
    </comment>
    <comment ref="E76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E77" authorId="1" shapeId="0">
      <text>
        <r>
          <rPr>
            <sz val="10"/>
            <color rgb="FF000000"/>
            <rFont val="Calibri"/>
            <scheme val="minor"/>
          </rPr>
          <t xml:space="preserve">Bao gồm VAT 10%
</t>
        </r>
      </text>
    </comment>
    <comment ref="E80" authorId="1" shapeId="0">
      <text>
        <r>
          <rPr>
            <sz val="10"/>
            <color rgb="FF000000"/>
            <rFont val="Calibri"/>
            <scheme val="minor"/>
          </rPr>
          <t>giá chưa bao gồm VAT</t>
        </r>
      </text>
    </comment>
    <comment ref="E81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F31" authorId="0" shapeId="0">
      <text>
        <r>
          <rPr>
            <sz val="10"/>
            <color rgb="FF000000"/>
            <rFont val="Calibri"/>
            <scheme val="minor"/>
          </rPr>
          <t>90% giá trị HĐ</t>
        </r>
      </text>
    </comment>
    <comment ref="D36" authorId="0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F36" authorId="0" shapeId="0">
      <text>
        <r>
          <rPr>
            <sz val="10"/>
            <color rgb="FF000000"/>
            <rFont val="Calibri"/>
            <scheme val="minor"/>
          </rPr>
          <t>90%</t>
        </r>
      </text>
    </comment>
    <comment ref="M36" authorId="0" shapeId="0">
      <text>
        <r>
          <rPr>
            <sz val="10"/>
            <color rgb="FF000000"/>
            <rFont val="Calibri"/>
            <scheme val="minor"/>
          </rPr>
          <t>HĐ 11</t>
        </r>
      </text>
    </comment>
    <comment ref="R36" authorId="0" shapeId="0">
      <text>
        <r>
          <rPr>
            <sz val="10"/>
            <color rgb="FF000000"/>
            <rFont val="Calibri"/>
            <scheme val="minor"/>
          </rPr>
          <t xml:space="preserve">PT099/25
</t>
        </r>
      </text>
    </comment>
    <comment ref="D38" authorId="0" shapeId="0">
      <text>
        <r>
          <rPr>
            <sz val="10"/>
            <color rgb="FF000000"/>
            <rFont val="Calibri"/>
            <scheme val="minor"/>
          </rPr>
          <t>bao gồm VAT</t>
        </r>
      </text>
    </comment>
    <comment ref="F38" authorId="0" shapeId="0">
      <text>
        <r>
          <rPr>
            <sz val="10"/>
            <color rgb="FF000000"/>
            <rFont val="Calibri"/>
            <scheme val="minor"/>
          </rPr>
          <t>40% ; Hóa đơn 012</t>
        </r>
      </text>
    </comment>
    <comment ref="S38" authorId="0" shapeId="0">
      <text>
        <r>
          <rPr>
            <sz val="10"/>
            <color rgb="FF000000"/>
            <rFont val="Calibri"/>
            <scheme val="minor"/>
          </rPr>
          <t>PC136/25</t>
        </r>
      </text>
    </comment>
    <comment ref="R39" authorId="0" shapeId="0">
      <text>
        <r>
          <rPr>
            <sz val="10"/>
            <color rgb="FF000000"/>
            <rFont val="Calibri"/>
            <scheme val="minor"/>
          </rPr>
          <t>PT95/25</t>
        </r>
      </text>
    </comment>
    <comment ref="S39" authorId="0" shapeId="0">
      <text>
        <r>
          <rPr>
            <sz val="10"/>
            <color rgb="FF000000"/>
            <rFont val="Calibri"/>
            <scheme val="minor"/>
          </rPr>
          <t>PC201/25</t>
        </r>
      </text>
    </comment>
    <comment ref="D40" authorId="0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F40" authorId="0" shapeId="0">
      <text>
        <r>
          <rPr>
            <sz val="10"/>
            <color rgb="FF000000"/>
            <rFont val="Calibri"/>
            <scheme val="minor"/>
          </rPr>
          <t>70%</t>
        </r>
      </text>
    </comment>
    <comment ref="O40" authorId="0" shapeId="0">
      <text>
        <r>
          <rPr>
            <sz val="10"/>
            <color rgb="FF000000"/>
            <rFont val="Calibri"/>
            <scheme val="minor"/>
          </rPr>
          <t>TT 90% hóa đơn</t>
        </r>
      </text>
    </comment>
    <comment ref="R40" authorId="0" shapeId="0">
      <text>
        <r>
          <rPr>
            <sz val="10"/>
            <color rgb="FF000000"/>
            <rFont val="Calibri"/>
            <scheme val="minor"/>
          </rPr>
          <t>PT94</t>
        </r>
      </text>
    </comment>
    <comment ref="S40" authorId="0" shapeId="0">
      <text>
        <r>
          <rPr>
            <sz val="10"/>
            <color rgb="FF000000"/>
            <rFont val="Calibri"/>
            <scheme val="minor"/>
          </rPr>
          <t>PC127/25= 319K
PC165/25= 637K
PC 198/25= 113.100K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9" authorId="0" shapeId="0">
      <text>
        <r>
          <rPr>
            <sz val="10"/>
            <color rgb="FF000000"/>
            <rFont val="Calibri"/>
            <scheme val="minor"/>
          </rPr>
          <t>chưa bao gồm VAT</t>
        </r>
      </text>
    </comment>
    <comment ref="D11" authorId="0" shapeId="0">
      <text>
        <r>
          <rPr>
            <sz val="10"/>
            <color rgb="FF000000"/>
            <rFont val="Calibri"/>
            <scheme val="minor"/>
          </rPr>
          <t>Chưa bao gồm VAT. Bao gồm:
- Tư vấn BIM = 2.781.600.000 (VAT 8%)
- Cập nhật BIM = 878.400.4000 (VAT 8%)
- Đào tạo = 2.122.800.000 (VAT 10%)
- Cung cấp chuyên gia = 1.464.000.000 (VAT 8%)</t>
        </r>
      </text>
    </comment>
    <comment ref="H11" authorId="0" shapeId="0">
      <text>
        <r>
          <rPr>
            <sz val="10"/>
            <color rgb="FF000000"/>
            <rFont val="Calibri"/>
            <scheme val="minor"/>
          </rPr>
          <t xml:space="preserve">tạm ứng cả VAT mục Chuyên gia 30%
Tổng tiền tạm ứng = 1.731.912.000
</t>
        </r>
      </text>
    </comment>
    <comment ref="O11" authorId="0" shapeId="0">
      <text>
        <r>
          <rPr>
            <sz val="10"/>
            <color rgb="FF000000"/>
            <rFont val="Calibri"/>
            <scheme val="minor"/>
          </rPr>
          <t>tạm ứng cả VAT mục Chuyên gia 30%
Tổng giá trị tạm ứng ck Nhật Nam = 225.854.453</t>
        </r>
      </text>
    </comment>
    <comment ref="R11" authorId="0" shapeId="0">
      <text>
        <r>
          <rPr>
            <sz val="10"/>
            <color rgb="FF000000"/>
            <rFont val="Calibri"/>
            <scheme val="minor"/>
          </rPr>
          <t xml:space="preserve">PT56/25
</t>
        </r>
      </text>
    </comment>
    <comment ref="S11" authorId="0" shapeId="0">
      <text>
        <r>
          <rPr>
            <sz val="10"/>
            <color rgb="FF000000"/>
            <rFont val="Calibri"/>
            <scheme val="minor"/>
          </rPr>
          <t>PC 111/25</t>
        </r>
      </text>
    </comment>
    <comment ref="H12" authorId="0" shapeId="0">
      <text>
        <r>
          <rPr>
            <sz val="10"/>
            <color rgb="FF000000"/>
            <rFont val="Calibri"/>
            <scheme val="minor"/>
          </rPr>
          <t>Tạm ứng 20% cả VAT Cập nhật tiêu chuẩn BIM</t>
        </r>
      </text>
    </comment>
    <comment ref="K12" authorId="0" shapeId="0">
      <text>
        <r>
          <rPr>
            <sz val="10"/>
            <color rgb="FF000000"/>
            <rFont val="Calibri"/>
            <scheme val="minor"/>
          </rPr>
          <t>Tư vấn BIM</t>
        </r>
      </text>
    </comment>
    <comment ref="O12" authorId="0" shapeId="0">
      <text>
        <r>
          <rPr>
            <sz val="10"/>
            <color rgb="FF000000"/>
            <rFont val="Calibri"/>
            <scheme val="minor"/>
          </rPr>
          <t>Tạm ứng 20% cả VAT Cập nhật tiêu chuẩn BIM</t>
        </r>
      </text>
    </comment>
    <comment ref="F13" authorId="0" shapeId="0">
      <text>
        <r>
          <rPr>
            <sz val="10"/>
            <color rgb="FF000000"/>
            <rFont val="Calibri"/>
            <scheme val="minor"/>
          </rPr>
          <t>Đợt 1= 25% (VAT 10%) - Mục Đào tạo</t>
        </r>
      </text>
    </comment>
    <comment ref="K13" authorId="0" shapeId="0">
      <text>
        <r>
          <rPr>
            <sz val="10"/>
            <color rgb="FF000000"/>
            <rFont val="Calibri"/>
            <scheme val="minor"/>
          </rPr>
          <t>Cập nhật tiêu chuẩn</t>
        </r>
      </text>
    </comment>
    <comment ref="M13" authorId="0" shapeId="0">
      <text>
        <r>
          <rPr>
            <sz val="10"/>
            <color rgb="FF000000"/>
            <rFont val="Calibri"/>
            <scheme val="minor"/>
          </rPr>
          <t>Đợt 1 = 25% Mục Đào tạo
Hóa đơn 014</t>
        </r>
      </text>
    </comment>
    <comment ref="R13" authorId="0" shapeId="0">
      <text>
        <r>
          <rPr>
            <sz val="10"/>
            <color rgb="FF000000"/>
            <rFont val="Calibri"/>
            <scheme val="minor"/>
          </rPr>
          <t>PT78/25</t>
        </r>
      </text>
    </comment>
    <comment ref="S13" authorId="0" shapeId="0">
      <text>
        <r>
          <rPr>
            <sz val="10"/>
            <color rgb="FF000000"/>
            <rFont val="Calibri"/>
            <scheme val="minor"/>
          </rPr>
          <t>PC 157/25</t>
        </r>
      </text>
    </comment>
    <comment ref="F14" authorId="0" shapeId="0">
      <text>
        <r>
          <rPr>
            <sz val="10"/>
            <color rgb="FF000000"/>
            <rFont val="Calibri"/>
            <scheme val="minor"/>
          </rPr>
          <t>T.ứng=20% và Đợt 2= 50% (VAT 8%) - Mục Tư vấn BIM</t>
        </r>
      </text>
    </comment>
    <comment ref="H14" authorId="0" shapeId="0">
      <text>
        <r>
          <rPr>
            <sz val="10"/>
            <color rgb="FF000000"/>
            <rFont val="Calibri"/>
            <scheme val="minor"/>
          </rPr>
          <t xml:space="preserve">tạm ứng 20% cả VAT </t>
        </r>
      </text>
    </comment>
    <comment ref="K14" authorId="0" shapeId="0">
      <text>
        <r>
          <rPr>
            <sz val="10"/>
            <color rgb="FF000000"/>
            <rFont val="Calibri"/>
            <scheme val="minor"/>
          </rPr>
          <t>Đào tạo nâng cao</t>
        </r>
      </text>
    </comment>
    <comment ref="M14" authorId="0" shapeId="0">
      <text>
        <r>
          <rPr>
            <sz val="10"/>
            <color rgb="FF000000"/>
            <rFont val="Calibri"/>
            <scheme val="minor"/>
          </rPr>
          <t xml:space="preserve">T.ứng=20% và Đợt 2= 50% (VAT 8%) - Mục Tư vấn BIM
Hóa đơn 019
</t>
        </r>
      </text>
    </comment>
    <comment ref="K15" authorId="0" shapeId="0">
      <text>
        <r>
          <rPr>
            <sz val="10"/>
            <color rgb="FF000000"/>
            <rFont val="Calibri"/>
            <scheme val="minor"/>
          </rPr>
          <t>Cung cấp chuyên gia</t>
        </r>
      </text>
    </comment>
    <comment ref="F16" authorId="0" shapeId="0">
      <text>
        <r>
          <rPr>
            <sz val="10"/>
            <color rgb="FF000000"/>
            <rFont val="Calibri"/>
            <scheme val="minor"/>
          </rPr>
          <t xml:space="preserve">T/ứng=20% và Đợt 2=25% (VAT 10%) - Mục Đào tạo
</t>
        </r>
      </text>
    </comment>
    <comment ref="M16" authorId="0" shapeId="0">
      <text>
        <r>
          <rPr>
            <sz val="10"/>
            <color rgb="FF000000"/>
            <rFont val="Calibri"/>
            <scheme val="minor"/>
          </rPr>
          <t>T/ứng=20% và Đợt 2=25% (VAT 10%) - Mục Đào tạo
Hóa Đơn 017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8" authorId="0" shapeId="0">
      <text>
        <r>
          <rPr>
            <sz val="10"/>
            <color rgb="FF000000"/>
            <rFont val="Calibri"/>
            <scheme val="minor"/>
          </rPr>
          <t xml:space="preserve">Ký HĐ giải ngân với Ô Trần Văn Toản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E8" authorId="0" shapeId="0">
      <text>
        <r>
          <rPr>
            <sz val="10"/>
            <color rgb="FF000000"/>
            <rFont val="Calibri"/>
            <scheme val="minor"/>
          </rPr>
          <t xml:space="preserve">Ký HĐ giải ngân với Ô Trần Văn Toản
</t>
        </r>
      </text>
    </comment>
  </commentList>
</comments>
</file>

<file path=xl/sharedStrings.xml><?xml version="1.0" encoding="utf-8"?>
<sst xmlns="http://schemas.openxmlformats.org/spreadsheetml/2006/main" count="420" uniqueCount="185">
  <si>
    <t>THEO DÕI HỢP ĐỒNG BIM 2026</t>
  </si>
  <si>
    <t>SỐ HỢP ĐỒNG</t>
  </si>
  <si>
    <t>TÊN KHÁCH HÀNG</t>
  </si>
  <si>
    <t>ĐẦU MỐI LIÊN HỆ</t>
  </si>
  <si>
    <t>NỘI DUNG HĐ</t>
  </si>
  <si>
    <t>GIÁ TRỊ KÝ KẾT</t>
  </si>
  <si>
    <t>GIÁ TRỊ NGHIỆM THU</t>
  </si>
  <si>
    <t>DOANH THU XUẤT HOÁ ĐƠN</t>
  </si>
  <si>
    <t>ĐÃ THANH TOÁN</t>
  </si>
  <si>
    <t>LÃI GỘP / CHỈ TIÊU TÀI CHÍNH</t>
  </si>
  <si>
    <t>GIAO KHOÁN THẦU PHỤ</t>
  </si>
  <si>
    <t>CHI CHUYÊN GIA</t>
  </si>
  <si>
    <t>GIẢI NGÂN THỰC TẾ THU VỀ</t>
  </si>
  <si>
    <t>THƯỞNG BIM</t>
  </si>
  <si>
    <t>THƯỞNG DCS</t>
  </si>
  <si>
    <t>Outsource dự kiến</t>
  </si>
  <si>
    <t>Chi Chuyên gia</t>
  </si>
  <si>
    <t>DOANH THU DỰ KIẾN</t>
  </si>
  <si>
    <t>TIỀN VỀ DỰ KIẾN</t>
  </si>
  <si>
    <t>NỘI DUNG HỢP ĐỒNG DỰ KIẾN</t>
  </si>
  <si>
    <t>Đã ký duyệt PAKD</t>
  </si>
  <si>
    <t>GIÁ TRỊ</t>
  </si>
  <si>
    <t>NGÀY KÝ</t>
  </si>
  <si>
    <t>NGÀY XUẤT</t>
  </si>
  <si>
    <t>ĐÃ THU</t>
  </si>
  <si>
    <t>NGÀY TT</t>
  </si>
  <si>
    <t>CÒN LẠI</t>
  </si>
  <si>
    <t>LN/CF</t>
  </si>
  <si>
    <t>LN/DT</t>
  </si>
  <si>
    <t>DIGICONS</t>
  </si>
  <si>
    <t>NHẬT NAM</t>
  </si>
  <si>
    <t>GIÁ TRỊ NET</t>
  </si>
  <si>
    <t xml:space="preserve">GIÁ TRỊ BAO GỒM PHÍ </t>
  </si>
  <si>
    <t>Thành tiền</t>
  </si>
  <si>
    <t>Công ty</t>
  </si>
  <si>
    <t>Tỷ lệ (%)</t>
  </si>
  <si>
    <t xml:space="preserve">Thành tiền </t>
  </si>
  <si>
    <t>tính theo tỷ lệ từng năm</t>
  </si>
  <si>
    <t>Giá trị</t>
  </si>
  <si>
    <t>Tỷ lệ hoàn thành</t>
  </si>
  <si>
    <t>Thời điểm</t>
  </si>
  <si>
    <t>Các hợp đồng chuyển từ năm trước</t>
  </si>
  <si>
    <t>abc</t>
  </si>
  <si>
    <t>BIM</t>
  </si>
  <si>
    <t>Q4</t>
  </si>
  <si>
    <t>ok</t>
  </si>
  <si>
    <t>CÔNG TY TNHH LOTTE PROPERTIES HỒ CHÍ MINH (Lô 2-6)</t>
  </si>
  <si>
    <t>Tư vấn BIM</t>
  </si>
  <si>
    <t>DIGICON</t>
  </si>
  <si>
    <t xml:space="preserve">BAN QUẢN LÝ CÁC DỰ ÁN ĐẦU TƯ XÂY DỰNG
- CHI NHÁNH TỔNG CÔNG TY VIGLACERA - CTCP
</t>
  </si>
  <si>
    <t xml:space="preserve">                                </t>
  </si>
  <si>
    <t>TỔNG CÔNG TY CỔ PHẦN ĐẦU TƯ PHÁT TRIỂN XÂY DỰNG (DIC)</t>
  </si>
  <si>
    <t>Công ty TNHH Daewoo Engineering &amp; Construction Việt Nam (Dự án B1CC4)</t>
  </si>
  <si>
    <t>T10</t>
  </si>
  <si>
    <t>Daewoo E&amp;C B1CC4</t>
  </si>
  <si>
    <t>Công ty TNHH Daewoo Engineering &amp; Construction Việt Nam (Dự án H1HH1)</t>
  </si>
  <si>
    <t>Daewoo E&amp;C H1HH1</t>
  </si>
  <si>
    <t>26/BIM-CICHĐ2024</t>
  </si>
  <si>
    <t>BAN QUẢN LÝ DỰ ÁN ĐẦU TƯ XÂY DỰNG CÁC CÔNG TRÌNH DÂN DỤNG VÀ CÔNG NGHIỆP ĐÀ NẴNG (Dự án Khu lưu trữ)</t>
  </si>
  <si>
    <t>BAN QUẢN LÝ CÁC DỰ ÁN ĐẦU TƯ XÂY DỰNG
- CHI NHÁNH TỔNG CÔNG TY VIGLACERA - CTCP
(Dự án Trấn Yên)</t>
  </si>
  <si>
    <t>CÔNG TY TNHH JUNGLIM ARCHITECTURE VIETNAM
(Dự án Lotte 2.1)</t>
  </si>
  <si>
    <t>CÔNG TY TNHH JUNGLIM ARCHITECTURE VIETNAM
(Dự án Lotte 2.3)</t>
  </si>
  <si>
    <t>CÔNG TY TNHH JUNGLIM ARCHITECTURE VIETNAM
(Dự án Lotte 2.5)</t>
  </si>
  <si>
    <t>Công tỷ Cố phần 319.5
(Bệnh viện Cà Mau)</t>
  </si>
  <si>
    <t>VNAD</t>
  </si>
  <si>
    <t xml:space="preserve">CÔNG TY CP ĐẦU TƯ VÀ THIẾT KẾ XÂY DỰNG VIỆT NAM (CDC)
(DA Bệnh viện Bãi Cháy GĐ TKTC) </t>
  </si>
  <si>
    <t>Công ty CP SX Công nghiệp XL3 
(Bệnh viện Cà Mau)</t>
  </si>
  <si>
    <t>T11</t>
  </si>
  <si>
    <t>UDIC</t>
  </si>
  <si>
    <t>BAN QUẢN LÝ DỰ ÁN ĐẦU TƯ XÂY DỰNG CÁC CÔNG TRÌNH DÂN DỤNG VÀ CÔNG NGHIỆP (Trường cao đẳng nghề)</t>
  </si>
  <si>
    <t>BV TIM Thi Công</t>
  </si>
  <si>
    <t xml:space="preserve">Tổng công ty 319 Bộ Quốc Phòng </t>
  </si>
  <si>
    <t>Thuê chuyên gia đào tạo - Ký với Hải BIM</t>
  </si>
  <si>
    <t xml:space="preserve">BAN QUẢN LÝ DỰ ÁN ĐẦU XÂY DỰNG CÔNG TRÌNH DÂN DỤNG 
VÀ CÔNG NGHIỆP TỈNH HÀ TĨNH
(DA Bảo tàng Hà Tĩnh </t>
  </si>
  <si>
    <t>CÔNG TY TNHH TƯ VẤN XÂY DỰNG ÁNH DƯƠNG
(Tư vấn và Đào tạo BIM cho Sungroup )</t>
  </si>
  <si>
    <t xml:space="preserve">Tư vấn và Đào tạo BIM </t>
  </si>
  <si>
    <t>Nhật Nam</t>
  </si>
  <si>
    <t>CÔNG TY TNHH TƯ VẤN QUẢN LÝ DỰ ÁN MẶT TRỜI 
(Tư vấn và Đào tạo BIM cho Sungroup )</t>
  </si>
  <si>
    <t>CÔNG TY CỔ PHẦN KHU CÔNG NGHIỆP VÀ ĐÔ THỊ AN AN HÒA
(KCN Tam Anh</t>
  </si>
  <si>
    <t xml:space="preserve">Tư vấn BIM </t>
  </si>
  <si>
    <t>VĂN PHÒNG TƯ VẤN VÀ CHUYỂN GIAO CÔNG NGHỆ XÂY DỰNG
(DA Đại học Y Bạch Mai giai đoạn BCNCKT)</t>
  </si>
  <si>
    <t>VĂN PHÒNG TƯ VẤN VÀ CHUYỂN GIAO CÔNG NGHỆ XÂY DỰNG
(DA Đại học Y Bạch Mai giai đoạn TKBVTC)</t>
  </si>
  <si>
    <t>VĂN PHÒNG TƯ VẤN VÀ CHUYỂN GIAO CÔNG NGHỆ XÂY DỰNG
(DA HVNH giai đoạn BCNCKT)</t>
  </si>
  <si>
    <t>VĂN PHÒNG TƯ VẤN VÀ CHUYỂN GIAO CÔNG NGHỆ XÂY DỰNG
(DA HVNH giai đoạnTKBVTC )</t>
  </si>
  <si>
    <t>Xí nghiệp 319.9 - Tổng công ty 319 - Bộ Quốc Phòng</t>
  </si>
  <si>
    <t xml:space="preserve">Đào tạo BIM </t>
  </si>
  <si>
    <t>CÔNG TY CỔ PHẦN THIẾT KẾ XÂY DỰNG STELLAR
(DA Nhà ở 486 Ngọc Hồi)</t>
  </si>
  <si>
    <t>Ban QLDA ĐTXD Các công trình DD, CN và HTKT Đà Nẵng
(DA Bảo tàng Chăm CS2)</t>
  </si>
  <si>
    <t>BAN QUẢN LÝ DỰ ÁN ĐẦU TƯ XÂY DỰNG KHU VỰC I TỈNH QUẢNG NINH
(DA BV Sản Nhi Quảng Ninh)</t>
  </si>
  <si>
    <t>CÔNG TY CỔ PHẦN XÂY DỰNG TƯ VẤN ĐẦU TƯ BÌNH DƯƠNG 
(DA NOXH Uyên Hưng)</t>
  </si>
  <si>
    <t>Ban QLDA đầu tư xây dựng công trình dân dụng thành phố Hà Nội (DA  BV Y học cổ truyền )</t>
  </si>
  <si>
    <t>Ban QLDA đầu tư xây dựng công trình dân dụng thành phố Hà Nội (DA  Trường học Chuyên biệt  )</t>
  </si>
  <si>
    <t>CÔNG TY TNHH DV TƯ VẤN THIẾT KẾ CDS
(DA Khu du lịch biển Cần Giờ - Hạng mục Khách sạn B5)</t>
  </si>
  <si>
    <t>BAN QUẢN LÝ DỰ ÁN ĐẦU TƯ XÂY DỰNG CÁC CÔNG TRÌNH DÂN DỤNG VÀ CÔNG NGHIỆP
 (DA Xây mới Khối Nhà A2)</t>
  </si>
  <si>
    <t>BAN QUẢN LÝ DỰ ÁN ĐẦU TƯ XÂY DỰNG CÔNG TRÌNH 
DÂN DỤNG THÀNH PHỐ HÀ NỘI
(DA NOXH Pháp Vân TKCS)</t>
  </si>
  <si>
    <t>BAN QUẢN LÝ DỰ ÁN ĐẦU TƯ XÂY DỰNG CÁC CÔNG TRÌNH DÂN DỤNG VÀ CÔNG NGHIỆP
 (DA Bệnh viện Nhi đồng 2)</t>
  </si>
  <si>
    <t>Digicon</t>
  </si>
  <si>
    <t>BAN QUẢN LÝ DỰ ÁN ĐẦU TƯ – HẠ TẦNG XÃ VĨNH THANH
(DA Trường THCS Vĩnh Ngọc 2)</t>
  </si>
  <si>
    <t>BAN QUẢN LÝ DỰ ÁN ĐẦU TƯ XÂY DỰNG CÁC CÔNG TRÌNH DÂN DỤNG VÀ CÔNG NGHIỆP (Sân vận động Thống Nhất giai đoạn TKBVTC)</t>
  </si>
  <si>
    <t>TỔNG CÔNG TY 319 BỘ QUỐC PHÒNG
(ĐÀU TƯ HỆ THỐNG ỨNG DỤNG BIM VÀO HOẠT ĐỘNG SẢN XUẤT)</t>
  </si>
  <si>
    <t>BAN QUẢN LÝ DỰ ÁN ĐẦU TƯ XÂY DỰNG CÔNG TRÌNH 
DÂN DỤNG THÀNH PHỐ HÀ NỘI
(DA NOXH Pháp Vân Giai đoạn TKBVTC)</t>
  </si>
  <si>
    <t>TRƯỜNG ĐẠI HỌC LUẬT THÀNH PHỐ HỒ CHÍ MINH
(DA Trường ĐH Luật TP.HCM)</t>
  </si>
  <si>
    <t>BAN QUẢN LÝ DỰ ÁN ĐẦU TƯ XÂY DỰNG CÔNG TRÌNH 
DÂN DỤNG THÀNH PHỐ HÀ NỘI (TRƯỜNG TRUNG CẤP NGHỀ</t>
  </si>
  <si>
    <t>Tháng 1</t>
  </si>
  <si>
    <t>Đào tạo BIM</t>
  </si>
  <si>
    <t>Công Ty TNHH Đầu Tư FPT</t>
  </si>
  <si>
    <t>CÔNG TY CỔ PHẦN PHÁT TRIỂN ĐÔ THỊ TỪ LIÊM</t>
  </si>
  <si>
    <t>Dự án Đông y Đông dược (Công ty Thế gia ký với CDT Ban HCM)</t>
  </si>
  <si>
    <t>Dự án Kiểm chuẩn (Công ty Thế gia ký với CDT Ban HCM)</t>
  </si>
  <si>
    <t>Dự án khối nhà 4B (Viện Xây dưngj IBST ký với CDT Ban HCM )</t>
  </si>
  <si>
    <t>THEO DÕI THUÊ KHOÁN DIGICON 2025</t>
  </si>
  <si>
    <t>THUÊ KHOÁN DIGICON (chưa VAT)</t>
  </si>
  <si>
    <t>DIGICON XUẤT HÓA ĐƠN (chưa VAT)</t>
  </si>
  <si>
    <t>THANH TOÁN CHO DIGICON</t>
  </si>
  <si>
    <t>GIÁ TRỊ THU HỒI</t>
  </si>
  <si>
    <t>THUÊ KHOÁN CHUYÊN GIA</t>
  </si>
  <si>
    <t>GHI CHÚ</t>
  </si>
  <si>
    <t>GIÁ TRỊ GỐC</t>
  </si>
  <si>
    <t>GIÁ TRỊ KÝ HỢP ĐỒNG</t>
  </si>
  <si>
    <t>NGÀY THÁNG</t>
  </si>
  <si>
    <t>CÒN NỢ</t>
  </si>
  <si>
    <t>Công ty TNHH Daewoo Engineering &amp; Construction Việt Nam (Dự án K8CT1)</t>
  </si>
  <si>
    <t>74/PPXD-CICHĐ2023</t>
  </si>
  <si>
    <t>Công ty TNHH Daewoo Engineering &amp; Construction Việt Nam (Dự án K2CT1)</t>
  </si>
  <si>
    <t>CÔNG TY TNHH LOTTE PROPERTIES HỒ CHÍ MINH (Lô 2-2)</t>
  </si>
  <si>
    <t>CÔNG TY TNHH LOTTE PROPERTIES HỒ CHÍ MINH (Lô 2-4)</t>
  </si>
  <si>
    <t>Tổng công ty Đầu tư phát triển nhà và đô thị (HUD)</t>
  </si>
  <si>
    <t>Ban QLDA đầu tư xây dựng công trình dân dụng thành phố Hà Nội (Bệnh viện Tim HN - CS2)</t>
  </si>
  <si>
    <t>CHI NHÁNH TỔNG CÔNG TY KHÍ VIỆT NAM – CTCP – CÔNG TY QUẢN LÝ DỰ ÁN KHÍ (PVGAS)</t>
  </si>
  <si>
    <t>17/10/2025</t>
  </si>
  <si>
    <t>Năm 2025</t>
  </si>
  <si>
    <t>19/09/2025</t>
  </si>
  <si>
    <t xml:space="preserve">CÔNG TY CỔ PHẦN TƯ VẤN XÂY DỰNG CÔNG NGHIỆP VÀ ĐÔ THỊ VIỆT NAM (Suất ăn tàu bay TKBVTC) </t>
  </si>
  <si>
    <t xml:space="preserve">CÔNG TY CP ĐẦU TƯ VÀ TKXD VIỆT NAM (CDC)
(DA Bệnh viện Bãi Cháy GĐ TKTC) </t>
  </si>
  <si>
    <t>31/12/2025</t>
  </si>
  <si>
    <t>CÔNG TY CỔ PHẦN THIẾT KẾ XÂY DỰNG VÀ THƯƠNG MẠI THÀNH AN
(DA Nhà ở 486 Ngọc Hồi)</t>
  </si>
  <si>
    <t>22/12/2025</t>
  </si>
  <si>
    <t>26/12/2025</t>
  </si>
  <si>
    <t>29/12/2025</t>
  </si>
  <si>
    <t>THEO DÕI THUÊ KHOÁN Nhật Nam 2025</t>
  </si>
  <si>
    <t>THUÊ KHOÁN NHẬT NAM (CHƯA VAT)</t>
  </si>
  <si>
    <t>NHẬT NAM XUẤT HÓA ĐƠN (CHƯA VAT)</t>
  </si>
  <si>
    <t>THANH TOÁN CHO Nhật Nam</t>
  </si>
  <si>
    <t>THU HOÀN ỨNG NHẬT NAM</t>
  </si>
  <si>
    <t>GIÁ TRỊ THEO PAKD</t>
  </si>
  <si>
    <t>BAN QUẢN
LÝ DỰ ÁN ĐẦU TƯ XÂY DỰNG CHUYÊN NGÀNH
(Dự án 59 Láng Hạ)</t>
  </si>
  <si>
    <t xml:space="preserve">CÔNG TY CỔ PHẦN TƯ VẤN XÂY DỰNG CÔNG NGHIỆP VÀ ĐÔ THỊ VIỆT NAM (Suất ăn tàu bay TKCS) </t>
  </si>
  <si>
    <t>Bảng phương án kinh doanh cho hợp đồng số 68/BIM2025 với
BAN QUẢN LÝ DỰ ÁN ĐẦU TƯ XÂY DỰNG CÔNG TRÌNH DÂN DỤNG THÀNH PHỐ HÀ NỘI 
(TRƯỜNG TRUNG CẤP NGHỀ)</t>
  </si>
  <si>
    <t>←</t>
  </si>
  <si>
    <t>STT</t>
  </si>
  <si>
    <t>Tên phần mềm</t>
  </si>
  <si>
    <t>Nhà cung cấp</t>
  </si>
  <si>
    <t>Số lượng</t>
  </si>
  <si>
    <t>ĐVT</t>
  </si>
  <si>
    <t>Đầu vào</t>
  </si>
  <si>
    <t>Đầu ra</t>
  </si>
  <si>
    <t>Chi phí khác</t>
  </si>
  <si>
    <t>Chênh lệch</t>
  </si>
  <si>
    <t>Đơn giá</t>
  </si>
  <si>
    <t>Mua phần mềm, máy tính, email, tiếp khách</t>
  </si>
  <si>
    <t>Chuyển tiền</t>
  </si>
  <si>
    <t>CIC</t>
  </si>
  <si>
    <t>VNĐ</t>
  </si>
  <si>
    <t>Tổng hợp tài chính:</t>
  </si>
  <si>
    <t xml:space="preserve">Đầu vào </t>
  </si>
  <si>
    <t>Sản lượng</t>
  </si>
  <si>
    <t>Doanh thu</t>
  </si>
  <si>
    <t>Thưởng hoàn thành dự án</t>
  </si>
  <si>
    <t>Xúc tiến hợp đồng (DCS)</t>
  </si>
  <si>
    <t>Ban lãnh đạo hỗ trợ</t>
  </si>
  <si>
    <t>Phí thuê chuyên gia (net)</t>
  </si>
  <si>
    <t>Phí thanh toán chứng từ</t>
  </si>
  <si>
    <t>Tổng chi phí</t>
  </si>
  <si>
    <t>Lợi nhuận</t>
  </si>
  <si>
    <t>Hệ số LN/ DT</t>
  </si>
  <si>
    <t>Hệ số LN/ SL</t>
  </si>
  <si>
    <t>Tổng giám đốc</t>
  </si>
  <si>
    <t>Phụ trách trung tâm</t>
  </si>
  <si>
    <t>Nguyễn Hoàng Hà</t>
  </si>
  <si>
    <t>Lương Thành Hưng</t>
  </si>
  <si>
    <t>Bảng phương án kinh doanh cho hợp đồng số 02/BIM2026 với
Công Ty TNHH Đầu Tư FPT
(Đào tạo BIM)</t>
  </si>
  <si>
    <t>Sản phẩm/Dịch vụ</t>
  </si>
  <si>
    <t>Giá Đầu vào</t>
  </si>
  <si>
    <t>Bảng phương án kinh doanh cho hợp đồng số 04/BIM2026 với
CÔNG TY CỔ PHẦN PHÁT TRIỂN ĐÔ THỊ TỪ LIÊM
(Nhà ở chung cư cao tầng tại ô đất ký hiệu NO-11)</t>
  </si>
  <si>
    <t>Tư vấn  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</si>
</sst>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dd&quot;/&quot;mm&quot;/&quot;yyyy"/>
    <numFmt numFmtId="165" formatCode="#,##0.0"/>
    <numFmt numFmtId="166" formatCode="#,##0.00000"/>
    <numFmt numFmtId="167" formatCode="#,##0.0000"/>
    <numFmt numFmtId="168" formatCode="0.0"/>
    <numFmt numFmtId="169" formatCode="mm/dd/yyyy"/>
    <numFmt numFmtId="170" formatCode="#,##0.000"/>
    <numFmt numFmtId="171" formatCode="m/d/yyyy"/>
  </numFmts>
  <fonts count="44">
    <font>
      <sz val="10"/>
      <color rgb="FF000000"/>
      <name val="Calibri"/>
      <scheme val="minor"/>
    </font>
    <font>
      <b/>
      <sz val="18"/>
      <color rgb="FF990000"/>
      <name val="Times New Roman"/>
    </font>
    <font>
      <b/>
      <sz val="11"/>
      <color rgb="FF990000"/>
      <name val="Times New Roman"/>
    </font>
    <font>
      <b/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b/>
      <sz val="10"/>
      <color rgb="FF990000"/>
      <name val="Times New Roman"/>
    </font>
    <font>
      <sz val="11"/>
      <color rgb="FF990000"/>
      <name val="Times New Roman"/>
    </font>
    <font>
      <b/>
      <sz val="10"/>
      <color rgb="FFA61C00"/>
      <name val="Times New Roman"/>
    </font>
    <font>
      <b/>
      <sz val="11"/>
      <color rgb="FF000000"/>
      <name val="Times New Roman"/>
    </font>
    <font>
      <b/>
      <sz val="10"/>
      <color rgb="FFFFFFFF"/>
      <name val="Times New Roman"/>
    </font>
    <font>
      <b/>
      <sz val="10"/>
      <color rgb="FF000000"/>
      <name val="Times New Roman"/>
    </font>
    <font>
      <sz val="10"/>
      <color rgb="FFFFFFFF"/>
      <name val="Times New Roman"/>
    </font>
    <font>
      <b/>
      <sz val="10"/>
      <color rgb="FFFF0000"/>
      <name val="Times New Roman"/>
    </font>
    <font>
      <b/>
      <sz val="10"/>
      <color rgb="FFFF0000"/>
      <name val="Times New Roman"/>
    </font>
    <font>
      <sz val="10"/>
      <color rgb="FFFF0000"/>
      <name val="Times New Roman"/>
    </font>
    <font>
      <b/>
      <sz val="10"/>
      <color rgb="FF000000"/>
      <name val="Times New Roman"/>
    </font>
    <font>
      <u/>
      <sz val="10"/>
      <color rgb="FF0000FF"/>
      <name val="Times New Roman"/>
    </font>
    <font>
      <sz val="10"/>
      <color theme="1"/>
      <name val="Calibri"/>
    </font>
    <font>
      <b/>
      <sz val="10"/>
      <color theme="1"/>
      <name val="Times New Roman"/>
    </font>
    <font>
      <sz val="10"/>
      <color rgb="FF000000"/>
      <name val="Calibri"/>
    </font>
    <font>
      <u/>
      <sz val="10"/>
      <color rgb="FF0000FF"/>
      <name val="Times New Roman"/>
    </font>
    <font>
      <b/>
      <sz val="10"/>
      <color theme="1"/>
      <name val="Calibri"/>
    </font>
    <font>
      <u/>
      <sz val="10"/>
      <color rgb="FF0000FF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sz val="10"/>
      <color theme="1"/>
      <name val="&quot;Times New Roman&quot;"/>
    </font>
    <font>
      <sz val="10"/>
      <color rgb="FF000000"/>
      <name val="Calibri"/>
    </font>
    <font>
      <sz val="10"/>
      <color theme="1"/>
      <name val="Calibri"/>
    </font>
    <font>
      <sz val="10"/>
      <color rgb="FF000000"/>
      <name val="Times New Roman"/>
    </font>
    <font>
      <sz val="10"/>
      <color theme="1"/>
      <name val="Times New Roman"/>
    </font>
    <font>
      <sz val="10"/>
      <color theme="1"/>
      <name val="&quot;Times New Roman&quot;"/>
    </font>
    <font>
      <sz val="10"/>
      <color rgb="FF000000"/>
      <name val="&quot;Times New Roman&quot;"/>
    </font>
    <font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b/>
      <sz val="18"/>
      <color theme="1"/>
      <name val="&quot;Times New Roman&quot;"/>
    </font>
    <font>
      <b/>
      <u/>
      <sz val="36"/>
      <color rgb="FF0000FF"/>
      <name val="&quot;Times New Roman&quot;"/>
    </font>
    <font>
      <sz val="10"/>
      <color theme="1"/>
      <name val="Arial"/>
    </font>
    <font>
      <b/>
      <sz val="11"/>
      <color theme="1"/>
      <name val="&quot;Times New Roman&quot;"/>
    </font>
    <font>
      <sz val="10"/>
      <name val="Calibri"/>
    </font>
    <font>
      <sz val="11"/>
      <color theme="1"/>
      <name val="&quot;Times New Roman&quot;"/>
    </font>
    <font>
      <b/>
      <u/>
      <sz val="11"/>
      <color theme="1"/>
      <name val="&quot;Times New Roman&quot;"/>
    </font>
  </fonts>
  <fills count="24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3">
    <xf numFmtId="0" fontId="0" fillId="0" borderId="0" xfId="0" applyFont="1" applyAlignment="1">
      <alignment wrapText="1"/>
    </xf>
    <xf numFmtId="3" fontId="1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3" fontId="10" fillId="3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10" fontId="10" fillId="5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4" fontId="14" fillId="6" borderId="0" xfId="0" applyNumberFormat="1" applyFont="1" applyFill="1" applyAlignment="1">
      <alignment vertical="center" wrapText="1"/>
    </xf>
    <xf numFmtId="164" fontId="14" fillId="6" borderId="0" xfId="0" applyNumberFormat="1" applyFont="1" applyFill="1" applyAlignment="1">
      <alignment vertical="center" wrapText="1"/>
    </xf>
    <xf numFmtId="3" fontId="14" fillId="6" borderId="0" xfId="0" applyNumberFormat="1" applyFont="1" applyFill="1" applyAlignment="1">
      <alignment vertical="center" wrapText="1"/>
    </xf>
    <xf numFmtId="164" fontId="14" fillId="6" borderId="0" xfId="0" applyNumberFormat="1" applyFont="1" applyFill="1" applyAlignment="1">
      <alignment vertical="center" wrapText="1"/>
    </xf>
    <xf numFmtId="3" fontId="15" fillId="6" borderId="0" xfId="0" applyNumberFormat="1" applyFont="1" applyFill="1" applyAlignment="1">
      <alignment vertical="center" wrapText="1"/>
    </xf>
    <xf numFmtId="3" fontId="5" fillId="6" borderId="0" xfId="0" applyNumberFormat="1" applyFont="1" applyFill="1" applyAlignment="1">
      <alignment horizontal="center" vertical="center" wrapText="1"/>
    </xf>
    <xf numFmtId="3" fontId="5" fillId="6" borderId="0" xfId="0" applyNumberFormat="1" applyFont="1" applyFill="1" applyAlignment="1">
      <alignment vertical="center" wrapText="1"/>
    </xf>
    <xf numFmtId="3" fontId="16" fillId="6" borderId="0" xfId="0" applyNumberFormat="1" applyFont="1" applyFill="1" applyAlignment="1">
      <alignment vertical="center" wrapText="1"/>
    </xf>
    <xf numFmtId="3" fontId="14" fillId="6" borderId="0" xfId="0" applyNumberFormat="1" applyFont="1" applyFill="1" applyAlignment="1">
      <alignment horizontal="center" vertical="center" wrapText="1"/>
    </xf>
    <xf numFmtId="3" fontId="14" fillId="7" borderId="0" xfId="0" applyNumberFormat="1" applyFont="1" applyFill="1" applyAlignment="1">
      <alignment vertical="center" wrapText="1"/>
    </xf>
    <xf numFmtId="10" fontId="13" fillId="7" borderId="0" xfId="0" applyNumberFormat="1" applyFont="1" applyFill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18" fillId="9" borderId="0" xfId="0" applyNumberFormat="1" applyFont="1" applyFill="1" applyAlignment="1">
      <alignment vertical="center" wrapText="1"/>
    </xf>
    <xf numFmtId="164" fontId="18" fillId="9" borderId="0" xfId="0" applyNumberFormat="1" applyFont="1" applyFill="1" applyAlignment="1">
      <alignment vertical="center" wrapText="1"/>
    </xf>
    <xf numFmtId="3" fontId="5" fillId="10" borderId="0" xfId="0" applyNumberFormat="1" applyFont="1" applyFill="1" applyAlignment="1">
      <alignment horizontal="right"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horizontal="right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19" fillId="11" borderId="0" xfId="0" applyNumberFormat="1" applyFont="1" applyFill="1" applyAlignment="1">
      <alignment horizontal="right" vertical="center" wrapText="1"/>
    </xf>
    <xf numFmtId="3" fontId="18" fillId="12" borderId="0" xfId="0" applyNumberFormat="1" applyFont="1" applyFill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10" fontId="18" fillId="12" borderId="0" xfId="0" applyNumberFormat="1" applyFont="1" applyFill="1" applyAlignment="1">
      <alignment horizontal="center" vertical="center" wrapText="1"/>
    </xf>
    <xf numFmtId="3" fontId="18" fillId="8" borderId="0" xfId="0" applyNumberFormat="1" applyFont="1" applyFill="1" applyAlignment="1">
      <alignment horizontal="center" vertical="center" wrapText="1"/>
    </xf>
    <xf numFmtId="3" fontId="18" fillId="8" borderId="0" xfId="0" applyNumberFormat="1" applyFont="1" applyFill="1" applyAlignment="1">
      <alignment vertical="center" wrapText="1"/>
    </xf>
    <xf numFmtId="3" fontId="20" fillId="8" borderId="0" xfId="0" applyNumberFormat="1" applyFont="1" applyFill="1" applyAlignment="1">
      <alignment vertical="center" wrapText="1"/>
    </xf>
    <xf numFmtId="3" fontId="20" fillId="8" borderId="0" xfId="0" applyNumberFormat="1" applyFont="1" applyFill="1" applyAlignment="1">
      <alignment horizontal="center" vertical="center" wrapText="1"/>
    </xf>
    <xf numFmtId="3" fontId="18" fillId="13" borderId="0" xfId="0" applyNumberFormat="1" applyFont="1" applyFill="1" applyAlignment="1">
      <alignment vertical="center" wrapText="1"/>
    </xf>
    <xf numFmtId="10" fontId="18" fillId="13" borderId="0" xfId="0" applyNumberFormat="1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3" fontId="20" fillId="8" borderId="0" xfId="0" applyNumberFormat="1" applyFont="1" applyFill="1" applyAlignment="1">
      <alignment horizontal="right" vertical="center" wrapText="1"/>
    </xf>
    <xf numFmtId="3" fontId="18" fillId="13" borderId="0" xfId="0" applyNumberFormat="1" applyFont="1" applyFill="1" applyAlignment="1">
      <alignment horizontal="right" vertical="center" wrapText="1"/>
    </xf>
    <xf numFmtId="10" fontId="18" fillId="13" borderId="0" xfId="0" applyNumberFormat="1" applyFont="1" applyFill="1" applyAlignment="1">
      <alignment horizontal="right" vertical="center" wrapText="1"/>
    </xf>
    <xf numFmtId="3" fontId="4" fillId="10" borderId="0" xfId="0" applyNumberFormat="1" applyFont="1" applyFill="1" applyAlignment="1">
      <alignment horizontal="right" vertical="center" wrapText="1"/>
    </xf>
    <xf numFmtId="164" fontId="18" fillId="11" borderId="0" xfId="0" applyNumberFormat="1" applyFont="1" applyFill="1" applyAlignment="1">
      <alignment vertical="center" wrapText="1"/>
    </xf>
    <xf numFmtId="3" fontId="14" fillId="11" borderId="0" xfId="0" applyNumberFormat="1" applyFont="1" applyFill="1" applyAlignment="1">
      <alignment horizontal="right" vertical="center" wrapText="1"/>
    </xf>
    <xf numFmtId="3" fontId="5" fillId="8" borderId="0" xfId="0" applyNumberFormat="1" applyFont="1" applyFill="1" applyAlignment="1">
      <alignment horizontal="center" vertical="center" wrapText="1"/>
    </xf>
    <xf numFmtId="3" fontId="5" fillId="8" borderId="0" xfId="0" applyNumberFormat="1" applyFont="1" applyFill="1" applyAlignment="1">
      <alignment horizontal="right" vertical="center" wrapText="1"/>
    </xf>
    <xf numFmtId="0" fontId="2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wrapText="1"/>
    </xf>
    <xf numFmtId="3" fontId="5" fillId="8" borderId="0" xfId="0" applyNumberFormat="1" applyFont="1" applyFill="1" applyAlignment="1">
      <alignment horizontal="right" wrapText="1"/>
    </xf>
    <xf numFmtId="164" fontId="5" fillId="8" borderId="0" xfId="0" applyNumberFormat="1" applyFont="1" applyFill="1" applyAlignment="1">
      <alignment horizontal="center" wrapText="1"/>
    </xf>
    <xf numFmtId="166" fontId="18" fillId="9" borderId="0" xfId="0" applyNumberFormat="1" applyFont="1" applyFill="1" applyAlignment="1">
      <alignment wrapText="1"/>
    </xf>
    <xf numFmtId="164" fontId="18" fillId="9" borderId="0" xfId="0" applyNumberFormat="1" applyFont="1" applyFill="1" applyAlignment="1">
      <alignment wrapText="1"/>
    </xf>
    <xf numFmtId="3" fontId="5" fillId="10" borderId="0" xfId="0" applyNumberFormat="1" applyFont="1" applyFill="1" applyAlignment="1">
      <alignment horizontal="right" wrapText="1"/>
    </xf>
    <xf numFmtId="164" fontId="5" fillId="10" borderId="0" xfId="0" applyNumberFormat="1" applyFont="1" applyFill="1" applyAlignment="1">
      <alignment horizontal="center" wrapText="1"/>
    </xf>
    <xf numFmtId="3" fontId="5" fillId="11" borderId="0" xfId="0" applyNumberFormat="1" applyFont="1" applyFill="1" applyAlignment="1">
      <alignment horizontal="right" wrapText="1"/>
    </xf>
    <xf numFmtId="164" fontId="5" fillId="11" borderId="0" xfId="0" applyNumberFormat="1" applyFont="1" applyFill="1" applyAlignment="1">
      <alignment horizontal="center" wrapText="1"/>
    </xf>
    <xf numFmtId="3" fontId="19" fillId="11" borderId="0" xfId="0" applyNumberFormat="1" applyFont="1" applyFill="1" applyAlignment="1">
      <alignment horizontal="right" wrapText="1"/>
    </xf>
    <xf numFmtId="3" fontId="19" fillId="12" borderId="0" xfId="0" applyNumberFormat="1" applyFont="1" applyFill="1" applyAlignment="1">
      <alignment horizontal="right" wrapText="1"/>
    </xf>
    <xf numFmtId="0" fontId="18" fillId="12" borderId="0" xfId="0" applyFont="1" applyFill="1" applyAlignment="1">
      <alignment wrapText="1"/>
    </xf>
    <xf numFmtId="10" fontId="18" fillId="12" borderId="0" xfId="0" applyNumberFormat="1" applyFont="1" applyFill="1" applyAlignment="1">
      <alignment wrapText="1"/>
    </xf>
    <xf numFmtId="3" fontId="18" fillId="8" borderId="0" xfId="0" applyNumberFormat="1" applyFont="1" applyFill="1" applyAlignment="1">
      <alignment wrapText="1"/>
    </xf>
    <xf numFmtId="3" fontId="18" fillId="8" borderId="0" xfId="0" applyNumberFormat="1" applyFont="1" applyFill="1" applyAlignment="1">
      <alignment wrapText="1"/>
    </xf>
    <xf numFmtId="3" fontId="5" fillId="14" borderId="0" xfId="0" applyNumberFormat="1" applyFont="1" applyFill="1" applyAlignment="1">
      <alignment horizontal="right" wrapText="1"/>
    </xf>
    <xf numFmtId="10" fontId="5" fillId="13" borderId="0" xfId="0" applyNumberFormat="1" applyFont="1" applyFill="1" applyAlignment="1">
      <alignment horizontal="right" wrapText="1"/>
    </xf>
    <xf numFmtId="3" fontId="18" fillId="13" borderId="0" xfId="0" applyNumberFormat="1" applyFont="1" applyFill="1" applyAlignment="1">
      <alignment wrapText="1"/>
    </xf>
    <xf numFmtId="0" fontId="18" fillId="13" borderId="0" xfId="0" applyFont="1" applyFill="1" applyAlignment="1">
      <alignment wrapText="1"/>
    </xf>
    <xf numFmtId="3" fontId="5" fillId="13" borderId="0" xfId="0" applyNumberFormat="1" applyFont="1" applyFill="1" applyAlignment="1">
      <alignment horizontal="right" wrapText="1"/>
    </xf>
    <xf numFmtId="0" fontId="5" fillId="13" borderId="0" xfId="0" applyFont="1" applyFill="1" applyAlignment="1">
      <alignment wrapText="1"/>
    </xf>
    <xf numFmtId="3" fontId="14" fillId="10" borderId="0" xfId="0" applyNumberFormat="1" applyFont="1" applyFill="1" applyAlignment="1">
      <alignment horizontal="right" wrapText="1"/>
    </xf>
    <xf numFmtId="164" fontId="14" fillId="10" borderId="0" xfId="0" applyNumberFormat="1" applyFont="1" applyFill="1" applyAlignment="1">
      <alignment horizontal="center" wrapText="1"/>
    </xf>
    <xf numFmtId="3" fontId="18" fillId="11" borderId="0" xfId="0" applyNumberFormat="1" applyFont="1" applyFill="1" applyAlignment="1">
      <alignment horizontal="right" wrapText="1"/>
    </xf>
    <xf numFmtId="164" fontId="18" fillId="11" borderId="0" xfId="0" applyNumberFormat="1" applyFont="1" applyFill="1" applyAlignment="1">
      <alignment horizontal="right" wrapText="1"/>
    </xf>
    <xf numFmtId="3" fontId="22" fillId="11" borderId="0" xfId="0" applyNumberFormat="1" applyFont="1" applyFill="1" applyAlignment="1">
      <alignment horizontal="right" wrapText="1"/>
    </xf>
    <xf numFmtId="10" fontId="19" fillId="12" borderId="0" xfId="0" applyNumberFormat="1" applyFont="1" applyFill="1" applyAlignment="1">
      <alignment horizontal="center" wrapText="1"/>
    </xf>
    <xf numFmtId="3" fontId="5" fillId="8" borderId="0" xfId="0" applyNumberFormat="1" applyFont="1" applyFill="1" applyAlignment="1">
      <alignment horizontal="center" wrapText="1"/>
    </xf>
    <xf numFmtId="3" fontId="18" fillId="8" borderId="0" xfId="0" applyNumberFormat="1" applyFont="1" applyFill="1" applyAlignment="1">
      <alignment horizontal="center" wrapText="1"/>
    </xf>
    <xf numFmtId="3" fontId="18" fillId="8" borderId="0" xfId="0" applyNumberFormat="1" applyFont="1" applyFill="1" applyAlignment="1">
      <alignment horizontal="right" wrapText="1"/>
    </xf>
    <xf numFmtId="3" fontId="5" fillId="8" borderId="0" xfId="0" applyNumberFormat="1" applyFont="1" applyFill="1" applyAlignment="1">
      <alignment horizontal="center" wrapText="1"/>
    </xf>
    <xf numFmtId="3" fontId="14" fillId="8" borderId="0" xfId="0" applyNumberFormat="1" applyFont="1" applyFill="1" applyAlignment="1">
      <alignment horizontal="right" wrapText="1"/>
    </xf>
    <xf numFmtId="3" fontId="14" fillId="8" borderId="0" xfId="0" applyNumberFormat="1" applyFont="1" applyFill="1" applyAlignment="1">
      <alignment horizontal="center" wrapText="1"/>
    </xf>
    <xf numFmtId="164" fontId="18" fillId="8" borderId="0" xfId="0" applyNumberFormat="1" applyFont="1" applyFill="1" applyAlignment="1">
      <alignment wrapText="1"/>
    </xf>
    <xf numFmtId="3" fontId="18" fillId="9" borderId="0" xfId="0" applyNumberFormat="1" applyFont="1" applyFill="1" applyAlignment="1">
      <alignment wrapText="1"/>
    </xf>
    <xf numFmtId="164" fontId="18" fillId="9" borderId="0" xfId="0" applyNumberFormat="1" applyFont="1" applyFill="1" applyAlignment="1">
      <alignment wrapText="1"/>
    </xf>
    <xf numFmtId="164" fontId="18" fillId="10" borderId="0" xfId="0" applyNumberFormat="1" applyFont="1" applyFill="1" applyAlignment="1">
      <alignment wrapText="1"/>
    </xf>
    <xf numFmtId="3" fontId="5" fillId="11" borderId="0" xfId="0" applyNumberFormat="1" applyFont="1" applyFill="1" applyAlignment="1">
      <alignment horizontal="right" wrapText="1"/>
    </xf>
    <xf numFmtId="3" fontId="22" fillId="11" borderId="0" xfId="0" applyNumberFormat="1" applyFont="1" applyFill="1" applyAlignment="1">
      <alignment wrapText="1"/>
    </xf>
    <xf numFmtId="10" fontId="18" fillId="13" borderId="0" xfId="0" applyNumberFormat="1" applyFont="1" applyFill="1" applyAlignment="1">
      <alignment wrapText="1"/>
    </xf>
    <xf numFmtId="3" fontId="18" fillId="9" borderId="0" xfId="0" applyNumberFormat="1" applyFont="1" applyFill="1" applyAlignment="1">
      <alignment wrapText="1"/>
    </xf>
    <xf numFmtId="3" fontId="18" fillId="15" borderId="0" xfId="0" applyNumberFormat="1" applyFont="1" applyFill="1" applyAlignment="1">
      <alignment wrapText="1"/>
    </xf>
    <xf numFmtId="3" fontId="5" fillId="9" borderId="0" xfId="0" applyNumberFormat="1" applyFont="1" applyFill="1" applyAlignment="1">
      <alignment horizontal="right" wrapText="1"/>
    </xf>
    <xf numFmtId="3" fontId="5" fillId="13" borderId="0" xfId="0" applyNumberFormat="1" applyFont="1" applyFill="1" applyAlignment="1">
      <alignment wrapText="1"/>
    </xf>
    <xf numFmtId="3" fontId="14" fillId="11" borderId="0" xfId="0" applyNumberFormat="1" applyFont="1" applyFill="1" applyAlignment="1">
      <alignment horizontal="right" wrapText="1"/>
    </xf>
    <xf numFmtId="3" fontId="5" fillId="16" borderId="0" xfId="0" applyNumberFormat="1" applyFont="1" applyFill="1" applyAlignment="1">
      <alignment horizontal="right" wrapText="1"/>
    </xf>
    <xf numFmtId="3" fontId="18" fillId="16" borderId="0" xfId="0" applyNumberFormat="1" applyFont="1" applyFill="1" applyAlignment="1">
      <alignment horizontal="right" wrapText="1"/>
    </xf>
    <xf numFmtId="3" fontId="5" fillId="8" borderId="0" xfId="0" applyNumberFormat="1" applyFont="1" applyFill="1" applyAlignment="1">
      <alignment horizontal="right" wrapText="1"/>
    </xf>
    <xf numFmtId="3" fontId="5" fillId="9" borderId="0" xfId="0" applyNumberFormat="1" applyFont="1" applyFill="1" applyAlignment="1">
      <alignment horizontal="right" wrapText="1"/>
    </xf>
    <xf numFmtId="3" fontId="18" fillId="0" borderId="0" xfId="0" applyNumberFormat="1" applyFont="1" applyAlignment="1">
      <alignment wrapText="1"/>
    </xf>
    <xf numFmtId="10" fontId="18" fillId="0" borderId="0" xfId="0" applyNumberFormat="1" applyFont="1" applyAlignment="1">
      <alignment wrapText="1"/>
    </xf>
    <xf numFmtId="3" fontId="18" fillId="10" borderId="0" xfId="0" applyNumberFormat="1" applyFont="1" applyFill="1" applyAlignment="1">
      <alignment wrapText="1"/>
    </xf>
    <xf numFmtId="3" fontId="18" fillId="11" borderId="0" xfId="0" applyNumberFormat="1" applyFont="1" applyFill="1" applyAlignment="1">
      <alignment wrapText="1"/>
    </xf>
    <xf numFmtId="164" fontId="18" fillId="11" borderId="0" xfId="0" applyNumberFormat="1" applyFont="1" applyFill="1" applyAlignment="1">
      <alignment wrapText="1"/>
    </xf>
    <xf numFmtId="0" fontId="23" fillId="17" borderId="0" xfId="0" applyFont="1" applyFill="1" applyAlignment="1">
      <alignment wrapText="1"/>
    </xf>
    <xf numFmtId="164" fontId="18" fillId="8" borderId="0" xfId="0" applyNumberFormat="1" applyFont="1" applyFill="1" applyAlignment="1">
      <alignment wrapText="1"/>
    </xf>
    <xf numFmtId="3" fontId="19" fillId="16" borderId="0" xfId="0" applyNumberFormat="1" applyFont="1" applyFill="1" applyAlignment="1">
      <alignment horizontal="right" wrapText="1"/>
    </xf>
    <xf numFmtId="3" fontId="5" fillId="0" borderId="0" xfId="0" applyNumberFormat="1" applyFont="1" applyAlignment="1">
      <alignment horizontal="right" wrapText="1"/>
    </xf>
    <xf numFmtId="10" fontId="5" fillId="0" borderId="0" xfId="0" applyNumberFormat="1" applyFont="1" applyAlignment="1">
      <alignment horizontal="right" wrapText="1"/>
    </xf>
    <xf numFmtId="3" fontId="5" fillId="0" borderId="0" xfId="0" applyNumberFormat="1" applyFont="1" applyAlignment="1">
      <alignment wrapText="1"/>
    </xf>
    <xf numFmtId="3" fontId="18" fillId="12" borderId="0" xfId="0" applyNumberFormat="1" applyFont="1" applyFill="1" applyAlignment="1">
      <alignment wrapText="1"/>
    </xf>
    <xf numFmtId="4" fontId="5" fillId="9" borderId="0" xfId="0" applyNumberFormat="1" applyFont="1" applyFill="1" applyAlignment="1">
      <alignment horizontal="right" wrapText="1"/>
    </xf>
    <xf numFmtId="0" fontId="14" fillId="0" borderId="0" xfId="0" applyFont="1" applyAlignment="1">
      <alignment wrapText="1"/>
    </xf>
    <xf numFmtId="167" fontId="5" fillId="9" borderId="0" xfId="0" applyNumberFormat="1" applyFont="1" applyFill="1" applyAlignment="1">
      <alignment horizontal="right" wrapText="1"/>
    </xf>
    <xf numFmtId="3" fontId="5" fillId="17" borderId="0" xfId="0" applyNumberFormat="1" applyFont="1" applyFill="1" applyAlignment="1">
      <alignment horizontal="right" wrapText="1"/>
    </xf>
    <xf numFmtId="165" fontId="5" fillId="8" borderId="0" xfId="0" applyNumberFormat="1" applyFont="1" applyFill="1" applyAlignment="1">
      <alignment horizontal="center" wrapText="1"/>
    </xf>
    <xf numFmtId="168" fontId="18" fillId="12" borderId="0" xfId="0" applyNumberFormat="1" applyFont="1" applyFill="1" applyAlignment="1">
      <alignment wrapText="1"/>
    </xf>
    <xf numFmtId="165" fontId="18" fillId="8" borderId="0" xfId="0" applyNumberFormat="1" applyFont="1" applyFill="1" applyAlignment="1">
      <alignment wrapText="1"/>
    </xf>
    <xf numFmtId="4" fontId="18" fillId="9" borderId="0" xfId="0" applyNumberFormat="1" applyFont="1" applyFill="1" applyAlignment="1">
      <alignment wrapText="1"/>
    </xf>
    <xf numFmtId="3" fontId="14" fillId="16" borderId="0" xfId="0" applyNumberFormat="1" applyFont="1" applyFill="1" applyAlignment="1">
      <alignment horizontal="right" wrapText="1"/>
    </xf>
    <xf numFmtId="169" fontId="5" fillId="11" borderId="0" xfId="0" applyNumberFormat="1" applyFont="1" applyFill="1" applyAlignment="1">
      <alignment horizontal="center" wrapText="1"/>
    </xf>
    <xf numFmtId="3" fontId="5" fillId="16" borderId="0" xfId="0" applyNumberFormat="1" applyFont="1" applyFill="1" applyAlignment="1">
      <alignment horizontal="right" wrapText="1"/>
    </xf>
    <xf numFmtId="3" fontId="5" fillId="18" borderId="0" xfId="0" applyNumberFormat="1" applyFont="1" applyFill="1" applyAlignment="1">
      <alignment horizontal="right" wrapText="1"/>
    </xf>
    <xf numFmtId="0" fontId="24" fillId="19" borderId="0" xfId="0" applyFont="1" applyFill="1" applyAlignment="1">
      <alignment wrapText="1"/>
    </xf>
    <xf numFmtId="3" fontId="5" fillId="10" borderId="0" xfId="0" applyNumberFormat="1" applyFont="1" applyFill="1" applyAlignment="1">
      <alignment wrapText="1"/>
    </xf>
    <xf numFmtId="164" fontId="5" fillId="10" borderId="0" xfId="0" applyNumberFormat="1" applyFont="1" applyFill="1" applyAlignment="1">
      <alignment wrapText="1"/>
    </xf>
    <xf numFmtId="0" fontId="25" fillId="19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8" borderId="0" xfId="0" applyNumberFormat="1" applyFont="1" applyFill="1" applyAlignment="1">
      <alignment horizontal="center" vertical="center" wrapText="1"/>
    </xf>
    <xf numFmtId="3" fontId="18" fillId="9" borderId="0" xfId="0" applyNumberFormat="1" applyFont="1" applyFill="1" applyAlignment="1">
      <alignment vertical="center" wrapText="1"/>
    </xf>
    <xf numFmtId="164" fontId="18" fillId="9" borderId="0" xfId="0" applyNumberFormat="1" applyFont="1" applyFill="1" applyAlignment="1">
      <alignment vertical="center" wrapText="1"/>
    </xf>
    <xf numFmtId="3" fontId="5" fillId="11" borderId="0" xfId="0" applyNumberFormat="1" applyFont="1" applyFill="1" applyAlignment="1">
      <alignment horizontal="right" vertical="center" wrapText="1"/>
    </xf>
    <xf numFmtId="3" fontId="19" fillId="12" borderId="0" xfId="0" applyNumberFormat="1" applyFont="1" applyFill="1" applyAlignment="1">
      <alignment horizontal="right" vertical="center" wrapText="1"/>
    </xf>
    <xf numFmtId="0" fontId="18" fillId="12" borderId="0" xfId="0" applyFont="1" applyFill="1" applyAlignment="1">
      <alignment vertical="center" wrapText="1"/>
    </xf>
    <xf numFmtId="10" fontId="18" fillId="12" borderId="0" xfId="0" applyNumberFormat="1" applyFont="1" applyFill="1" applyAlignment="1">
      <alignment vertical="center" wrapText="1"/>
    </xf>
    <xf numFmtId="3" fontId="18" fillId="8" borderId="0" xfId="0" applyNumberFormat="1" applyFont="1" applyFill="1" applyAlignment="1">
      <alignment vertical="center" wrapText="1"/>
    </xf>
    <xf numFmtId="9" fontId="22" fillId="12" borderId="0" xfId="0" applyNumberFormat="1" applyFont="1" applyFill="1" applyAlignment="1">
      <alignment horizontal="center" vertical="center" wrapText="1"/>
    </xf>
    <xf numFmtId="165" fontId="18" fillId="8" borderId="0" xfId="0" applyNumberFormat="1" applyFont="1" applyFill="1" applyAlignment="1">
      <alignment vertical="center" wrapText="1"/>
    </xf>
    <xf numFmtId="3" fontId="18" fillId="8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3" fontId="18" fillId="10" borderId="0" xfId="0" applyNumberFormat="1" applyFont="1" applyFill="1" applyAlignment="1">
      <alignment vertical="center" wrapText="1"/>
    </xf>
    <xf numFmtId="164" fontId="18" fillId="10" borderId="0" xfId="0" applyNumberFormat="1" applyFont="1" applyFill="1" applyAlignment="1">
      <alignment vertical="center" wrapText="1"/>
    </xf>
    <xf numFmtId="3" fontId="19" fillId="16" borderId="0" xfId="0" applyNumberFormat="1" applyFont="1" applyFill="1" applyAlignment="1">
      <alignment horizontal="right" vertical="center" wrapText="1"/>
    </xf>
    <xf numFmtId="164" fontId="18" fillId="8" borderId="0" xfId="0" applyNumberFormat="1" applyFont="1" applyFill="1" applyAlignment="1">
      <alignment wrapText="1"/>
    </xf>
    <xf numFmtId="3" fontId="18" fillId="11" borderId="0" xfId="0" applyNumberFormat="1" applyFont="1" applyFill="1" applyAlignment="1">
      <alignment wrapText="1"/>
    </xf>
    <xf numFmtId="164" fontId="18" fillId="11" borderId="0" xfId="0" applyNumberFormat="1" applyFont="1" applyFill="1" applyAlignment="1">
      <alignment wrapText="1"/>
    </xf>
    <xf numFmtId="0" fontId="5" fillId="0" borderId="0" xfId="0" applyFont="1" applyAlignment="1">
      <alignment wrapText="1"/>
    </xf>
    <xf numFmtId="3" fontId="5" fillId="8" borderId="0" xfId="0" applyNumberFormat="1" applyFont="1" applyFill="1" applyAlignment="1">
      <alignment horizontal="right" wrapText="1"/>
    </xf>
    <xf numFmtId="164" fontId="5" fillId="8" borderId="0" xfId="0" applyNumberFormat="1" applyFont="1" applyFill="1" applyAlignment="1">
      <alignment horizontal="center" wrapText="1"/>
    </xf>
    <xf numFmtId="4" fontId="14" fillId="6" borderId="0" xfId="0" applyNumberFormat="1" applyFont="1" applyFill="1" applyAlignment="1">
      <alignment vertical="center" wrapText="1"/>
    </xf>
    <xf numFmtId="3" fontId="14" fillId="6" borderId="0" xfId="0" applyNumberFormat="1" applyFont="1" applyFill="1" applyAlignment="1">
      <alignment vertical="center" wrapText="1"/>
    </xf>
    <xf numFmtId="3" fontId="16" fillId="8" borderId="0" xfId="0" applyNumberFormat="1" applyFont="1" applyFill="1" applyAlignment="1">
      <alignment vertical="center" wrapText="1"/>
    </xf>
    <xf numFmtId="3" fontId="16" fillId="8" borderId="0" xfId="0" applyNumberFormat="1" applyFont="1" applyFill="1" applyAlignment="1">
      <alignment horizontal="center" vertical="center" wrapText="1"/>
    </xf>
    <xf numFmtId="3" fontId="14" fillId="13" borderId="0" xfId="0" applyNumberFormat="1" applyFont="1" applyFill="1" applyAlignment="1">
      <alignment vertical="center" wrapText="1"/>
    </xf>
    <xf numFmtId="10" fontId="13" fillId="13" borderId="0" xfId="0" applyNumberFormat="1" applyFont="1" applyFill="1" applyAlignment="1">
      <alignment vertical="center" wrapText="1"/>
    </xf>
    <xf numFmtId="0" fontId="13" fillId="13" borderId="0" xfId="0" applyFont="1" applyFill="1" applyAlignment="1">
      <alignment vertical="center" wrapText="1"/>
    </xf>
    <xf numFmtId="0" fontId="2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4" fontId="5" fillId="8" borderId="0" xfId="0" applyNumberFormat="1" applyFont="1" applyFill="1" applyAlignment="1">
      <alignment vertical="center" wrapText="1"/>
    </xf>
    <xf numFmtId="164" fontId="5" fillId="8" borderId="0" xfId="0" applyNumberFormat="1" applyFont="1" applyFill="1" applyAlignment="1">
      <alignment horizontal="center" vertical="center" wrapText="1"/>
    </xf>
    <xf numFmtId="3" fontId="5" fillId="9" borderId="0" xfId="0" applyNumberFormat="1" applyFont="1" applyFill="1" applyAlignment="1">
      <alignment vertical="center" wrapText="1"/>
    </xf>
    <xf numFmtId="164" fontId="5" fillId="9" borderId="0" xfId="0" applyNumberFormat="1" applyFont="1" applyFill="1" applyAlignment="1">
      <alignment vertical="center" wrapText="1"/>
    </xf>
    <xf numFmtId="3" fontId="27" fillId="10" borderId="0" xfId="0" applyNumberFormat="1" applyFont="1" applyFill="1" applyAlignment="1">
      <alignment horizontal="right"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19" fillId="11" borderId="0" xfId="0" applyNumberFormat="1" applyFont="1" applyFill="1" applyAlignment="1">
      <alignment vertical="center" wrapText="1"/>
    </xf>
    <xf numFmtId="3" fontId="5" fillId="12" borderId="0" xfId="0" applyNumberFormat="1" applyFont="1" applyFill="1" applyAlignment="1">
      <alignment vertical="center" wrapText="1"/>
    </xf>
    <xf numFmtId="0" fontId="5" fillId="12" borderId="0" xfId="0" applyFont="1" applyFill="1" applyAlignment="1">
      <alignment horizontal="center" vertical="center" wrapText="1"/>
    </xf>
    <xf numFmtId="10" fontId="5" fillId="12" borderId="0" xfId="0" applyNumberFormat="1" applyFont="1" applyFill="1" applyAlignment="1">
      <alignment horizontal="center" vertical="center" wrapText="1"/>
    </xf>
    <xf numFmtId="3" fontId="5" fillId="8" borderId="0" xfId="0" applyNumberFormat="1" applyFont="1" applyFill="1" applyAlignment="1">
      <alignment horizontal="center" vertical="center" wrapText="1"/>
    </xf>
    <xf numFmtId="3" fontId="5" fillId="8" borderId="0" xfId="0" applyNumberFormat="1" applyFont="1" applyFill="1" applyAlignment="1">
      <alignment vertical="center" wrapText="1"/>
    </xf>
    <xf numFmtId="3" fontId="4" fillId="8" borderId="0" xfId="0" applyNumberFormat="1" applyFont="1" applyFill="1" applyAlignment="1">
      <alignment vertical="center" wrapText="1"/>
    </xf>
    <xf numFmtId="3" fontId="4" fillId="8" borderId="0" xfId="0" applyNumberFormat="1" applyFont="1" applyFill="1" applyAlignment="1">
      <alignment horizontal="center" vertical="center" wrapText="1"/>
    </xf>
    <xf numFmtId="3" fontId="5" fillId="13" borderId="0" xfId="0" applyNumberFormat="1" applyFont="1" applyFill="1" applyAlignment="1">
      <alignment vertical="center" wrapText="1"/>
    </xf>
    <xf numFmtId="10" fontId="5" fillId="13" borderId="0" xfId="0" applyNumberFormat="1" applyFont="1" applyFill="1" applyAlignment="1">
      <alignment vertical="center" wrapText="1"/>
    </xf>
    <xf numFmtId="3" fontId="5" fillId="13" borderId="0" xfId="0" applyNumberFormat="1" applyFont="1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3" fontId="5" fillId="9" borderId="0" xfId="0" applyNumberFormat="1" applyFont="1" applyFill="1" applyAlignment="1">
      <alignment vertical="center" wrapText="1"/>
    </xf>
    <xf numFmtId="3" fontId="5" fillId="10" borderId="0" xfId="0" applyNumberFormat="1" applyFont="1" applyFill="1" applyAlignment="1">
      <alignment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4" fillId="8" borderId="0" xfId="0" applyNumberFormat="1" applyFont="1" applyFill="1" applyAlignment="1">
      <alignment vertical="center" wrapText="1"/>
    </xf>
    <xf numFmtId="3" fontId="4" fillId="8" borderId="0" xfId="0" applyNumberFormat="1" applyFont="1" applyFill="1" applyAlignment="1">
      <alignment horizontal="center" vertical="center" wrapText="1"/>
    </xf>
    <xf numFmtId="10" fontId="5" fillId="13" borderId="0" xfId="0" applyNumberFormat="1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" fontId="5" fillId="8" borderId="0" xfId="0" applyNumberFormat="1" applyFont="1" applyFill="1" applyAlignment="1">
      <alignment vertical="center" wrapText="1"/>
    </xf>
    <xf numFmtId="3" fontId="5" fillId="10" borderId="0" xfId="0" applyNumberFormat="1" applyFont="1" applyFill="1" applyAlignment="1">
      <alignment vertical="center" wrapText="1"/>
    </xf>
    <xf numFmtId="3" fontId="5" fillId="11" borderId="0" xfId="0" applyNumberFormat="1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 wrapText="1"/>
    </xf>
    <xf numFmtId="3" fontId="1" fillId="19" borderId="0" xfId="0" applyNumberFormat="1" applyFont="1" applyFill="1" applyAlignment="1">
      <alignment horizontal="center" vertical="center" wrapText="1"/>
    </xf>
    <xf numFmtId="3" fontId="9" fillId="19" borderId="0" xfId="0" applyNumberFormat="1" applyFont="1" applyFill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10" fontId="11" fillId="19" borderId="0" xfId="0" applyNumberFormat="1" applyFont="1" applyFill="1" applyAlignment="1">
      <alignment horizontal="center" vertical="center" wrapText="1"/>
    </xf>
    <xf numFmtId="3" fontId="11" fillId="19" borderId="0" xfId="0" applyNumberFormat="1" applyFont="1" applyFill="1" applyAlignment="1">
      <alignment horizontal="center" vertical="center" wrapText="1"/>
    </xf>
    <xf numFmtId="3" fontId="2" fillId="19" borderId="0" xfId="0" applyNumberFormat="1" applyFont="1" applyFill="1" applyAlignment="1">
      <alignment horizontal="center" vertical="center" wrapText="1"/>
    </xf>
    <xf numFmtId="3" fontId="11" fillId="20" borderId="0" xfId="0" applyNumberFormat="1" applyFont="1" applyFill="1" applyAlignment="1">
      <alignment horizontal="center" vertical="center" wrapText="1"/>
    </xf>
    <xf numFmtId="0" fontId="11" fillId="20" borderId="0" xfId="0" applyFont="1" applyFill="1" applyAlignment="1">
      <alignment horizontal="center" vertical="center" wrapText="1"/>
    </xf>
    <xf numFmtId="164" fontId="14" fillId="6" borderId="0" xfId="0" applyNumberFormat="1" applyFont="1" applyFill="1" applyAlignment="1">
      <alignment horizontal="center" vertical="center" wrapText="1"/>
    </xf>
    <xf numFmtId="3" fontId="13" fillId="6" borderId="0" xfId="0" applyNumberFormat="1" applyFont="1" applyFill="1" applyAlignment="1">
      <alignment vertical="center" wrapText="1"/>
    </xf>
    <xf numFmtId="3" fontId="13" fillId="22" borderId="0" xfId="0" applyNumberFormat="1" applyFont="1" applyFill="1" applyAlignment="1">
      <alignment vertical="center" wrapText="1"/>
    </xf>
    <xf numFmtId="3" fontId="5" fillId="8" borderId="0" xfId="0" applyNumberFormat="1" applyFont="1" applyFill="1" applyAlignment="1">
      <alignment horizontal="right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170" fontId="28" fillId="20" borderId="0" xfId="0" applyNumberFormat="1" applyFont="1" applyFill="1" applyAlignment="1">
      <alignment vertical="center" wrapText="1"/>
    </xf>
    <xf numFmtId="10" fontId="28" fillId="20" borderId="0" xfId="0" applyNumberFormat="1" applyFont="1" applyFill="1" applyAlignment="1">
      <alignment vertical="center" wrapText="1"/>
    </xf>
    <xf numFmtId="3" fontId="28" fillId="20" borderId="0" xfId="0" applyNumberFormat="1" applyFont="1" applyFill="1" applyAlignment="1">
      <alignment vertical="center" wrapText="1"/>
    </xf>
    <xf numFmtId="3" fontId="28" fillId="20" borderId="0" xfId="0" applyNumberFormat="1" applyFont="1" applyFill="1" applyAlignment="1">
      <alignment vertical="center" wrapText="1"/>
    </xf>
    <xf numFmtId="3" fontId="29" fillId="21" borderId="0" xfId="0" applyNumberFormat="1" applyFont="1" applyFill="1" applyAlignment="1">
      <alignment vertical="center" wrapText="1"/>
    </xf>
    <xf numFmtId="3" fontId="29" fillId="22" borderId="0" xfId="0" applyNumberFormat="1" applyFont="1" applyFill="1" applyAlignment="1">
      <alignment vertical="center" wrapText="1"/>
    </xf>
    <xf numFmtId="3" fontId="28" fillId="20" borderId="0" xfId="0" applyNumberFormat="1" applyFont="1" applyFill="1" applyAlignment="1">
      <alignment horizontal="right" vertical="center" wrapText="1"/>
    </xf>
    <xf numFmtId="3" fontId="29" fillId="21" borderId="0" xfId="0" applyNumberFormat="1" applyFont="1" applyFill="1" applyAlignment="1">
      <alignment horizontal="right" vertical="center" wrapText="1"/>
    </xf>
    <xf numFmtId="3" fontId="29" fillId="22" borderId="0" xfId="0" applyNumberFormat="1" applyFont="1" applyFill="1" applyAlignment="1">
      <alignment horizontal="right" vertical="center" wrapText="1"/>
    </xf>
    <xf numFmtId="3" fontId="30" fillId="20" borderId="0" xfId="0" applyNumberFormat="1" applyFont="1" applyFill="1" applyAlignment="1">
      <alignment horizontal="right" vertical="center" wrapText="1"/>
    </xf>
    <xf numFmtId="3" fontId="30" fillId="20" borderId="0" xfId="0" applyNumberFormat="1" applyFont="1" applyFill="1" applyAlignment="1">
      <alignment horizontal="right" vertical="center" wrapText="1"/>
    </xf>
    <xf numFmtId="3" fontId="31" fillId="21" borderId="0" xfId="0" applyNumberFormat="1" applyFont="1" applyFill="1" applyAlignment="1">
      <alignment horizontal="right" vertical="center" wrapText="1"/>
    </xf>
    <xf numFmtId="3" fontId="31" fillId="22" borderId="0" xfId="0" applyNumberFormat="1" applyFont="1" applyFill="1" applyAlignment="1">
      <alignment horizontal="right" vertical="center" wrapText="1"/>
    </xf>
    <xf numFmtId="3" fontId="32" fillId="20" borderId="0" xfId="0" applyNumberFormat="1" applyFont="1" applyFill="1" applyAlignment="1">
      <alignment horizontal="right" vertical="center" wrapText="1"/>
    </xf>
    <xf numFmtId="3" fontId="5" fillId="10" borderId="0" xfId="0" applyNumberFormat="1" applyFont="1" applyFill="1" applyAlignment="1">
      <alignment horizontal="right" vertical="center" wrapText="1"/>
    </xf>
    <xf numFmtId="3" fontId="18" fillId="10" borderId="0" xfId="0" applyNumberFormat="1" applyFont="1" applyFill="1" applyAlignment="1">
      <alignment vertical="center" wrapText="1"/>
    </xf>
    <xf numFmtId="3" fontId="18" fillId="11" borderId="0" xfId="0" applyNumberFormat="1" applyFont="1" applyFill="1" applyAlignment="1">
      <alignment vertical="center" wrapText="1"/>
    </xf>
    <xf numFmtId="164" fontId="18" fillId="11" borderId="0" xfId="0" applyNumberFormat="1" applyFont="1" applyFill="1" applyAlignment="1">
      <alignment vertical="center" wrapText="1"/>
    </xf>
    <xf numFmtId="3" fontId="18" fillId="11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3" fontId="27" fillId="11" borderId="0" xfId="0" applyNumberFormat="1" applyFont="1" applyFill="1" applyAlignment="1">
      <alignment horizontal="right" vertical="center" wrapText="1"/>
    </xf>
    <xf numFmtId="3" fontId="5" fillId="8" borderId="0" xfId="0" applyNumberFormat="1" applyFont="1" applyFill="1" applyAlignment="1">
      <alignment horizontal="right" vertical="center" wrapText="1"/>
    </xf>
    <xf numFmtId="164" fontId="27" fillId="8" borderId="0" xfId="0" applyNumberFormat="1" applyFont="1" applyFill="1" applyAlignment="1">
      <alignment horizontal="center" vertical="center" wrapText="1"/>
    </xf>
    <xf numFmtId="164" fontId="27" fillId="10" borderId="0" xfId="0" applyNumberFormat="1" applyFont="1" applyFill="1" applyAlignment="1">
      <alignment horizontal="center" vertical="center" wrapText="1"/>
    </xf>
    <xf numFmtId="164" fontId="27" fillId="11" borderId="0" xfId="0" applyNumberFormat="1" applyFont="1" applyFill="1" applyAlignment="1">
      <alignment horizontal="center" vertical="center" wrapText="1"/>
    </xf>
    <xf numFmtId="3" fontId="27" fillId="11" borderId="0" xfId="0" applyNumberFormat="1" applyFont="1" applyFill="1" applyAlignment="1">
      <alignment horizontal="right" vertical="center" wrapText="1"/>
    </xf>
    <xf numFmtId="10" fontId="33" fillId="20" borderId="0" xfId="0" applyNumberFormat="1" applyFont="1" applyFill="1" applyAlignment="1">
      <alignment horizontal="right" vertical="center" wrapText="1"/>
    </xf>
    <xf numFmtId="3" fontId="33" fillId="20" borderId="0" xfId="0" applyNumberFormat="1" applyFont="1" applyFill="1" applyAlignment="1">
      <alignment horizontal="right" vertical="center" wrapText="1"/>
    </xf>
    <xf numFmtId="3" fontId="30" fillId="20" borderId="0" xfId="0" applyNumberFormat="1" applyFont="1" applyFill="1" applyAlignment="1">
      <alignment horizontal="right" vertical="center" wrapText="1"/>
    </xf>
    <xf numFmtId="3" fontId="4" fillId="11" borderId="0" xfId="0" applyNumberFormat="1" applyFont="1" applyFill="1" applyAlignment="1">
      <alignment horizontal="right" vertical="center" wrapText="1"/>
    </xf>
    <xf numFmtId="3" fontId="4" fillId="11" borderId="0" xfId="0" applyNumberFormat="1" applyFont="1" applyFill="1" applyAlignment="1">
      <alignment horizontal="right" vertical="center" wrapText="1"/>
    </xf>
    <xf numFmtId="3" fontId="5" fillId="11" borderId="0" xfId="0" applyNumberFormat="1" applyFont="1" applyFill="1" applyAlignment="1">
      <alignment horizontal="right" vertical="center" wrapText="1"/>
    </xf>
    <xf numFmtId="3" fontId="13" fillId="6" borderId="0" xfId="0" applyNumberFormat="1" applyFont="1" applyFill="1" applyAlignment="1">
      <alignment vertical="center" wrapText="1"/>
    </xf>
    <xf numFmtId="3" fontId="13" fillId="22" borderId="0" xfId="0" applyNumberFormat="1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3" fontId="5" fillId="8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169" fontId="30" fillId="20" borderId="0" xfId="0" applyNumberFormat="1" applyFont="1" applyFill="1" applyAlignment="1">
      <alignment vertical="center" wrapText="1"/>
    </xf>
    <xf numFmtId="3" fontId="31" fillId="21" borderId="0" xfId="0" applyNumberFormat="1" applyFont="1" applyFill="1" applyAlignment="1">
      <alignment vertical="center" wrapText="1"/>
    </xf>
    <xf numFmtId="3" fontId="31" fillId="22" borderId="0" xfId="0" applyNumberFormat="1" applyFont="1" applyFill="1" applyAlignment="1">
      <alignment vertical="center" wrapText="1"/>
    </xf>
    <xf numFmtId="10" fontId="30" fillId="20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3" fontId="5" fillId="8" borderId="0" xfId="0" applyNumberFormat="1" applyFont="1" applyFill="1" applyAlignment="1">
      <alignment vertical="center" wrapText="1"/>
    </xf>
    <xf numFmtId="3" fontId="32" fillId="21" borderId="0" xfId="0" applyNumberFormat="1" applyFont="1" applyFill="1" applyAlignment="1">
      <alignment horizontal="right" vertical="center" wrapText="1"/>
    </xf>
    <xf numFmtId="3" fontId="32" fillId="22" borderId="0" xfId="0" applyNumberFormat="1" applyFont="1" applyFill="1" applyAlignment="1">
      <alignment horizontal="right" vertical="center" wrapText="1"/>
    </xf>
    <xf numFmtId="0" fontId="30" fillId="20" borderId="0" xfId="0" applyFont="1" applyFill="1" applyAlignment="1">
      <alignment vertical="center" wrapText="1"/>
    </xf>
    <xf numFmtId="3" fontId="31" fillId="21" borderId="0" xfId="0" applyNumberFormat="1" applyFont="1" applyFill="1" applyAlignment="1">
      <alignment vertical="center" wrapText="1"/>
    </xf>
    <xf numFmtId="171" fontId="30" fillId="20" borderId="0" xfId="0" applyNumberFormat="1" applyFont="1" applyFill="1" applyAlignment="1">
      <alignment vertical="center" wrapText="1"/>
    </xf>
    <xf numFmtId="3" fontId="4" fillId="11" borderId="0" xfId="0" applyNumberFormat="1" applyFont="1" applyFill="1" applyAlignment="1">
      <alignment vertical="center" wrapText="1"/>
    </xf>
    <xf numFmtId="169" fontId="4" fillId="11" borderId="0" xfId="0" applyNumberFormat="1" applyFont="1" applyFill="1" applyAlignment="1">
      <alignment horizontal="center" vertical="center" wrapText="1"/>
    </xf>
    <xf numFmtId="0" fontId="30" fillId="20" borderId="0" xfId="0" applyFont="1" applyFill="1" applyAlignment="1">
      <alignment vertical="center" wrapText="1"/>
    </xf>
    <xf numFmtId="3" fontId="31" fillId="22" borderId="0" xfId="0" applyNumberFormat="1" applyFont="1" applyFill="1" applyAlignment="1">
      <alignment vertical="center" wrapText="1"/>
    </xf>
    <xf numFmtId="0" fontId="31" fillId="21" borderId="0" xfId="0" applyFont="1" applyFill="1" applyAlignment="1">
      <alignment vertical="center" wrapText="1"/>
    </xf>
    <xf numFmtId="0" fontId="31" fillId="22" borderId="0" xfId="0" applyFont="1" applyFill="1" applyAlignment="1">
      <alignment vertical="center" wrapText="1"/>
    </xf>
    <xf numFmtId="0" fontId="34" fillId="0" borderId="0" xfId="0" applyFont="1" applyAlignment="1">
      <alignment horizontal="center" wrapText="1"/>
    </xf>
    <xf numFmtId="0" fontId="0" fillId="20" borderId="0" xfId="0" applyFont="1" applyFill="1" applyAlignment="1">
      <alignment wrapText="1"/>
    </xf>
    <xf numFmtId="0" fontId="35" fillId="21" borderId="0" xfId="0" applyFont="1" applyFill="1" applyAlignment="1">
      <alignment wrapText="1"/>
    </xf>
    <xf numFmtId="0" fontId="35" fillId="22" borderId="0" xfId="0" applyFont="1" applyFill="1" applyAlignment="1">
      <alignment wrapText="1"/>
    </xf>
    <xf numFmtId="0" fontId="34" fillId="21" borderId="0" xfId="0" applyFont="1" applyFill="1" applyAlignment="1">
      <alignment wrapText="1"/>
    </xf>
    <xf numFmtId="0" fontId="34" fillId="22" borderId="0" xfId="0" applyFont="1" applyFill="1" applyAlignment="1">
      <alignment wrapText="1"/>
    </xf>
    <xf numFmtId="0" fontId="36" fillId="20" borderId="0" xfId="0" applyFont="1" applyFill="1" applyAlignment="1">
      <alignment wrapText="1"/>
    </xf>
    <xf numFmtId="0" fontId="5" fillId="19" borderId="0" xfId="0" applyFont="1" applyFill="1" applyAlignment="1">
      <alignment horizontal="center" vertical="center" wrapText="1"/>
    </xf>
    <xf numFmtId="3" fontId="4" fillId="20" borderId="0" xfId="0" applyNumberFormat="1" applyFont="1" applyFill="1" applyAlignment="1">
      <alignment vertical="center" wrapText="1"/>
    </xf>
    <xf numFmtId="3" fontId="4" fillId="20" borderId="0" xfId="0" applyNumberFormat="1" applyFont="1" applyFill="1" applyAlignment="1">
      <alignment vertical="center" wrapText="1"/>
    </xf>
    <xf numFmtId="164" fontId="5" fillId="20" borderId="0" xfId="0" applyNumberFormat="1" applyFont="1" applyFill="1" applyAlignment="1">
      <alignment horizontal="center" vertical="center" wrapText="1"/>
    </xf>
    <xf numFmtId="171" fontId="4" fillId="20" borderId="0" xfId="0" applyNumberFormat="1" applyFont="1" applyFill="1" applyAlignment="1">
      <alignment vertical="center" wrapText="1"/>
    </xf>
    <xf numFmtId="3" fontId="4" fillId="20" borderId="0" xfId="0" applyNumberFormat="1" applyFont="1" applyFill="1" applyAlignment="1">
      <alignment vertical="center" wrapText="1"/>
    </xf>
    <xf numFmtId="3" fontId="5" fillId="21" borderId="0" xfId="0" applyNumberFormat="1" applyFont="1" applyFill="1" applyAlignment="1">
      <alignment vertical="center" wrapText="1"/>
    </xf>
    <xf numFmtId="3" fontId="5" fillId="22" borderId="0" xfId="0" applyNumberFormat="1" applyFont="1" applyFill="1" applyAlignment="1">
      <alignment vertical="center" wrapText="1"/>
    </xf>
    <xf numFmtId="0" fontId="5" fillId="22" borderId="0" xfId="0" applyFont="1" applyFill="1" applyAlignment="1">
      <alignment vertical="center" wrapText="1"/>
    </xf>
    <xf numFmtId="3" fontId="5" fillId="21" borderId="0" xfId="0" applyNumberFormat="1" applyFont="1" applyFill="1" applyAlignment="1">
      <alignment vertical="center" wrapText="1"/>
    </xf>
    <xf numFmtId="164" fontId="5" fillId="20" borderId="0" xfId="0" applyNumberFormat="1" applyFont="1" applyFill="1" applyAlignment="1">
      <alignment horizontal="center" vertical="center" wrapText="1"/>
    </xf>
    <xf numFmtId="3" fontId="5" fillId="10" borderId="0" xfId="0" applyNumberFormat="1" applyFont="1" applyFill="1" applyAlignment="1">
      <alignment horizontal="right" vertical="center" wrapText="1"/>
    </xf>
    <xf numFmtId="0" fontId="4" fillId="20" borderId="0" xfId="0" applyFont="1" applyFill="1" applyAlignment="1">
      <alignment vertical="center" wrapText="1"/>
    </xf>
    <xf numFmtId="10" fontId="4" fillId="20" borderId="0" xfId="0" applyNumberFormat="1" applyFont="1" applyFill="1" applyAlignment="1">
      <alignment vertical="center" wrapText="1"/>
    </xf>
    <xf numFmtId="0" fontId="5" fillId="21" borderId="0" xfId="0" applyFont="1" applyFill="1" applyAlignment="1">
      <alignment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4" xfId="0" applyFont="1" applyBorder="1" applyAlignment="1">
      <alignment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3" fontId="42" fillId="0" borderId="4" xfId="0" applyNumberFormat="1" applyFont="1" applyBorder="1" applyAlignment="1">
      <alignment horizontal="right" vertical="center" wrapText="1"/>
    </xf>
    <xf numFmtId="3" fontId="42" fillId="0" borderId="4" xfId="0" applyNumberFormat="1" applyFont="1" applyBorder="1" applyAlignment="1">
      <alignment horizontal="right" vertical="center" wrapText="1"/>
    </xf>
    <xf numFmtId="3" fontId="5" fillId="23" borderId="6" xfId="0" applyNumberFormat="1" applyFont="1" applyFill="1" applyBorder="1" applyAlignment="1">
      <alignment vertical="center" wrapText="1"/>
    </xf>
    <xf numFmtId="3" fontId="39" fillId="0" borderId="4" xfId="0" applyNumberFormat="1" applyFont="1" applyBorder="1" applyAlignment="1">
      <alignment vertical="center" wrapText="1"/>
    </xf>
    <xf numFmtId="3" fontId="39" fillId="0" borderId="0" xfId="0" applyNumberFormat="1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3" fontId="40" fillId="0" borderId="0" xfId="0" applyNumberFormat="1" applyFont="1" applyAlignment="1">
      <alignment horizontal="right" vertical="center" wrapText="1"/>
    </xf>
    <xf numFmtId="10" fontId="39" fillId="0" borderId="0" xfId="0" applyNumberFormat="1" applyFont="1" applyAlignment="1">
      <alignment vertical="center" wrapText="1"/>
    </xf>
    <xf numFmtId="3" fontId="40" fillId="0" borderId="0" xfId="0" applyNumberFormat="1" applyFont="1" applyAlignment="1">
      <alignment horizontal="right" vertical="center" wrapText="1"/>
    </xf>
    <xf numFmtId="0" fontId="42" fillId="0" borderId="0" xfId="0" applyFont="1" applyAlignment="1">
      <alignment vertical="center" wrapText="1"/>
    </xf>
    <xf numFmtId="10" fontId="40" fillId="0" borderId="0" xfId="0" applyNumberFormat="1" applyFont="1" applyAlignment="1">
      <alignment horizontal="right" vertical="center" wrapText="1"/>
    </xf>
    <xf numFmtId="0" fontId="34" fillId="0" borderId="0" xfId="0" applyFont="1" applyAlignment="1">
      <alignment vertical="center" wrapText="1"/>
    </xf>
    <xf numFmtId="3" fontId="39" fillId="0" borderId="0" xfId="0" applyNumberFormat="1" applyFont="1" applyAlignment="1">
      <alignment vertical="center" wrapText="1"/>
    </xf>
    <xf numFmtId="3" fontId="5" fillId="8" borderId="0" xfId="0" applyNumberFormat="1" applyFont="1" applyFill="1" applyAlignment="1">
      <alignment horizontal="center" wrapText="1"/>
    </xf>
    <xf numFmtId="0" fontId="0" fillId="0" borderId="0" xfId="0" applyFont="1" applyAlignment="1">
      <alignment wrapText="1"/>
    </xf>
    <xf numFmtId="3" fontId="18" fillId="8" borderId="0" xfId="0" applyNumberFormat="1" applyFont="1" applyFill="1" applyAlignment="1">
      <alignment wrapText="1"/>
    </xf>
    <xf numFmtId="3" fontId="5" fillId="8" borderId="0" xfId="0" applyNumberFormat="1" applyFont="1" applyFill="1" applyAlignment="1">
      <alignment horizontal="right" wrapText="1"/>
    </xf>
    <xf numFmtId="164" fontId="18" fillId="9" borderId="0" xfId="0" applyNumberFormat="1" applyFont="1" applyFill="1" applyAlignment="1">
      <alignment wrapText="1"/>
    </xf>
    <xf numFmtId="3" fontId="5" fillId="10" borderId="0" xfId="0" applyNumberFormat="1" applyFont="1" applyFill="1" applyAlignment="1">
      <alignment horizontal="right" wrapText="1"/>
    </xf>
    <xf numFmtId="164" fontId="5" fillId="10" borderId="0" xfId="0" applyNumberFormat="1" applyFont="1" applyFill="1" applyAlignment="1">
      <alignment horizontal="center" wrapText="1"/>
    </xf>
    <xf numFmtId="3" fontId="19" fillId="11" borderId="0" xfId="0" applyNumberFormat="1" applyFont="1" applyFill="1" applyAlignment="1">
      <alignment horizontal="right" wrapText="1"/>
    </xf>
    <xf numFmtId="3" fontId="19" fillId="12" borderId="0" xfId="0" applyNumberFormat="1" applyFont="1" applyFill="1" applyAlignment="1">
      <alignment horizontal="right" wrapText="1"/>
    </xf>
    <xf numFmtId="0" fontId="18" fillId="12" borderId="0" xfId="0" applyFont="1" applyFill="1" applyAlignment="1">
      <alignment wrapText="1"/>
    </xf>
    <xf numFmtId="10" fontId="19" fillId="12" borderId="0" xfId="0" applyNumberFormat="1" applyFont="1" applyFill="1" applyAlignment="1">
      <alignment horizontal="center" wrapText="1"/>
    </xf>
    <xf numFmtId="0" fontId="2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wrapText="1"/>
    </xf>
    <xf numFmtId="164" fontId="5" fillId="8" borderId="0" xfId="0" applyNumberFormat="1" applyFont="1" applyFill="1" applyAlignment="1">
      <alignment horizontal="center" wrapText="1"/>
    </xf>
    <xf numFmtId="3" fontId="5" fillId="9" borderId="0" xfId="0" applyNumberFormat="1" applyFont="1" applyFill="1" applyAlignment="1">
      <alignment horizontal="right" wrapText="1"/>
    </xf>
    <xf numFmtId="0" fontId="23" fillId="17" borderId="0" xfId="0" applyFont="1" applyFill="1" applyAlignment="1">
      <alignment wrapText="1"/>
    </xf>
    <xf numFmtId="3" fontId="5" fillId="16" borderId="0" xfId="0" applyNumberFormat="1" applyFont="1" applyFill="1" applyAlignment="1">
      <alignment horizontal="right" wrapText="1"/>
    </xf>
    <xf numFmtId="3" fontId="13" fillId="6" borderId="0" xfId="0" applyNumberFormat="1" applyFont="1" applyFill="1" applyAlignment="1">
      <alignment horizontal="center" vertical="center" wrapText="1"/>
    </xf>
    <xf numFmtId="3" fontId="14" fillId="11" borderId="0" xfId="0" applyNumberFormat="1" applyFont="1" applyFill="1" applyAlignment="1">
      <alignment horizontal="right" wrapText="1"/>
    </xf>
    <xf numFmtId="164" fontId="18" fillId="9" borderId="0" xfId="0" applyNumberFormat="1" applyFont="1" applyFill="1" applyAlignment="1">
      <alignment vertical="center" wrapText="1"/>
    </xf>
    <xf numFmtId="3" fontId="15" fillId="10" borderId="0" xfId="0" applyNumberFormat="1" applyFont="1" applyFill="1" applyAlignment="1">
      <alignment vertical="center" wrapText="1"/>
    </xf>
    <xf numFmtId="164" fontId="15" fillId="10" borderId="0" xfId="0" applyNumberFormat="1" applyFont="1" applyFill="1" applyAlignment="1">
      <alignment vertical="center" wrapText="1"/>
    </xf>
    <xf numFmtId="3" fontId="22" fillId="11" borderId="0" xfId="0" applyNumberFormat="1" applyFont="1" applyFill="1" applyAlignment="1">
      <alignment vertical="center" wrapText="1"/>
    </xf>
    <xf numFmtId="0" fontId="25" fillId="19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5" fillId="8" borderId="0" xfId="0" applyNumberFormat="1" applyFont="1" applyFill="1" applyAlignment="1">
      <alignment horizontal="right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3" fontId="18" fillId="9" borderId="0" xfId="0" applyNumberFormat="1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3" fontId="14" fillId="16" borderId="0" xfId="0" applyNumberFormat="1" applyFont="1" applyFill="1" applyAlignment="1">
      <alignment horizontal="right" wrapText="1"/>
    </xf>
    <xf numFmtId="0" fontId="10" fillId="2" borderId="0" xfId="0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10" fillId="3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horizontal="right" wrapText="1"/>
    </xf>
    <xf numFmtId="164" fontId="5" fillId="11" borderId="0" xfId="0" applyNumberFormat="1" applyFont="1" applyFill="1" applyAlignment="1">
      <alignment horizontal="center" wrapText="1"/>
    </xf>
    <xf numFmtId="164" fontId="18" fillId="8" borderId="0" xfId="0" applyNumberFormat="1" applyFont="1" applyFill="1" applyAlignment="1">
      <alignment wrapText="1"/>
    </xf>
    <xf numFmtId="3" fontId="18" fillId="9" borderId="0" xfId="0" applyNumberFormat="1" applyFont="1" applyFill="1" applyAlignment="1">
      <alignment wrapText="1"/>
    </xf>
    <xf numFmtId="3" fontId="12" fillId="3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10" fontId="10" fillId="2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5" fontId="5" fillId="8" borderId="0" xfId="0" applyNumberFormat="1" applyFont="1" applyFill="1" applyAlignment="1">
      <alignment vertical="center" wrapText="1"/>
    </xf>
    <xf numFmtId="164" fontId="5" fillId="8" borderId="0" xfId="0" applyNumberFormat="1" applyFont="1" applyFill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3" fontId="19" fillId="16" borderId="0" xfId="0" applyNumberFormat="1" applyFont="1" applyFill="1" applyAlignment="1">
      <alignment horizontal="right" wrapText="1"/>
    </xf>
    <xf numFmtId="168" fontId="18" fillId="12" borderId="0" xfId="0" applyNumberFormat="1" applyFont="1" applyFill="1" applyAlignment="1">
      <alignment wrapText="1"/>
    </xf>
    <xf numFmtId="3" fontId="11" fillId="20" borderId="0" xfId="0" applyNumberFormat="1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1" fillId="22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horizontal="right" vertical="center" wrapText="1"/>
    </xf>
    <xf numFmtId="3" fontId="5" fillId="10" borderId="0" xfId="0" applyNumberFormat="1" applyFont="1" applyFill="1" applyAlignment="1">
      <alignment horizontal="right" vertical="center" wrapText="1"/>
    </xf>
    <xf numFmtId="0" fontId="26" fillId="0" borderId="0" xfId="0" applyFont="1" applyAlignment="1">
      <alignment vertical="center" wrapText="1"/>
    </xf>
    <xf numFmtId="3" fontId="5" fillId="8" borderId="0" xfId="0" applyNumberFormat="1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5" fillId="10" borderId="0" xfId="0" applyNumberFormat="1" applyFont="1" applyFill="1" applyAlignment="1">
      <alignment vertical="center" wrapText="1"/>
    </xf>
    <xf numFmtId="3" fontId="4" fillId="10" borderId="0" xfId="0" applyNumberFormat="1" applyFont="1" applyFill="1" applyAlignment="1">
      <alignment vertical="center" wrapText="1"/>
    </xf>
    <xf numFmtId="0" fontId="4" fillId="10" borderId="0" xfId="0" applyFont="1" applyFill="1" applyAlignment="1">
      <alignment horizontal="center" vertical="center" wrapText="1"/>
    </xf>
    <xf numFmtId="3" fontId="30" fillId="20" borderId="0" xfId="0" applyNumberFormat="1" applyFont="1" applyFill="1" applyAlignment="1">
      <alignment horizontal="right" vertical="center" wrapText="1"/>
    </xf>
    <xf numFmtId="171" fontId="30" fillId="20" borderId="0" xfId="0" applyNumberFormat="1" applyFont="1" applyFill="1" applyAlignment="1">
      <alignment horizontal="right" vertical="center" wrapText="1"/>
    </xf>
    <xf numFmtId="3" fontId="29" fillId="21" borderId="0" xfId="0" applyNumberFormat="1" applyFont="1" applyFill="1" applyAlignment="1">
      <alignment vertical="center" wrapText="1"/>
    </xf>
    <xf numFmtId="3" fontId="29" fillId="22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169" fontId="30" fillId="20" borderId="0" xfId="0" applyNumberFormat="1" applyFont="1" applyFill="1" applyAlignment="1">
      <alignment vertical="center" wrapText="1"/>
    </xf>
    <xf numFmtId="3" fontId="32" fillId="20" borderId="0" xfId="0" applyNumberFormat="1" applyFont="1" applyFill="1" applyAlignment="1">
      <alignment horizontal="right" vertical="center" wrapText="1"/>
    </xf>
    <xf numFmtId="164" fontId="18" fillId="10" borderId="0" xfId="0" applyNumberFormat="1" applyFont="1" applyFill="1" applyAlignment="1">
      <alignment vertical="center" wrapText="1"/>
    </xf>
    <xf numFmtId="3" fontId="5" fillId="11" borderId="0" xfId="0" applyNumberFormat="1" applyFont="1" applyFill="1" applyAlignment="1">
      <alignment vertical="center" wrapText="1"/>
    </xf>
    <xf numFmtId="3" fontId="5" fillId="18" borderId="0" xfId="0" applyNumberFormat="1" applyFont="1" applyFill="1" applyAlignment="1">
      <alignment vertical="center" wrapText="1"/>
    </xf>
    <xf numFmtId="3" fontId="27" fillId="10" borderId="0" xfId="0" applyNumberFormat="1" applyFont="1" applyFill="1" applyAlignment="1">
      <alignment horizontal="right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4" fillId="20" borderId="0" xfId="0" applyNumberFormat="1" applyFont="1" applyFill="1" applyAlignment="1">
      <alignment vertical="center" wrapText="1"/>
    </xf>
    <xf numFmtId="164" fontId="5" fillId="20" borderId="0" xfId="0" applyNumberFormat="1" applyFont="1" applyFill="1" applyAlignment="1">
      <alignment horizontal="center" vertical="center" wrapText="1"/>
    </xf>
    <xf numFmtId="3" fontId="5" fillId="21" borderId="0" xfId="0" applyNumberFormat="1" applyFont="1" applyFill="1" applyAlignment="1">
      <alignment vertical="center" wrapText="1"/>
    </xf>
    <xf numFmtId="0" fontId="37" fillId="0" borderId="0" xfId="0" applyFont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1" fillId="0" borderId="5" xfId="0" applyFont="1" applyBorder="1" applyAlignment="1">
      <alignment wrapText="1"/>
    </xf>
    <xf numFmtId="0" fontId="40" fillId="0" borderId="3" xfId="0" applyFont="1" applyBorder="1" applyAlignment="1">
      <alignment horizontal="center" vertical="center" wrapText="1"/>
    </xf>
    <xf numFmtId="0" fontId="41" fillId="0" borderId="4" xfId="0" applyFont="1" applyBorder="1" applyAlignment="1">
      <alignment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wrapText="1"/>
    </xf>
    <xf numFmtId="0" fontId="39" fillId="0" borderId="0" xfId="0" applyFont="1" applyAlignment="1">
      <alignment vertical="center" wrapText="1"/>
    </xf>
    <xf numFmtId="3" fontId="39" fillId="0" borderId="0" xfId="0" applyNumberFormat="1" applyFont="1" applyAlignment="1">
      <alignment vertical="center" wrapText="1"/>
    </xf>
    <xf numFmtId="3" fontId="40" fillId="0" borderId="0" xfId="0" applyNumberFormat="1" applyFont="1" applyAlignment="1">
      <alignment horizontal="right" vertical="center" wrapText="1"/>
    </xf>
    <xf numFmtId="0" fontId="4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ocumenttasks/documenttask1.xml><?xml version="1.0" encoding="utf-8"?>
<Tasks xmlns="http://schemas.microsoft.com/office/tasks/2019/documenttasks"/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0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8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4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09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16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0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8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4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02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09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16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3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5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6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>
  <x18tc:person displayName="Hien Nguyen Thu" id="{d6bfd769-f70a-4a8f-bdb4-3094ddbf9508}" providerId="google-sheets"/>
  <x18tc:person displayName="huong loan" id="{066e8f28-586b-43b9-b11c-9ac7f003ff0b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70" dT="2026-02-04T07:47:47.00" personId="{d6bfd769-f70a-4a8f-bdb4-3094ddbf9508}" id="{3b908370-4401-4562-8b5a-51128334dfa5}" done="0">
    <x18tc:text xml:space="preserve">28</x18tc:text>
  </x18tc:threadedComment>
  <x18tc:threadedComment ref="A1" dT="2026-01-28T08:17:32.00" personId="{d6bfd769-f70a-4a8f-bdb4-3094ddbf9508}" id="{ca97b176-1802-41c6-a073-262fe8038c41}" done="0">
    <x18tc:text xml:space="preserve">28</x18tc:text>
  </x18tc:threadedComment>
  <x18tc:threadedComment ref="R71" dT="2026-02-27T02:40:31.00" personId="{066e8f28-586b-43b9-b11c-9ac7f003ff0b}" id="{462af11d-3526-4b16-9603-cfd43321211f}" done="0">
    <x18tc:text xml:space="preserve">Cty Đông Thái Sơn 200tr, ký HĐ 100tr, 100tr nhận ngoài ký qua Digicon phí 28%</x18tc:text>
  </x18tc:threadedComment>
  <x18tc:threadedComment ref="I68" dT="2026-02-04T09:02:20.00" personId="{d6bfd769-f70a-4a8f-bdb4-3094ddbf9508}" id="{3bc7724a-2776-46bb-aa66-2e33a044e4d2}" done="0">
    <x18tc:text xml:space="preserve">36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M9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2578125" defaultRowHeight="12.75" customHeight="1" outlineLevelCol="1"/>
  <cols>
    <col min="1" max="1" width="21.140625" customWidth="1"/>
    <col min="2" max="2" width="23.42578125" customWidth="1"/>
    <col min="3" max="3" width="13.85546875" customWidth="1"/>
    <col min="4" max="4" width="16.42578125" customWidth="1"/>
    <col min="5" max="5" width="15.140625" customWidth="1"/>
    <col min="6" max="6" width="14.42578125" customWidth="1"/>
    <col min="7" max="7" width="13.7109375" customWidth="1"/>
    <col min="8" max="8" width="14" customWidth="1"/>
    <col min="9" max="9" width="13.85546875" customWidth="1"/>
    <col min="10" max="10" width="12" customWidth="1"/>
    <col min="11" max="11" width="15.5703125" customWidth="1" outlineLevel="1"/>
    <col min="12" max="12" width="12.28515625" customWidth="1" outlineLevel="1"/>
    <col min="13" max="13" width="13.28515625" customWidth="1" outlineLevel="1"/>
    <col min="14" max="14" width="14.140625" customWidth="1"/>
    <col min="15" max="15" width="7.5703125" customWidth="1"/>
    <col min="16" max="16" width="9.42578125" customWidth="1"/>
    <col min="17" max="17" width="6.5703125" customWidth="1"/>
    <col min="18" max="18" width="13.85546875" customWidth="1"/>
    <col min="19" max="19" width="6.28515625" customWidth="1"/>
    <col min="20" max="20" width="13.85546875" customWidth="1"/>
    <col min="21" max="21" width="6.42578125" customWidth="1"/>
    <col min="22" max="22" width="13.85546875" customWidth="1"/>
    <col min="23" max="23" width="6.7109375" customWidth="1"/>
    <col min="24" max="25" width="14.7109375" customWidth="1"/>
    <col min="26" max="26" width="9.5703125" customWidth="1"/>
    <col min="27" max="27" width="6.42578125" customWidth="1"/>
    <col min="28" max="28" width="16.5703125" customWidth="1"/>
    <col min="29" max="29" width="6.28515625" customWidth="1"/>
    <col min="30" max="30" width="16.5703125" customWidth="1"/>
    <col min="31" max="36" width="16.5703125" hidden="1" customWidth="1"/>
    <col min="37" max="37" width="21.85546875" hidden="1" customWidth="1"/>
    <col min="38" max="38" width="10" hidden="1" customWidth="1"/>
    <col min="39" max="39" width="17.28515625" customWidth="1"/>
  </cols>
  <sheetData>
    <row r="1" spans="1:39" ht="22.5">
      <c r="A1" s="375" t="s">
        <v>0</v>
      </c>
      <c r="B1" s="330"/>
      <c r="C1" s="1"/>
      <c r="D1" s="1"/>
      <c r="E1" s="377" t="str">
        <f ca="1">IFERROR(__xludf.DUMMYFUNCTION("(""Hoàn thành: ""&amp;(ROUND(((E2/1000000)/(IMPORTRANGE(""1OJOnWwpEKtRDfqPM9y8n3riOwSDhic9dEempHJH7DmA"", ""Sản lượng ký kết!P13""))),4)*100))&amp;""%"""),"Hoàn thành: 11.07%")</f>
        <v>Hoàn thành: 11.07%</v>
      </c>
      <c r="F1" s="330"/>
      <c r="G1" s="3" t="e">
        <f>I78+#REF!+#REF!+#REF!+#REF!+#REF!+#REF!+#REF!+#REF!+#REF!+#REF!+#REF!+#REF!+#REF!+#REF!+#REF!</f>
        <v>#REF!</v>
      </c>
      <c r="H1" s="4"/>
      <c r="I1" s="376" t="str">
        <f ca="1">IFERROR(__xludf.DUMMYFUNCTION("(""Hoàn thành: ""&amp;(ROUND(((I2/1000000)/(IMPORTRANGE(""1OJOnWwpEKtRDfqPM9y8n3riOwSDhic9dEempHJH7DmA"", ""Tổng hợp Doanh thu!P13""))),4)*100))&amp;""%"""),"Hoàn thành: 0.15%")</f>
        <v>Hoàn thành: 0.15%</v>
      </c>
      <c r="J1" s="330"/>
      <c r="K1" s="376" t="str">
        <f ca="1">IFERROR(__xludf.DUMMYFUNCTION("(""Hoàn thành: ""&amp;(ROUND(((K2/1000000)/(IMPORTRANGE(""1OJOnWwpEKtRDfqPM9y8n3riOwSDhic9dEempHJH7DmA"", ""Tổng hợp Doanh thu!P13""))),4)*100))&amp;""%"""),"Hoàn thành: 2.73%")</f>
        <v>Hoàn thành: 2.73%</v>
      </c>
      <c r="L1" s="330"/>
      <c r="M1" s="330"/>
      <c r="N1" s="376" t="str">
        <f ca="1">IFERROR(__xludf.DUMMYFUNCTION("(""Hoàn thành: ""&amp;(ROUND(((N2/1000000)/(IMPORTRANGE(""1OJOnWwpEKtRDfqPM9y8n3riOwSDhic9dEempHJH7DmA"", ""Lợi nhuận gộp quản trị!P13""))),4)*100))&amp;""%"""),"#REF!")</f>
        <v>#REF!</v>
      </c>
      <c r="O1" s="330"/>
      <c r="P1" s="330"/>
      <c r="Q1" s="6"/>
      <c r="R1" s="6"/>
      <c r="S1" s="6"/>
      <c r="T1" s="6"/>
      <c r="U1" s="6"/>
      <c r="V1" s="6"/>
      <c r="W1" s="6"/>
      <c r="X1" s="6"/>
      <c r="Y1" s="6"/>
      <c r="Z1" s="7"/>
      <c r="AA1" s="8"/>
      <c r="AB1" s="8"/>
      <c r="AC1" s="8"/>
      <c r="AD1" s="8"/>
      <c r="AE1" s="8"/>
      <c r="AF1" s="8"/>
      <c r="AG1" s="8"/>
      <c r="AH1" s="9"/>
      <c r="AI1" s="8"/>
      <c r="AJ1" s="8"/>
      <c r="AK1" s="8"/>
      <c r="AL1" s="8"/>
      <c r="AM1" s="8"/>
    </row>
    <row r="2" spans="1:39" ht="22.5">
      <c r="A2" s="1"/>
      <c r="B2" s="1"/>
      <c r="C2" s="1"/>
      <c r="D2" s="1"/>
      <c r="E2" s="2">
        <f>SUM(E78:E975)/2</f>
        <v>1993466000</v>
      </c>
      <c r="F2" s="10" t="str">
        <f ca="1">IFERROR(__xludf.DUMMYFUNCTION("IMPORTRANGE(""1OJOnWwpEKtRDfqPM9y8n3riOwSDhic9dEempHJH7DmA"", ""Sản lượng ký kết!P13"")/1000 &amp; "" tỷ"""),"18 tỷ")</f>
        <v>18 tỷ</v>
      </c>
      <c r="G2" s="11"/>
      <c r="H2" s="10"/>
      <c r="I2" s="5">
        <f>SUM(I78:I98)/2</f>
        <v>18518519</v>
      </c>
      <c r="J2" s="10" t="str">
        <f ca="1">IFERROR(__xludf.DUMMYFUNCTION("IMPORTRANGE(""1OJOnWwpEKtRDfqPM9y8n3riOwSDhic9dEempHJH7DmA"", ""Tổng hợp Doanh thu!P13"")/1000 &amp;"" tỷ"""),"12 tỷ")</f>
        <v>12 tỷ</v>
      </c>
      <c r="K2" s="5">
        <f>SUM(K78:K975)/2</f>
        <v>327269900</v>
      </c>
      <c r="L2" s="12"/>
      <c r="M2" s="13">
        <f t="shared" ref="M2:N2" si="0">SUM(M78:M975)/2</f>
        <v>0.51999999955296516</v>
      </c>
      <c r="N2" s="5" t="e">
        <f t="shared" si="0"/>
        <v>#REF!</v>
      </c>
      <c r="O2" s="14"/>
      <c r="P2" s="15" t="str">
        <f ca="1">IFERROR(__xludf.DUMMYFUNCTION("IMPORTRANGE(""1OJOnWwpEKtRDfqPM9y8n3riOwSDhic9dEempHJH7DmA"", ""Lợi nhuận gộp quản trị!P13"")/1000 &amp; "" tỷ"""),"6.6 tỷ")</f>
        <v>6.6 tỷ</v>
      </c>
      <c r="Q2" s="16" t="e">
        <f>SUM(Q6:Q83)</f>
        <v>#REF!</v>
      </c>
      <c r="R2" s="16"/>
      <c r="S2" s="16"/>
      <c r="T2" s="16"/>
      <c r="U2" s="16"/>
      <c r="V2" s="16" t="e">
        <f>SUM(V6:V83)</f>
        <v>#REF!</v>
      </c>
      <c r="W2" s="6"/>
      <c r="X2" s="6"/>
      <c r="Y2" s="6"/>
      <c r="Z2" s="17"/>
      <c r="AA2" s="5"/>
      <c r="AB2" s="5"/>
      <c r="AC2" s="5"/>
      <c r="AD2" s="5"/>
      <c r="AE2" s="5">
        <f t="shared" ref="AE2:AG2" si="1">SUM(AE78:AE79)</f>
        <v>16567488620.800001</v>
      </c>
      <c r="AF2" s="5">
        <f t="shared" si="1"/>
        <v>8387365296.1536007</v>
      </c>
      <c r="AG2" s="5">
        <f t="shared" si="1"/>
        <v>407033600</v>
      </c>
      <c r="AH2" s="9"/>
      <c r="AI2" s="5">
        <f>SUM(AI78:AI79)</f>
        <v>0</v>
      </c>
      <c r="AJ2" s="8"/>
      <c r="AK2" s="8"/>
      <c r="AL2" s="8"/>
      <c r="AM2" s="8"/>
    </row>
    <row r="3" spans="1:39" ht="17.25" customHeight="1">
      <c r="A3" s="361" t="s">
        <v>1</v>
      </c>
      <c r="B3" s="361" t="s">
        <v>2</v>
      </c>
      <c r="C3" s="361" t="s">
        <v>3</v>
      </c>
      <c r="D3" s="361" t="s">
        <v>4</v>
      </c>
      <c r="E3" s="362" t="s">
        <v>5</v>
      </c>
      <c r="F3" s="330"/>
      <c r="G3" s="363" t="s">
        <v>6</v>
      </c>
      <c r="H3" s="330"/>
      <c r="I3" s="363" t="s">
        <v>7</v>
      </c>
      <c r="J3" s="330"/>
      <c r="K3" s="363" t="s">
        <v>8</v>
      </c>
      <c r="L3" s="330"/>
      <c r="M3" s="330"/>
      <c r="N3" s="373" t="s">
        <v>9</v>
      </c>
      <c r="O3" s="330"/>
      <c r="P3" s="330"/>
      <c r="Q3" s="365" t="s">
        <v>10</v>
      </c>
      <c r="R3" s="330"/>
      <c r="S3" s="330"/>
      <c r="T3" s="330"/>
      <c r="U3" s="365" t="s">
        <v>11</v>
      </c>
      <c r="V3" s="330"/>
      <c r="W3" s="330"/>
      <c r="X3" s="330"/>
      <c r="Y3" s="365" t="s">
        <v>12</v>
      </c>
      <c r="Z3" s="330"/>
      <c r="AA3" s="366" t="s">
        <v>13</v>
      </c>
      <c r="AB3" s="330"/>
      <c r="AC3" s="366" t="s">
        <v>14</v>
      </c>
      <c r="AD3" s="330"/>
      <c r="AE3" s="21" t="s">
        <v>15</v>
      </c>
      <c r="AF3" s="21" t="s">
        <v>16</v>
      </c>
      <c r="AG3" s="364" t="s">
        <v>17</v>
      </c>
      <c r="AH3" s="330"/>
      <c r="AI3" s="364" t="s">
        <v>18</v>
      </c>
      <c r="AJ3" s="330"/>
      <c r="AK3" s="364" t="s">
        <v>19</v>
      </c>
      <c r="AL3" s="364" t="s">
        <v>20</v>
      </c>
      <c r="AM3" s="22"/>
    </row>
    <row r="4" spans="1:39" ht="15.75" customHeight="1">
      <c r="A4" s="330"/>
      <c r="B4" s="330"/>
      <c r="C4" s="330"/>
      <c r="D4" s="330"/>
      <c r="E4" s="362" t="s">
        <v>21</v>
      </c>
      <c r="F4" s="378" t="s">
        <v>22</v>
      </c>
      <c r="G4" s="363" t="s">
        <v>21</v>
      </c>
      <c r="H4" s="367" t="s">
        <v>22</v>
      </c>
      <c r="I4" s="363" t="s">
        <v>21</v>
      </c>
      <c r="J4" s="367" t="s">
        <v>23</v>
      </c>
      <c r="K4" s="363" t="s">
        <v>24</v>
      </c>
      <c r="L4" s="367" t="s">
        <v>25</v>
      </c>
      <c r="M4" s="372" t="s">
        <v>26</v>
      </c>
      <c r="N4" s="373" t="s">
        <v>21</v>
      </c>
      <c r="O4" s="361" t="s">
        <v>27</v>
      </c>
      <c r="P4" s="374" t="s">
        <v>28</v>
      </c>
      <c r="Q4" s="365" t="s">
        <v>29</v>
      </c>
      <c r="R4" s="330"/>
      <c r="S4" s="365" t="s">
        <v>30</v>
      </c>
      <c r="T4" s="330"/>
      <c r="U4" s="365" t="s">
        <v>31</v>
      </c>
      <c r="V4" s="330"/>
      <c r="W4" s="365" t="s">
        <v>32</v>
      </c>
      <c r="X4" s="330"/>
      <c r="Y4" s="365" t="s">
        <v>33</v>
      </c>
      <c r="Z4" s="366" t="s">
        <v>34</v>
      </c>
      <c r="AA4" s="365" t="s">
        <v>35</v>
      </c>
      <c r="AB4" s="365" t="s">
        <v>36</v>
      </c>
      <c r="AC4" s="365" t="s">
        <v>35</v>
      </c>
      <c r="AD4" s="365" t="s">
        <v>36</v>
      </c>
      <c r="AE4" s="21"/>
      <c r="AF4" s="21"/>
      <c r="AG4" s="21"/>
      <c r="AH4" s="26"/>
      <c r="AI4" s="21"/>
      <c r="AJ4" s="21"/>
      <c r="AK4" s="330"/>
      <c r="AL4" s="330"/>
      <c r="AM4" s="27"/>
    </row>
    <row r="5" spans="1:39" ht="15.75" customHeight="1">
      <c r="A5" s="330"/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20" t="s">
        <v>35</v>
      </c>
      <c r="R5" s="20" t="s">
        <v>33</v>
      </c>
      <c r="S5" s="20" t="s">
        <v>35</v>
      </c>
      <c r="T5" s="20" t="s">
        <v>33</v>
      </c>
      <c r="U5" s="20" t="s">
        <v>35</v>
      </c>
      <c r="V5" s="20" t="s">
        <v>36</v>
      </c>
      <c r="W5" s="20" t="s">
        <v>35</v>
      </c>
      <c r="X5" s="20" t="s">
        <v>36</v>
      </c>
      <c r="Y5" s="330"/>
      <c r="Z5" s="330"/>
      <c r="AA5" s="330"/>
      <c r="AB5" s="330"/>
      <c r="AC5" s="330"/>
      <c r="AD5" s="330"/>
      <c r="AE5" s="21" t="s">
        <v>37</v>
      </c>
      <c r="AF5" s="21" t="s">
        <v>37</v>
      </c>
      <c r="AG5" s="21" t="s">
        <v>38</v>
      </c>
      <c r="AH5" s="26" t="s">
        <v>39</v>
      </c>
      <c r="AI5" s="21" t="s">
        <v>38</v>
      </c>
      <c r="AJ5" s="21" t="s">
        <v>40</v>
      </c>
      <c r="AK5" s="330"/>
      <c r="AL5" s="330"/>
      <c r="AM5" s="27"/>
    </row>
    <row r="6" spans="1:39" ht="25.5" customHeight="1">
      <c r="A6" s="359" t="s">
        <v>41</v>
      </c>
      <c r="B6" s="330"/>
      <c r="C6" s="28"/>
      <c r="D6" s="28"/>
      <c r="E6" s="29" t="e">
        <f>SUM(#REF!)</f>
        <v>#REF!</v>
      </c>
      <c r="F6" s="30"/>
      <c r="G6" s="31"/>
      <c r="H6" s="30"/>
      <c r="I6" s="31" t="e">
        <f>SUM(I7:I77)-I7-I8-I9-#REF!-#REF!-#REF!-#REF!-#REF!-#REF!-#REF!-#REF!-#REF!-#REF!-#REF!-#REF!</f>
        <v>#REF!</v>
      </c>
      <c r="J6" s="31"/>
      <c r="K6" s="31">
        <f>SUM(K7:K77)</f>
        <v>23212618824</v>
      </c>
      <c r="L6" s="32"/>
      <c r="M6" s="33"/>
      <c r="N6" s="31" t="e">
        <f>SUM(#REF!)</f>
        <v>#REF!</v>
      </c>
      <c r="O6" s="347"/>
      <c r="P6" s="330"/>
      <c r="Q6" s="34"/>
      <c r="R6" s="35"/>
      <c r="S6" s="34"/>
      <c r="T6" s="35"/>
      <c r="U6" s="34"/>
      <c r="V6" s="35"/>
      <c r="W6" s="34"/>
      <c r="X6" s="35"/>
      <c r="Y6" s="35"/>
      <c r="Z6" s="36"/>
      <c r="AA6" s="37"/>
      <c r="AB6" s="31"/>
      <c r="AC6" s="37"/>
      <c r="AD6" s="31"/>
      <c r="AE6" s="38"/>
      <c r="AF6" s="38"/>
      <c r="AG6" s="38"/>
      <c r="AH6" s="39"/>
      <c r="AI6" s="38"/>
      <c r="AJ6" s="40"/>
      <c r="AK6" s="40"/>
      <c r="AL6" s="41"/>
      <c r="AM6" s="41"/>
    </row>
    <row r="7" spans="1:39" ht="22.5" customHeight="1">
      <c r="A7" s="381" t="str">
        <f>HYPERLINK("https://docs.google.com/spreadsheets/d/1vCOoengzj4u-lf-Olvw85ysitfzOfclGKPXAtoEPy0A/edit?pli=1#gid=1432826596","01/PPXD-CICHĐ2023")</f>
        <v>01/PPXD-CICHĐ2023</v>
      </c>
      <c r="B7" s="354" t="s">
        <v>42</v>
      </c>
      <c r="C7" s="44"/>
      <c r="D7" s="354" t="s">
        <v>43</v>
      </c>
      <c r="E7" s="379">
        <v>4300000000</v>
      </c>
      <c r="F7" s="380">
        <v>44957</v>
      </c>
      <c r="G7" s="46"/>
      <c r="H7" s="47"/>
      <c r="I7" s="48">
        <v>860000000</v>
      </c>
      <c r="J7" s="49">
        <v>44959</v>
      </c>
      <c r="K7" s="50">
        <v>946000000</v>
      </c>
      <c r="L7" s="51">
        <v>44966</v>
      </c>
      <c r="M7" s="52">
        <f>I7*1.1-K7</f>
        <v>0</v>
      </c>
      <c r="N7" s="53"/>
      <c r="O7" s="54"/>
      <c r="P7" s="55"/>
      <c r="Q7" s="56"/>
      <c r="R7" s="57"/>
      <c r="S7" s="56"/>
      <c r="T7" s="57"/>
      <c r="U7" s="56"/>
      <c r="V7" s="57"/>
      <c r="W7" s="56"/>
      <c r="X7" s="57"/>
      <c r="Y7" s="57"/>
      <c r="Z7" s="58"/>
      <c r="AA7" s="59"/>
      <c r="AB7" s="58"/>
      <c r="AC7" s="59"/>
      <c r="AD7" s="58"/>
      <c r="AE7" s="60"/>
      <c r="AF7" s="60"/>
      <c r="AG7" s="60"/>
      <c r="AH7" s="61"/>
      <c r="AI7" s="60"/>
      <c r="AJ7" s="62"/>
      <c r="AK7" s="63"/>
      <c r="AL7" s="64"/>
      <c r="AM7" s="64"/>
    </row>
    <row r="8" spans="1:39" ht="22.5" customHeight="1">
      <c r="A8" s="330"/>
      <c r="B8" s="330"/>
      <c r="C8" s="44"/>
      <c r="D8" s="330"/>
      <c r="E8" s="330"/>
      <c r="F8" s="330"/>
      <c r="G8" s="46"/>
      <c r="H8" s="47"/>
      <c r="I8" s="48">
        <v>1290000000</v>
      </c>
      <c r="J8" s="49">
        <v>45286</v>
      </c>
      <c r="K8" s="50">
        <v>1393200000</v>
      </c>
      <c r="L8" s="51">
        <v>45443</v>
      </c>
      <c r="M8" s="52">
        <f t="shared" ref="M8:M12" si="2">I8*1.08-K8</f>
        <v>0</v>
      </c>
      <c r="N8" s="53"/>
      <c r="O8" s="54"/>
      <c r="P8" s="55"/>
      <c r="Q8" s="56"/>
      <c r="R8" s="57"/>
      <c r="S8" s="56"/>
      <c r="T8" s="57"/>
      <c r="U8" s="56"/>
      <c r="V8" s="57"/>
      <c r="W8" s="56"/>
      <c r="X8" s="57"/>
      <c r="Y8" s="57"/>
      <c r="Z8" s="65"/>
      <c r="AA8" s="59"/>
      <c r="AB8" s="65"/>
      <c r="AC8" s="59"/>
      <c r="AD8" s="65"/>
      <c r="AE8" s="66">
        <f>1800000000*AH8</f>
        <v>540000000</v>
      </c>
      <c r="AF8" s="66">
        <f>(804100000+201025000)*AH8</f>
        <v>301537500</v>
      </c>
      <c r="AG8" s="66">
        <v>1290000000</v>
      </c>
      <c r="AH8" s="67">
        <v>0.3</v>
      </c>
      <c r="AI8" s="66">
        <f>AG8*1.08</f>
        <v>1393200000</v>
      </c>
      <c r="AJ8" s="62" t="s">
        <v>44</v>
      </c>
      <c r="AK8" s="63"/>
      <c r="AL8" s="64" t="s">
        <v>45</v>
      </c>
      <c r="AM8" s="64"/>
    </row>
    <row r="9" spans="1:39" ht="22.5" customHeight="1">
      <c r="A9" s="330"/>
      <c r="B9" s="330"/>
      <c r="C9" s="44"/>
      <c r="D9" s="330"/>
      <c r="E9" s="330"/>
      <c r="F9" s="330"/>
      <c r="G9" s="46"/>
      <c r="H9" s="47"/>
      <c r="I9" s="68">
        <v>1290000000</v>
      </c>
      <c r="J9" s="49">
        <v>45646</v>
      </c>
      <c r="K9" s="50">
        <v>1393200000</v>
      </c>
      <c r="L9" s="69">
        <v>46021</v>
      </c>
      <c r="M9" s="70">
        <f t="shared" si="2"/>
        <v>0</v>
      </c>
      <c r="N9" s="53"/>
      <c r="O9" s="54"/>
      <c r="P9" s="55"/>
      <c r="Q9" s="71"/>
      <c r="R9" s="72"/>
      <c r="S9" s="71"/>
      <c r="T9" s="72"/>
      <c r="U9" s="71"/>
      <c r="V9" s="72"/>
      <c r="W9" s="56"/>
      <c r="X9" s="57"/>
      <c r="Y9" s="57"/>
      <c r="Z9" s="58"/>
      <c r="AA9" s="59"/>
      <c r="AB9" s="58"/>
      <c r="AC9" s="59"/>
      <c r="AD9" s="58"/>
      <c r="AE9" s="60"/>
      <c r="AF9" s="60"/>
      <c r="AG9" s="60"/>
      <c r="AH9" s="61"/>
      <c r="AI9" s="60"/>
      <c r="AJ9" s="62"/>
      <c r="AK9" s="63"/>
      <c r="AL9" s="64"/>
      <c r="AM9" s="64"/>
    </row>
    <row r="10" spans="1:39" ht="18" customHeight="1">
      <c r="A10" s="340" t="str">
        <f>HYPERLINK("https://docs.google.com/spreadsheets/d/1qGsXBQA7UK_C9LOomu1EW4PbhsRPWpCf9o9ByaiP77Y/edit?pli=1#gid=2016873918","01/BIM-CICHĐ2024")</f>
        <v>01/BIM-CICHĐ2024</v>
      </c>
      <c r="B10" s="341" t="s">
        <v>46</v>
      </c>
      <c r="C10" s="342"/>
      <c r="D10" s="341" t="s">
        <v>47</v>
      </c>
      <c r="E10" s="332">
        <v>5095744000</v>
      </c>
      <c r="F10" s="343">
        <v>45341</v>
      </c>
      <c r="G10" s="78"/>
      <c r="H10" s="79"/>
      <c r="I10" s="80">
        <v>242047840</v>
      </c>
      <c r="J10" s="81">
        <v>45357</v>
      </c>
      <c r="K10" s="82">
        <v>261411667</v>
      </c>
      <c r="L10" s="83">
        <v>45365</v>
      </c>
      <c r="M10" s="84">
        <f t="shared" si="2"/>
        <v>0.20000001788139343</v>
      </c>
      <c r="N10" s="85">
        <v>0</v>
      </c>
      <c r="O10" s="86"/>
      <c r="P10" s="87"/>
      <c r="Q10" s="88"/>
      <c r="R10" s="88"/>
      <c r="S10" s="88"/>
      <c r="T10" s="88"/>
      <c r="U10" s="88"/>
      <c r="V10" s="88"/>
      <c r="W10" s="88"/>
      <c r="X10" s="88"/>
      <c r="Y10" s="88"/>
      <c r="Z10" s="89"/>
      <c r="AA10" s="89"/>
      <c r="AB10" s="89"/>
      <c r="AC10" s="89"/>
      <c r="AD10" s="89"/>
      <c r="AE10" s="90" t="e">
        <f t="shared" ref="AE10:AE12" si="3">2038300000*AH10</f>
        <v>#REF!</v>
      </c>
      <c r="AF10" s="90" t="e">
        <f t="shared" ref="AF10:AF12" si="4">(825510528+206377632)*AH10</f>
        <v>#REF!</v>
      </c>
      <c r="AG10" s="90">
        <f t="shared" ref="AG10:AG11" si="5">I10</f>
        <v>242047840</v>
      </c>
      <c r="AH10" s="91" t="e">
        <f t="shared" ref="AH10:AH12" si="6">AG10/#REF!</f>
        <v>#REF!</v>
      </c>
      <c r="AI10" s="92"/>
      <c r="AJ10" s="93"/>
      <c r="AK10" s="93"/>
      <c r="AL10" s="75"/>
      <c r="AM10" s="75"/>
    </row>
    <row r="11" spans="1:39" ht="18" customHeight="1">
      <c r="A11" s="330"/>
      <c r="B11" s="330"/>
      <c r="C11" s="330"/>
      <c r="D11" s="330"/>
      <c r="E11" s="330"/>
      <c r="F11" s="330"/>
      <c r="G11" s="78"/>
      <c r="H11" s="79"/>
      <c r="I11" s="80">
        <v>1210239200</v>
      </c>
      <c r="J11" s="81">
        <v>45433</v>
      </c>
      <c r="K11" s="82">
        <v>1307058336</v>
      </c>
      <c r="L11" s="83">
        <v>45456</v>
      </c>
      <c r="M11" s="84">
        <f t="shared" si="2"/>
        <v>0</v>
      </c>
      <c r="N11" s="85">
        <v>0</v>
      </c>
      <c r="O11" s="86"/>
      <c r="P11" s="87"/>
      <c r="Q11" s="88"/>
      <c r="R11" s="88"/>
      <c r="S11" s="88"/>
      <c r="T11" s="88"/>
      <c r="U11" s="88"/>
      <c r="V11" s="88"/>
      <c r="W11" s="88"/>
      <c r="X11" s="88"/>
      <c r="Y11" s="88"/>
      <c r="Z11" s="89"/>
      <c r="AA11" s="89"/>
      <c r="AB11" s="89"/>
      <c r="AC11" s="89"/>
      <c r="AD11" s="89"/>
      <c r="AE11" s="90" t="e">
        <f t="shared" si="3"/>
        <v>#REF!</v>
      </c>
      <c r="AF11" s="90" t="e">
        <f t="shared" si="4"/>
        <v>#REF!</v>
      </c>
      <c r="AG11" s="90">
        <f t="shared" si="5"/>
        <v>1210239200</v>
      </c>
      <c r="AH11" s="91" t="e">
        <f t="shared" si="6"/>
        <v>#REF!</v>
      </c>
      <c r="AI11" s="94">
        <f>AG11*1.08</f>
        <v>1307058336</v>
      </c>
      <c r="AJ11" s="95" t="s">
        <v>44</v>
      </c>
      <c r="AK11" s="93"/>
      <c r="AL11" s="75"/>
      <c r="AM11" s="75"/>
    </row>
    <row r="12" spans="1:39" ht="18" customHeight="1">
      <c r="A12" s="330"/>
      <c r="B12" s="330"/>
      <c r="C12" s="330"/>
      <c r="D12" s="330"/>
      <c r="E12" s="330"/>
      <c r="F12" s="330"/>
      <c r="G12" s="78"/>
      <c r="H12" s="79"/>
      <c r="I12" s="96">
        <v>484095680</v>
      </c>
      <c r="J12" s="97">
        <v>45789</v>
      </c>
      <c r="K12" s="98">
        <v>522823334</v>
      </c>
      <c r="L12" s="99">
        <v>45813</v>
      </c>
      <c r="M12" s="100">
        <f t="shared" si="2"/>
        <v>0.40000003576278687</v>
      </c>
      <c r="N12" s="85">
        <f>I12-R12-T12-X12</f>
        <v>193657408</v>
      </c>
      <c r="O12" s="86"/>
      <c r="P12" s="101">
        <f>N12/I12</f>
        <v>0.40003952937568044</v>
      </c>
      <c r="Q12" s="102">
        <v>40</v>
      </c>
      <c r="R12" s="76">
        <f>(4840956800)*40%*10%</f>
        <v>193638272</v>
      </c>
      <c r="S12" s="103">
        <v>0</v>
      </c>
      <c r="T12" s="88"/>
      <c r="U12" s="103">
        <v>15</v>
      </c>
      <c r="V12" s="104">
        <f>ROUND((I12*U12%),-5)</f>
        <v>72600000</v>
      </c>
      <c r="W12" s="103">
        <f>X12/I12*100</f>
        <v>19.996047062431956</v>
      </c>
      <c r="X12" s="104">
        <f>V12/0.75</f>
        <v>96800000</v>
      </c>
      <c r="Y12" s="104">
        <f>(284430000-R12)*0.8</f>
        <v>72633382.400000006</v>
      </c>
      <c r="Z12" s="105" t="s">
        <v>48</v>
      </c>
      <c r="AA12" s="89"/>
      <c r="AB12" s="106">
        <f>I12*AA12%</f>
        <v>0</v>
      </c>
      <c r="AC12" s="107">
        <v>5</v>
      </c>
      <c r="AD12" s="106">
        <f>I12*AC12%</f>
        <v>24204784</v>
      </c>
      <c r="AE12" s="94" t="e">
        <f t="shared" si="3"/>
        <v>#REF!</v>
      </c>
      <c r="AF12" s="94" t="e">
        <f t="shared" si="4"/>
        <v>#REF!</v>
      </c>
      <c r="AG12" s="94">
        <v>1019148800</v>
      </c>
      <c r="AH12" s="91" t="e">
        <f t="shared" si="6"/>
        <v>#REF!</v>
      </c>
      <c r="AI12" s="92"/>
      <c r="AJ12" s="93"/>
      <c r="AK12" s="93"/>
      <c r="AL12" s="75"/>
      <c r="AM12" s="75"/>
    </row>
    <row r="13" spans="1:39" ht="63.75">
      <c r="A13" s="73" t="str">
        <f>HYPERLINK("https://docs.google.com/spreadsheets/d/1qGsXBQA7UK_C9LOomu1EW4PbhsRPWpCf9o9ByaiP77Y/edit?pli=1&amp;gid=1085142603#gid=1085142603","09/BIM-CICHĐ2024")</f>
        <v>09/BIM-CICHĐ2024</v>
      </c>
      <c r="B13" s="74" t="s">
        <v>49</v>
      </c>
      <c r="C13" s="75"/>
      <c r="D13" s="74" t="s">
        <v>47</v>
      </c>
      <c r="E13" s="76">
        <v>344000000</v>
      </c>
      <c r="F13" s="108"/>
      <c r="G13" s="109"/>
      <c r="H13" s="110"/>
      <c r="I13" s="80" t="s">
        <v>50</v>
      </c>
      <c r="J13" s="111"/>
      <c r="K13" s="112">
        <v>103200000</v>
      </c>
      <c r="L13" s="83">
        <v>45721</v>
      </c>
      <c r="M13" s="113"/>
      <c r="N13" s="85">
        <v>0</v>
      </c>
      <c r="O13" s="86"/>
      <c r="P13" s="87"/>
      <c r="Q13" s="88"/>
      <c r="R13" s="88"/>
      <c r="S13" s="88"/>
      <c r="T13" s="88"/>
      <c r="U13" s="88"/>
      <c r="V13" s="88"/>
      <c r="W13" s="88"/>
      <c r="X13" s="88"/>
      <c r="Y13" s="88"/>
      <c r="Z13" s="89"/>
      <c r="AA13" s="89"/>
      <c r="AB13" s="89"/>
      <c r="AC13" s="89"/>
      <c r="AD13" s="89"/>
      <c r="AE13" s="92"/>
      <c r="AF13" s="92"/>
      <c r="AG13" s="92"/>
      <c r="AH13" s="114"/>
      <c r="AI13" s="92"/>
      <c r="AJ13" s="93"/>
      <c r="AK13" s="93"/>
      <c r="AL13" s="75"/>
      <c r="AM13" s="75"/>
    </row>
    <row r="14" spans="1:39" ht="21.75" customHeight="1">
      <c r="A14" s="340" t="str">
        <f>HYPERLINK("https://docs.google.com/spreadsheets/d/1qGsXBQA7UK_C9LOomu1EW4PbhsRPWpCf9o9ByaiP77Y/edit?pli=1&amp;gid=689405076#gid=689405076","17/BIM-CICHĐ2024")</f>
        <v>17/BIM-CICHĐ2024</v>
      </c>
      <c r="B14" s="341" t="s">
        <v>51</v>
      </c>
      <c r="C14" s="342"/>
      <c r="D14" s="341" t="s">
        <v>47</v>
      </c>
      <c r="E14" s="332">
        <v>615000000</v>
      </c>
      <c r="F14" s="370"/>
      <c r="G14" s="371"/>
      <c r="H14" s="333"/>
      <c r="I14" s="80">
        <v>50000000</v>
      </c>
      <c r="J14" s="81">
        <v>45657</v>
      </c>
      <c r="K14" s="368">
        <v>134000000</v>
      </c>
      <c r="L14" s="369">
        <v>45729</v>
      </c>
      <c r="M14" s="336">
        <f>I14*1.08+I15-K14</f>
        <v>0</v>
      </c>
      <c r="N14" s="85">
        <v>0</v>
      </c>
      <c r="O14" s="86"/>
      <c r="P14" s="87"/>
      <c r="Q14" s="88"/>
      <c r="R14" s="88"/>
      <c r="S14" s="88"/>
      <c r="T14" s="88"/>
      <c r="U14" s="88"/>
      <c r="V14" s="88"/>
      <c r="W14" s="88"/>
      <c r="X14" s="88"/>
      <c r="Y14" s="88"/>
      <c r="Z14" s="89"/>
      <c r="AA14" s="89"/>
      <c r="AB14" s="89"/>
      <c r="AC14" s="89"/>
      <c r="AD14" s="89"/>
      <c r="AE14" s="92"/>
      <c r="AF14" s="92"/>
      <c r="AG14" s="92"/>
      <c r="AH14" s="114"/>
      <c r="AI14" s="92"/>
      <c r="AJ14" s="93"/>
      <c r="AK14" s="93"/>
      <c r="AL14" s="75"/>
      <c r="AM14" s="75"/>
    </row>
    <row r="15" spans="1:39" ht="21.75" customHeight="1">
      <c r="A15" s="330"/>
      <c r="B15" s="330"/>
      <c r="C15" s="330"/>
      <c r="D15" s="330"/>
      <c r="E15" s="330"/>
      <c r="F15" s="330"/>
      <c r="G15" s="330"/>
      <c r="H15" s="330"/>
      <c r="I15" s="80">
        <v>80000000</v>
      </c>
      <c r="J15" s="81">
        <v>45657</v>
      </c>
      <c r="K15" s="330"/>
      <c r="L15" s="330"/>
      <c r="M15" s="330"/>
      <c r="N15" s="85">
        <v>0</v>
      </c>
      <c r="O15" s="86"/>
      <c r="P15" s="87"/>
      <c r="Q15" s="88"/>
      <c r="R15" s="88"/>
      <c r="S15" s="88"/>
      <c r="T15" s="88"/>
      <c r="U15" s="88"/>
      <c r="V15" s="88"/>
      <c r="W15" s="88"/>
      <c r="X15" s="88"/>
      <c r="Y15" s="88"/>
      <c r="Z15" s="89"/>
      <c r="AA15" s="89"/>
      <c r="AB15" s="89"/>
      <c r="AC15" s="89"/>
      <c r="AD15" s="89"/>
      <c r="AE15" s="116"/>
      <c r="AF15" s="116"/>
      <c r="AG15" s="92"/>
      <c r="AH15" s="114"/>
      <c r="AI15" s="92"/>
      <c r="AJ15" s="92"/>
      <c r="AK15" s="92"/>
      <c r="AL15" s="75"/>
      <c r="AM15" s="75"/>
    </row>
    <row r="16" spans="1:39" ht="27.75" customHeight="1">
      <c r="A16" s="340" t="str">
        <f>HYPERLINK("https://docs.google.com/spreadsheets/d/1qGsXBQA7UK_C9LOomu1EW4PbhsRPWpCf9o9ByaiP77Y/edit?pli=1&amp;gid=1174591037#gid=1174591037","22/BIM-CICHĐ2024")</f>
        <v>22/BIM-CICHĐ2024</v>
      </c>
      <c r="B16" s="341" t="s">
        <v>52</v>
      </c>
      <c r="C16" s="342"/>
      <c r="D16" s="341" t="s">
        <v>47</v>
      </c>
      <c r="E16" s="332">
        <f>2900000000*1.08</f>
        <v>3132000000</v>
      </c>
      <c r="F16" s="343">
        <v>45546</v>
      </c>
      <c r="G16" s="344">
        <f>(I16+I17)*1.08</f>
        <v>1879200000.0000002</v>
      </c>
      <c r="H16" s="333"/>
      <c r="I16" s="80">
        <v>580000000</v>
      </c>
      <c r="J16" s="81">
        <v>45553</v>
      </c>
      <c r="K16" s="82">
        <v>626400000</v>
      </c>
      <c r="L16" s="83">
        <v>45565</v>
      </c>
      <c r="M16" s="84">
        <f t="shared" ref="M16:M19" si="7">I16*1.08-K16</f>
        <v>0</v>
      </c>
      <c r="N16" s="85">
        <v>0</v>
      </c>
      <c r="O16" s="86"/>
      <c r="P16" s="87"/>
      <c r="Q16" s="88"/>
      <c r="R16" s="88"/>
      <c r="S16" s="88"/>
      <c r="T16" s="88"/>
      <c r="U16" s="88"/>
      <c r="V16" s="88"/>
      <c r="W16" s="88"/>
      <c r="X16" s="88"/>
      <c r="Y16" s="88"/>
      <c r="Z16" s="89"/>
      <c r="AA16" s="89"/>
      <c r="AB16" s="89"/>
      <c r="AC16" s="89"/>
      <c r="AD16" s="89"/>
      <c r="AE16" s="94">
        <f>806400000*AH16</f>
        <v>483840000</v>
      </c>
      <c r="AF16" s="94">
        <f>(530000000+132500000)*AH16</f>
        <v>397500000</v>
      </c>
      <c r="AG16" s="94">
        <v>1740000000</v>
      </c>
      <c r="AH16" s="91">
        <v>0.6</v>
      </c>
      <c r="AI16" s="94">
        <v>580000000</v>
      </c>
      <c r="AJ16" s="118" t="s">
        <v>53</v>
      </c>
      <c r="AK16" s="118" t="s">
        <v>54</v>
      </c>
      <c r="AL16" s="75"/>
      <c r="AM16" s="75"/>
    </row>
    <row r="17" spans="1:39" ht="27.75" customHeight="1">
      <c r="A17" s="330"/>
      <c r="B17" s="330"/>
      <c r="C17" s="330"/>
      <c r="D17" s="330"/>
      <c r="E17" s="330"/>
      <c r="F17" s="330"/>
      <c r="G17" s="330"/>
      <c r="H17" s="330"/>
      <c r="I17" s="96">
        <v>1160000000</v>
      </c>
      <c r="J17" s="97">
        <v>46014</v>
      </c>
      <c r="K17" s="82">
        <v>1160000000</v>
      </c>
      <c r="L17" s="83">
        <v>46021</v>
      </c>
      <c r="M17" s="119">
        <f t="shared" si="7"/>
        <v>92800000</v>
      </c>
      <c r="N17" s="85">
        <f>I17-R17-T17-X17</f>
        <v>338311111.1111111</v>
      </c>
      <c r="O17" s="86"/>
      <c r="P17" s="101">
        <f>N17/I17</f>
        <v>0.29164750957854407</v>
      </c>
      <c r="Q17" s="102">
        <f>R17/I17%</f>
        <v>27.310344827586206</v>
      </c>
      <c r="R17" s="76">
        <f>792000000*0.4</f>
        <v>316800000</v>
      </c>
      <c r="S17" s="102">
        <f>T17/I17%</f>
        <v>19.157088122605362</v>
      </c>
      <c r="T17" s="120">
        <f>200000000/0.9</f>
        <v>222222222.22222221</v>
      </c>
      <c r="U17" s="102">
        <f>V17/I17%</f>
        <v>18.275862068965516</v>
      </c>
      <c r="V17" s="76">
        <f>530000000*0.4</f>
        <v>212000000</v>
      </c>
      <c r="W17" s="103">
        <f>X17/I17*100</f>
        <v>24.367816091954026</v>
      </c>
      <c r="X17" s="104">
        <f>V17/0.75</f>
        <v>282666666.66666669</v>
      </c>
      <c r="Y17" s="121">
        <f>(1650000000-792000000)*0.4*0.75</f>
        <v>257400000</v>
      </c>
      <c r="Z17" s="105" t="s">
        <v>48</v>
      </c>
      <c r="AA17" s="89"/>
      <c r="AB17" s="89"/>
      <c r="AC17" s="105">
        <v>5</v>
      </c>
      <c r="AD17" s="122">
        <f>I17*AC17%</f>
        <v>58000000</v>
      </c>
      <c r="AE17" s="92"/>
      <c r="AF17" s="92"/>
      <c r="AG17" s="92"/>
      <c r="AH17" s="114"/>
      <c r="AI17" s="92"/>
      <c r="AJ17" s="92"/>
      <c r="AK17" s="92"/>
      <c r="AL17" s="75"/>
      <c r="AM17" s="75"/>
    </row>
    <row r="18" spans="1:39" ht="27" customHeight="1">
      <c r="A18" s="340" t="str">
        <f>HYPERLINK("https://docs.google.com/spreadsheets/d/1qGsXBQA7UK_C9LOomu1EW4PbhsRPWpCf9o9ByaiP77Y/edit?pli=1&amp;gid=1385021301#gid=1385021301","23/BIM-CICHĐ2024")</f>
        <v>23/BIM-CICHĐ2024</v>
      </c>
      <c r="B18" s="341" t="s">
        <v>55</v>
      </c>
      <c r="C18" s="342"/>
      <c r="D18" s="341" t="s">
        <v>47</v>
      </c>
      <c r="E18" s="332">
        <f>3950000000*1.08</f>
        <v>4266000000.0000005</v>
      </c>
      <c r="F18" s="343">
        <v>45546</v>
      </c>
      <c r="G18" s="344">
        <f>(I18+I19)*1.08</f>
        <v>2559600000</v>
      </c>
      <c r="H18" s="333"/>
      <c r="I18" s="80">
        <v>790000000</v>
      </c>
      <c r="J18" s="81">
        <v>45553</v>
      </c>
      <c r="K18" s="82">
        <v>853200000</v>
      </c>
      <c r="L18" s="83">
        <v>45565</v>
      </c>
      <c r="M18" s="84">
        <f t="shared" si="7"/>
        <v>0</v>
      </c>
      <c r="N18" s="85">
        <v>0</v>
      </c>
      <c r="O18" s="86"/>
      <c r="P18" s="87"/>
      <c r="Q18" s="88"/>
      <c r="R18" s="88"/>
      <c r="S18" s="88"/>
      <c r="T18" s="88"/>
      <c r="U18" s="88"/>
      <c r="V18" s="88"/>
      <c r="W18" s="88"/>
      <c r="X18" s="88"/>
      <c r="Y18" s="88"/>
      <c r="Z18" s="89"/>
      <c r="AA18" s="89"/>
      <c r="AB18" s="89"/>
      <c r="AC18" s="89"/>
      <c r="AD18" s="89"/>
      <c r="AE18" s="94">
        <f>1094400000*AH18</f>
        <v>656640000</v>
      </c>
      <c r="AF18" s="94">
        <f>(750000000+187500000)*AH18</f>
        <v>562500000</v>
      </c>
      <c r="AG18" s="94">
        <v>2970000000</v>
      </c>
      <c r="AH18" s="91">
        <v>0.6</v>
      </c>
      <c r="AI18" s="94">
        <v>990000000</v>
      </c>
      <c r="AJ18" s="118" t="s">
        <v>53</v>
      </c>
      <c r="AK18" s="118" t="s">
        <v>56</v>
      </c>
      <c r="AL18" s="75"/>
      <c r="AM18" s="75"/>
    </row>
    <row r="19" spans="1:39" ht="27" customHeight="1">
      <c r="A19" s="330"/>
      <c r="B19" s="330"/>
      <c r="C19" s="330"/>
      <c r="D19" s="330"/>
      <c r="E19" s="330"/>
      <c r="F19" s="330"/>
      <c r="G19" s="330"/>
      <c r="H19" s="330"/>
      <c r="I19" s="96">
        <v>1580000000</v>
      </c>
      <c r="J19" s="97">
        <v>45834</v>
      </c>
      <c r="K19" s="82">
        <v>1706400000</v>
      </c>
      <c r="L19" s="83">
        <v>45838</v>
      </c>
      <c r="M19" s="84">
        <f t="shared" si="7"/>
        <v>0</v>
      </c>
      <c r="N19" s="85">
        <f>I19-R19-T19-X19</f>
        <v>742400000</v>
      </c>
      <c r="O19" s="86"/>
      <c r="P19" s="101">
        <f>N19/I19</f>
        <v>0.46987341772151897</v>
      </c>
      <c r="Q19" s="102">
        <f>R19/I19%</f>
        <v>27.696202531645568</v>
      </c>
      <c r="R19" s="76">
        <f>1094000000*0.4</f>
        <v>437600000</v>
      </c>
      <c r="S19" s="102">
        <v>0</v>
      </c>
      <c r="T19" s="88"/>
      <c r="U19" s="102">
        <f>V19/I19%</f>
        <v>18.9873417721519</v>
      </c>
      <c r="V19" s="76">
        <f>750000000*0.4</f>
        <v>300000000</v>
      </c>
      <c r="W19" s="103">
        <f>X19/I19*100</f>
        <v>25.316455696202532</v>
      </c>
      <c r="X19" s="104">
        <f>V19/0.75</f>
        <v>400000000</v>
      </c>
      <c r="Y19" s="121">
        <f>300000000</f>
        <v>300000000</v>
      </c>
      <c r="Z19" s="105" t="s">
        <v>48</v>
      </c>
      <c r="AA19" s="89"/>
      <c r="AB19" s="89"/>
      <c r="AC19" s="105">
        <v>5</v>
      </c>
      <c r="AD19" s="122">
        <f>I19*AC19%</f>
        <v>79000000</v>
      </c>
      <c r="AE19" s="92"/>
      <c r="AF19" s="92"/>
      <c r="AG19" s="124"/>
      <c r="AH19" s="125"/>
      <c r="AI19" s="124"/>
      <c r="AJ19" s="75"/>
      <c r="AK19" s="75"/>
      <c r="AL19" s="75"/>
      <c r="AM19" s="75"/>
    </row>
    <row r="20" spans="1:39" ht="63.75">
      <c r="A20" s="74" t="s">
        <v>57</v>
      </c>
      <c r="B20" s="74" t="s">
        <v>58</v>
      </c>
      <c r="C20" s="75"/>
      <c r="D20" s="74" t="s">
        <v>47</v>
      </c>
      <c r="E20" s="76">
        <v>152507782</v>
      </c>
      <c r="F20" s="77">
        <v>45636</v>
      </c>
      <c r="G20" s="115"/>
      <c r="H20" s="79"/>
      <c r="I20" s="126"/>
      <c r="J20" s="111"/>
      <c r="K20" s="127"/>
      <c r="L20" s="128"/>
      <c r="M20" s="113"/>
      <c r="N20" s="85">
        <v>0</v>
      </c>
      <c r="O20" s="86"/>
      <c r="P20" s="87"/>
      <c r="Q20" s="88"/>
      <c r="R20" s="88"/>
      <c r="S20" s="88"/>
      <c r="T20" s="88"/>
      <c r="U20" s="88"/>
      <c r="V20" s="88"/>
      <c r="W20" s="88"/>
      <c r="X20" s="88"/>
      <c r="Y20" s="88"/>
      <c r="Z20" s="89"/>
      <c r="AA20" s="89"/>
      <c r="AB20" s="89"/>
      <c r="AC20" s="89"/>
      <c r="AD20" s="89"/>
      <c r="AE20" s="124"/>
      <c r="AF20" s="124"/>
      <c r="AG20" s="124"/>
      <c r="AH20" s="125"/>
      <c r="AI20" s="124"/>
      <c r="AJ20" s="124"/>
      <c r="AK20" s="124"/>
      <c r="AL20" s="75"/>
      <c r="AM20" s="75"/>
    </row>
    <row r="21" spans="1:39" ht="63.75">
      <c r="A21" s="129" t="str">
        <f>HYPERLINK("https://docs.google.com/spreadsheets/d/15wb_t3QfGjOFKQFBhp0BxNL5lJbMdgZAzZ-n4E7-0Mo/edit?gid=729333424#gid=729333424","03/BIM-CICHĐ2025")</f>
        <v>03/BIM-CICHĐ2025</v>
      </c>
      <c r="B21" s="74" t="s">
        <v>59</v>
      </c>
      <c r="C21" s="75"/>
      <c r="D21" s="74" t="s">
        <v>47</v>
      </c>
      <c r="E21" s="76">
        <v>259200000</v>
      </c>
      <c r="F21" s="77">
        <v>45733</v>
      </c>
      <c r="G21" s="115"/>
      <c r="H21" s="79"/>
      <c r="I21" s="126"/>
      <c r="J21" s="111"/>
      <c r="K21" s="82">
        <v>77760000</v>
      </c>
      <c r="L21" s="83">
        <v>45750</v>
      </c>
      <c r="M21" s="113"/>
      <c r="N21" s="85">
        <v>0</v>
      </c>
      <c r="O21" s="86"/>
      <c r="P21" s="87"/>
      <c r="Q21" s="102" t="e">
        <f>#REF!</f>
        <v>#REF!</v>
      </c>
      <c r="R21" s="88"/>
      <c r="S21" s="88"/>
      <c r="T21" s="88"/>
      <c r="U21" s="88"/>
      <c r="V21" s="88"/>
      <c r="W21" s="88"/>
      <c r="X21" s="88"/>
      <c r="Y21" s="88"/>
      <c r="Z21" s="89"/>
      <c r="AA21" s="89"/>
      <c r="AB21" s="89"/>
      <c r="AC21" s="89"/>
      <c r="AD21" s="89"/>
      <c r="AE21" s="124"/>
      <c r="AF21" s="124"/>
      <c r="AG21" s="124"/>
      <c r="AH21" s="125"/>
      <c r="AI21" s="124"/>
      <c r="AJ21" s="124"/>
      <c r="AK21" s="124"/>
      <c r="AL21" s="75"/>
      <c r="AM21" s="75"/>
    </row>
    <row r="22" spans="1:39">
      <c r="A22" s="340" t="str">
        <f>HYPERLINK("https://docs.google.com/spreadsheets/d/15wb_t3QfGjOFKQFBhp0BxNL5lJbMdgZAzZ-n4E7-0Mo/edit?gid=2082603222#gid=2082603222","05/BIM-CICHĐ2025 (2-1)")</f>
        <v>05/BIM-CICHĐ2025 (2-1)</v>
      </c>
      <c r="B22" s="341" t="s">
        <v>60</v>
      </c>
      <c r="C22" s="342"/>
      <c r="D22" s="341" t="s">
        <v>47</v>
      </c>
      <c r="E22" s="332">
        <v>661000000</v>
      </c>
      <c r="F22" s="343">
        <v>45744</v>
      </c>
      <c r="G22" s="344">
        <f>(I22+I23)*1.08</f>
        <v>214164000</v>
      </c>
      <c r="H22" s="333"/>
      <c r="I22" s="80">
        <v>66100000</v>
      </c>
      <c r="J22" s="81">
        <v>45784</v>
      </c>
      <c r="K22" s="82">
        <v>71388000</v>
      </c>
      <c r="L22" s="83">
        <v>45783</v>
      </c>
      <c r="M22" s="84">
        <f t="shared" ref="M22:M23" si="8">I22*1.08-K22</f>
        <v>0</v>
      </c>
      <c r="N22" s="85">
        <f t="shared" ref="N22:N23" si="9">I22-R22-T22-X22</f>
        <v>38558333.333333328</v>
      </c>
      <c r="O22" s="86"/>
      <c r="P22" s="101">
        <f t="shared" ref="P22:P23" si="10">N22/I22</f>
        <v>0.58333333333333326</v>
      </c>
      <c r="Q22" s="102">
        <v>15</v>
      </c>
      <c r="R22" s="76">
        <f t="shared" ref="R22:R23" si="11">I22*Q22%</f>
        <v>9915000</v>
      </c>
      <c r="S22" s="102">
        <v>0</v>
      </c>
      <c r="T22" s="88"/>
      <c r="U22" s="102">
        <v>20</v>
      </c>
      <c r="V22" s="76">
        <f t="shared" ref="V22:V23" si="12">I22*20%</f>
        <v>13220000</v>
      </c>
      <c r="W22" s="102">
        <f t="shared" ref="W22:W23" si="13">X22/I22*100</f>
        <v>26.666666666666668</v>
      </c>
      <c r="X22" s="76">
        <f t="shared" ref="X22:X23" si="14">V22/0.75</f>
        <v>17626666.666666668</v>
      </c>
      <c r="Y22" s="76">
        <f>165250000*10%*0.8</f>
        <v>13220000</v>
      </c>
      <c r="Z22" s="105" t="s">
        <v>48</v>
      </c>
      <c r="AA22" s="89"/>
      <c r="AB22" s="89"/>
      <c r="AC22" s="105">
        <v>5</v>
      </c>
      <c r="AD22" s="122">
        <f t="shared" ref="AD22:AD23" si="15">I22*AC22%</f>
        <v>3305000</v>
      </c>
      <c r="AE22" s="124"/>
      <c r="AF22" s="124"/>
      <c r="AG22" s="124"/>
      <c r="AH22" s="125"/>
      <c r="AI22" s="124"/>
      <c r="AJ22" s="124"/>
      <c r="AK22" s="124"/>
      <c r="AL22" s="75"/>
      <c r="AM22" s="75"/>
    </row>
    <row r="23" spans="1:39">
      <c r="A23" s="330"/>
      <c r="B23" s="330"/>
      <c r="C23" s="330"/>
      <c r="D23" s="330"/>
      <c r="E23" s="330"/>
      <c r="F23" s="330"/>
      <c r="G23" s="330"/>
      <c r="H23" s="330"/>
      <c r="I23" s="80">
        <v>132200000</v>
      </c>
      <c r="J23" s="81">
        <v>45910</v>
      </c>
      <c r="K23" s="82">
        <v>142776000</v>
      </c>
      <c r="L23" s="83">
        <v>45874</v>
      </c>
      <c r="M23" s="84">
        <f t="shared" si="8"/>
        <v>0</v>
      </c>
      <c r="N23" s="85">
        <f t="shared" si="9"/>
        <v>77116666.666666657</v>
      </c>
      <c r="O23" s="86"/>
      <c r="P23" s="101">
        <f t="shared" si="10"/>
        <v>0.58333333333333326</v>
      </c>
      <c r="Q23" s="102">
        <v>15</v>
      </c>
      <c r="R23" s="76">
        <f t="shared" si="11"/>
        <v>19830000</v>
      </c>
      <c r="S23" s="102">
        <v>0</v>
      </c>
      <c r="T23" s="88"/>
      <c r="U23" s="102">
        <v>20</v>
      </c>
      <c r="V23" s="76">
        <f t="shared" si="12"/>
        <v>26440000</v>
      </c>
      <c r="W23" s="102">
        <f t="shared" si="13"/>
        <v>26.666666666666668</v>
      </c>
      <c r="X23" s="76">
        <f t="shared" si="14"/>
        <v>35253333.333333336</v>
      </c>
      <c r="Y23" s="76">
        <f>165250000*20%*0.8</f>
        <v>26440000</v>
      </c>
      <c r="Z23" s="105" t="s">
        <v>48</v>
      </c>
      <c r="AA23" s="89"/>
      <c r="AB23" s="89"/>
      <c r="AC23" s="105">
        <v>5</v>
      </c>
      <c r="AD23" s="122">
        <f t="shared" si="15"/>
        <v>6610000</v>
      </c>
      <c r="AE23" s="124"/>
      <c r="AF23" s="124"/>
      <c r="AG23" s="124"/>
      <c r="AH23" s="125"/>
      <c r="AI23" s="124"/>
      <c r="AJ23" s="124"/>
      <c r="AK23" s="124"/>
      <c r="AL23" s="75"/>
      <c r="AM23" s="75"/>
    </row>
    <row r="24" spans="1:39" ht="51">
      <c r="A24" s="73" t="str">
        <f>HYPERLINK("https://docs.google.com/spreadsheets/d/15wb_t3QfGjOFKQFBhp0BxNL5lJbMdgZAzZ-n4E7-0Mo/edit?gid=1178019247#gid=1178019247","05/BIM-CICHĐ2025 (2-3)")</f>
        <v>05/BIM-CICHĐ2025 (2-3)</v>
      </c>
      <c r="B24" s="74" t="s">
        <v>61</v>
      </c>
      <c r="C24" s="75"/>
      <c r="D24" s="74" t="s">
        <v>47</v>
      </c>
      <c r="E24" s="122">
        <v>1440000000</v>
      </c>
      <c r="F24" s="77">
        <v>45744</v>
      </c>
      <c r="G24" s="115"/>
      <c r="H24" s="79"/>
      <c r="I24" s="126"/>
      <c r="J24" s="111"/>
      <c r="K24" s="127"/>
      <c r="L24" s="128"/>
      <c r="M24" s="113"/>
      <c r="N24" s="85">
        <v>0</v>
      </c>
      <c r="O24" s="86"/>
      <c r="P24" s="87"/>
      <c r="Q24" s="88"/>
      <c r="R24" s="88"/>
      <c r="S24" s="88"/>
      <c r="T24" s="88"/>
      <c r="U24" s="88"/>
      <c r="V24" s="88"/>
      <c r="W24" s="88"/>
      <c r="X24" s="88"/>
      <c r="Y24" s="88"/>
      <c r="Z24" s="89"/>
      <c r="AA24" s="89"/>
      <c r="AB24" s="89"/>
      <c r="AC24" s="89"/>
      <c r="AD24" s="89"/>
      <c r="AE24" s="124"/>
      <c r="AF24" s="124"/>
      <c r="AG24" s="124"/>
      <c r="AH24" s="125"/>
      <c r="AI24" s="124"/>
      <c r="AJ24" s="124"/>
      <c r="AK24" s="124"/>
      <c r="AL24" s="75"/>
      <c r="AM24" s="75"/>
    </row>
    <row r="25" spans="1:39" ht="51">
      <c r="A25" s="73" t="str">
        <f>HYPERLINK("https://docs.google.com/spreadsheets/d/15wb_t3QfGjOFKQFBhp0BxNL5lJbMdgZAzZ-n4E7-0Mo/edit?gid=1552016805#gid=1552016805","05/BIM-CICHĐ2025 (2-5)")</f>
        <v>05/BIM-CICHĐ2025 (2-5)</v>
      </c>
      <c r="B25" s="74" t="s">
        <v>62</v>
      </c>
      <c r="C25" s="75"/>
      <c r="D25" s="74" t="s">
        <v>47</v>
      </c>
      <c r="E25" s="122">
        <v>1482000000</v>
      </c>
      <c r="F25" s="77">
        <v>45744</v>
      </c>
      <c r="G25" s="115"/>
      <c r="H25" s="79"/>
      <c r="I25" s="126"/>
      <c r="J25" s="111"/>
      <c r="K25" s="127"/>
      <c r="L25" s="128"/>
      <c r="M25" s="113"/>
      <c r="N25" s="85">
        <v>0</v>
      </c>
      <c r="O25" s="86"/>
      <c r="P25" s="87"/>
      <c r="Q25" s="88"/>
      <c r="R25" s="88"/>
      <c r="S25" s="88"/>
      <c r="T25" s="88"/>
      <c r="U25" s="88"/>
      <c r="V25" s="88"/>
      <c r="W25" s="88"/>
      <c r="X25" s="88"/>
      <c r="Y25" s="88"/>
      <c r="Z25" s="89"/>
      <c r="AA25" s="89"/>
      <c r="AB25" s="89"/>
      <c r="AC25" s="89"/>
      <c r="AD25" s="89"/>
      <c r="AE25" s="124"/>
      <c r="AF25" s="124"/>
      <c r="AG25" s="124"/>
      <c r="AH25" s="125"/>
      <c r="AI25" s="124"/>
      <c r="AJ25" s="124"/>
      <c r="AK25" s="124"/>
      <c r="AL25" s="75"/>
      <c r="AM25" s="75"/>
    </row>
    <row r="26" spans="1:39">
      <c r="A26" s="345" t="str">
        <f>HYPERLINK("https://docs.google.com/spreadsheets/d/15wb_t3QfGjOFKQFBhp0BxNL5lJbMdgZAzZ-n4E7-0Mo/edit?gid=1547484457#gid=1547484457","07/BIM-CICHĐ2025")</f>
        <v>07/BIM-CICHĐ2025</v>
      </c>
      <c r="B26" s="341" t="s">
        <v>63</v>
      </c>
      <c r="C26" s="342"/>
      <c r="D26" s="341" t="s">
        <v>47</v>
      </c>
      <c r="E26" s="332">
        <v>891000000</v>
      </c>
      <c r="F26" s="343">
        <v>45765</v>
      </c>
      <c r="G26" s="344">
        <f>I26*1.08</f>
        <v>356400000</v>
      </c>
      <c r="H26" s="333"/>
      <c r="I26" s="334">
        <v>330000000</v>
      </c>
      <c r="J26" s="335">
        <v>45968</v>
      </c>
      <c r="K26" s="82">
        <v>267300000</v>
      </c>
      <c r="L26" s="83">
        <v>45783</v>
      </c>
      <c r="M26" s="336">
        <f>I26*1.08-(K26*37.5%)-K27</f>
        <v>0</v>
      </c>
      <c r="N26" s="337">
        <f>I26-R26-T26-X26</f>
        <v>235714285.7142857</v>
      </c>
      <c r="O26" s="338"/>
      <c r="P26" s="339">
        <f>N26/I26</f>
        <v>0.7142857142857143</v>
      </c>
      <c r="Q26" s="329">
        <v>0</v>
      </c>
      <c r="R26" s="331"/>
      <c r="S26" s="329">
        <v>0</v>
      </c>
      <c r="T26" s="331"/>
      <c r="U26" s="329">
        <v>20</v>
      </c>
      <c r="V26" s="332">
        <f>I26*U26%</f>
        <v>66000000</v>
      </c>
      <c r="W26" s="329">
        <f>X26/I26*100</f>
        <v>28.571428571428577</v>
      </c>
      <c r="X26" s="332">
        <f>V26/0.7</f>
        <v>94285714.285714298</v>
      </c>
      <c r="Y26" s="332">
        <f>413000000*40%*0.7</f>
        <v>115640000</v>
      </c>
      <c r="Z26" s="329" t="s">
        <v>64</v>
      </c>
      <c r="AA26" s="331"/>
      <c r="AB26" s="331"/>
      <c r="AC26" s="329">
        <v>5</v>
      </c>
      <c r="AD26" s="332">
        <f>I26*AC26%</f>
        <v>16500000</v>
      </c>
      <c r="AE26" s="124"/>
      <c r="AF26" s="124"/>
      <c r="AG26" s="124"/>
      <c r="AH26" s="125"/>
      <c r="AI26" s="124"/>
      <c r="AJ26" s="124"/>
      <c r="AK26" s="124"/>
      <c r="AL26" s="75"/>
      <c r="AM26" s="75"/>
    </row>
    <row r="27" spans="1:39">
      <c r="A27" s="330"/>
      <c r="B27" s="330"/>
      <c r="C27" s="330"/>
      <c r="D27" s="330"/>
      <c r="E27" s="330"/>
      <c r="F27" s="330"/>
      <c r="G27" s="330"/>
      <c r="H27" s="330"/>
      <c r="I27" s="330"/>
      <c r="J27" s="330"/>
      <c r="K27" s="82">
        <v>256162500</v>
      </c>
      <c r="L27" s="83">
        <v>45968</v>
      </c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Y27" s="330"/>
      <c r="Z27" s="330"/>
      <c r="AA27" s="330"/>
      <c r="AB27" s="330"/>
      <c r="AC27" s="330"/>
      <c r="AD27" s="330"/>
      <c r="AE27" s="124"/>
      <c r="AF27" s="124"/>
      <c r="AG27" s="124"/>
      <c r="AH27" s="125"/>
      <c r="AI27" s="124"/>
      <c r="AJ27" s="124"/>
      <c r="AK27" s="124"/>
      <c r="AL27" s="75"/>
      <c r="AM27" s="75"/>
    </row>
    <row r="28" spans="1:39">
      <c r="A28" s="340" t="str">
        <f>HYPERLINK("https://docs.google.com/spreadsheets/d/15wb_t3QfGjOFKQFBhp0BxNL5lJbMdgZAzZ-n4E7-0Mo/edit?gid=1204850143#gid=1204850143","12/BIM-CICHĐ2025")</f>
        <v>12/BIM-CICHĐ2025</v>
      </c>
      <c r="B28" s="341" t="s">
        <v>65</v>
      </c>
      <c r="C28" s="75"/>
      <c r="D28" s="341" t="s">
        <v>47</v>
      </c>
      <c r="E28" s="76">
        <v>363960000</v>
      </c>
      <c r="F28" s="77">
        <v>45776</v>
      </c>
      <c r="G28" s="123">
        <f>E28*40%</f>
        <v>145584000</v>
      </c>
      <c r="H28" s="115"/>
      <c r="I28" s="80">
        <v>134800000</v>
      </c>
      <c r="J28" s="81">
        <v>45910</v>
      </c>
      <c r="K28" s="82">
        <v>145584000</v>
      </c>
      <c r="L28" s="83">
        <v>45924</v>
      </c>
      <c r="M28" s="84">
        <f t="shared" ref="M28:M29" si="16">I28*1.08-K28</f>
        <v>0</v>
      </c>
      <c r="N28" s="85">
        <f t="shared" ref="N28:N30" si="17">I28-R28-T28-X28</f>
        <v>49426666.666666664</v>
      </c>
      <c r="O28" s="86"/>
      <c r="P28" s="101">
        <f t="shared" ref="P28:P30" si="18">N28/I28</f>
        <v>0.36666666666666664</v>
      </c>
      <c r="Q28" s="102">
        <v>30</v>
      </c>
      <c r="R28" s="76">
        <f t="shared" ref="R28:R29" si="19">I28*Q28%</f>
        <v>40440000</v>
      </c>
      <c r="S28" s="102">
        <v>0</v>
      </c>
      <c r="T28" s="88"/>
      <c r="U28" s="102">
        <v>25</v>
      </c>
      <c r="V28" s="76">
        <f>U28*I28%</f>
        <v>33700000</v>
      </c>
      <c r="W28" s="102">
        <f t="shared" ref="W28:W30" si="20">X28/I28*100</f>
        <v>33.333333333333336</v>
      </c>
      <c r="X28" s="76">
        <f t="shared" ref="X28:X29" si="21">V28/0.75</f>
        <v>44933333.333333336</v>
      </c>
      <c r="Y28" s="76">
        <f>(186000000*40%-R28)*75%</f>
        <v>25470000</v>
      </c>
      <c r="Z28" s="105" t="s">
        <v>29</v>
      </c>
      <c r="AA28" s="89"/>
      <c r="AB28" s="89"/>
      <c r="AC28" s="105">
        <v>5</v>
      </c>
      <c r="AD28" s="122">
        <f t="shared" ref="AD28:AD30" si="22">I28*AC28%</f>
        <v>6740000</v>
      </c>
      <c r="AE28" s="92"/>
      <c r="AF28" s="92"/>
      <c r="AG28" s="92"/>
      <c r="AH28" s="114"/>
      <c r="AI28" s="92"/>
      <c r="AJ28" s="93"/>
      <c r="AK28" s="93"/>
      <c r="AL28" s="75"/>
      <c r="AM28" s="75"/>
    </row>
    <row r="29" spans="1:39">
      <c r="A29" s="330"/>
      <c r="B29" s="330"/>
      <c r="C29" s="75"/>
      <c r="D29" s="330"/>
      <c r="E29" s="88"/>
      <c r="F29" s="130"/>
      <c r="G29" s="123">
        <f>E28*36.4%</f>
        <v>132481440</v>
      </c>
      <c r="H29" s="115"/>
      <c r="I29" s="80">
        <v>122668000</v>
      </c>
      <c r="J29" s="81">
        <v>45985</v>
      </c>
      <c r="K29" s="82">
        <v>132481440</v>
      </c>
      <c r="L29" s="83">
        <v>46021</v>
      </c>
      <c r="M29" s="84">
        <f t="shared" si="16"/>
        <v>0</v>
      </c>
      <c r="N29" s="85">
        <f t="shared" si="17"/>
        <v>44934266.666666664</v>
      </c>
      <c r="O29" s="86"/>
      <c r="P29" s="101">
        <f t="shared" si="18"/>
        <v>0.36630797491331613</v>
      </c>
      <c r="Q29" s="102">
        <v>30</v>
      </c>
      <c r="R29" s="76">
        <f t="shared" si="19"/>
        <v>36800400</v>
      </c>
      <c r="S29" s="102">
        <v>0</v>
      </c>
      <c r="T29" s="88"/>
      <c r="U29" s="102">
        <v>25</v>
      </c>
      <c r="V29" s="76">
        <f>ROUND((U29*I29%),-5)</f>
        <v>30700000</v>
      </c>
      <c r="W29" s="102">
        <f t="shared" si="20"/>
        <v>33.369202508668387</v>
      </c>
      <c r="X29" s="76">
        <f t="shared" si="21"/>
        <v>40933333.333333336</v>
      </c>
      <c r="Y29" s="76">
        <f>(186000000*36.4%-R29)*75%</f>
        <v>23177700</v>
      </c>
      <c r="Z29" s="105" t="s">
        <v>29</v>
      </c>
      <c r="AA29" s="89"/>
      <c r="AB29" s="89"/>
      <c r="AC29" s="105">
        <v>5</v>
      </c>
      <c r="AD29" s="122">
        <f t="shared" si="22"/>
        <v>6133400</v>
      </c>
      <c r="AE29" s="92"/>
      <c r="AF29" s="92"/>
      <c r="AG29" s="92"/>
      <c r="AH29" s="114"/>
      <c r="AI29" s="92"/>
      <c r="AJ29" s="93"/>
      <c r="AK29" s="93"/>
      <c r="AL29" s="75"/>
      <c r="AM29" s="75"/>
    </row>
    <row r="30" spans="1:39" ht="21" customHeight="1">
      <c r="A30" s="345" t="str">
        <f>HYPERLINK("https://docs.google.com/spreadsheets/d/15wb_t3QfGjOFKQFBhp0BxNL5lJbMdgZAzZ-n4E7-0Mo/edit?gid=1714665039#gid=1714665039","11/BIM-CICHĐ2025")</f>
        <v>11/BIM-CICHĐ2025</v>
      </c>
      <c r="B30" s="341" t="s">
        <v>66</v>
      </c>
      <c r="C30" s="342"/>
      <c r="D30" s="341" t="s">
        <v>47</v>
      </c>
      <c r="E30" s="332">
        <v>891000000</v>
      </c>
      <c r="F30" s="343">
        <v>45825</v>
      </c>
      <c r="G30" s="344">
        <f>I30*1.08</f>
        <v>356400000</v>
      </c>
      <c r="H30" s="333"/>
      <c r="I30" s="334">
        <v>330000000</v>
      </c>
      <c r="J30" s="335">
        <v>46022</v>
      </c>
      <c r="K30" s="82">
        <v>267300000</v>
      </c>
      <c r="L30" s="83">
        <v>45828</v>
      </c>
      <c r="M30" s="382">
        <f>I30*1.08-K30-K31</f>
        <v>-167062500</v>
      </c>
      <c r="N30" s="85">
        <f t="shared" si="17"/>
        <v>235714285.7142857</v>
      </c>
      <c r="O30" s="86"/>
      <c r="P30" s="101">
        <f t="shared" si="18"/>
        <v>0.7142857142857143</v>
      </c>
      <c r="Q30" s="102">
        <v>0</v>
      </c>
      <c r="R30" s="88"/>
      <c r="S30" s="102">
        <v>0</v>
      </c>
      <c r="T30" s="88"/>
      <c r="U30" s="102">
        <v>20</v>
      </c>
      <c r="V30" s="76">
        <f>I30*U30%</f>
        <v>66000000</v>
      </c>
      <c r="W30" s="102">
        <f t="shared" si="20"/>
        <v>28.571428571428577</v>
      </c>
      <c r="X30" s="76">
        <f>V30/0.7</f>
        <v>94285714.285714298</v>
      </c>
      <c r="Y30" s="76">
        <f>413000000*40%*0.7</f>
        <v>115640000</v>
      </c>
      <c r="Z30" s="105" t="s">
        <v>64</v>
      </c>
      <c r="AA30" s="89"/>
      <c r="AB30" s="89"/>
      <c r="AC30" s="105">
        <v>5</v>
      </c>
      <c r="AD30" s="122">
        <f t="shared" si="22"/>
        <v>16500000</v>
      </c>
      <c r="AE30" s="124"/>
      <c r="AF30" s="124"/>
      <c r="AG30" s="132">
        <v>400000000</v>
      </c>
      <c r="AH30" s="133">
        <v>0.5</v>
      </c>
      <c r="AI30" s="132">
        <v>400000000</v>
      </c>
      <c r="AJ30" s="134" t="s">
        <v>67</v>
      </c>
      <c r="AK30" s="134" t="s">
        <v>68</v>
      </c>
      <c r="AL30" s="75"/>
      <c r="AM30" s="75"/>
    </row>
    <row r="31" spans="1:39" ht="21" customHeight="1">
      <c r="A31" s="330"/>
      <c r="B31" s="330"/>
      <c r="C31" s="330"/>
      <c r="D31" s="330"/>
      <c r="E31" s="330"/>
      <c r="F31" s="330"/>
      <c r="G31" s="330"/>
      <c r="H31" s="330"/>
      <c r="I31" s="330"/>
      <c r="J31" s="330"/>
      <c r="K31" s="82">
        <v>256162500</v>
      </c>
      <c r="L31" s="83">
        <v>46038</v>
      </c>
      <c r="M31" s="330"/>
      <c r="N31" s="135"/>
      <c r="O31" s="86"/>
      <c r="P31" s="87"/>
      <c r="Q31" s="88"/>
      <c r="R31" s="88"/>
      <c r="S31" s="88"/>
      <c r="T31" s="88"/>
      <c r="U31" s="88"/>
      <c r="V31" s="88"/>
      <c r="W31" s="88"/>
      <c r="X31" s="88"/>
      <c r="Y31" s="88"/>
      <c r="Z31" s="89"/>
      <c r="AA31" s="89"/>
      <c r="AB31" s="89"/>
      <c r="AC31" s="89"/>
      <c r="AD31" s="89"/>
      <c r="AE31" s="124"/>
      <c r="AF31" s="124"/>
      <c r="AG31" s="124"/>
      <c r="AH31" s="125"/>
      <c r="AI31" s="124"/>
      <c r="AJ31" s="124"/>
      <c r="AK31" s="124"/>
      <c r="AL31" s="75"/>
      <c r="AM31" s="75"/>
    </row>
    <row r="32" spans="1:39" ht="63.75">
      <c r="A32" s="129" t="str">
        <f>HYPERLINK("https://docs.google.com/spreadsheets/d/15wb_t3QfGjOFKQFBhp0BxNL5lJbMdgZAzZ-n4E7-0Mo/edit?gid=215273542#gid=215273542","17/BIM-CICHĐ2025")</f>
        <v>17/BIM-CICHĐ2025</v>
      </c>
      <c r="B32" s="74" t="s">
        <v>69</v>
      </c>
      <c r="C32" s="75"/>
      <c r="D32" s="74" t="s">
        <v>47</v>
      </c>
      <c r="E32" s="76">
        <v>169500000</v>
      </c>
      <c r="F32" s="77">
        <v>45796</v>
      </c>
      <c r="G32" s="136">
        <f>K30/G30</f>
        <v>0.75</v>
      </c>
      <c r="H32" s="79"/>
      <c r="I32" s="126"/>
      <c r="J32" s="111"/>
      <c r="K32" s="127"/>
      <c r="L32" s="128"/>
      <c r="M32" s="113"/>
      <c r="N32" s="85">
        <v>0</v>
      </c>
      <c r="O32" s="86"/>
      <c r="P32" s="87"/>
      <c r="Q32" s="102">
        <v>0</v>
      </c>
      <c r="R32" s="88"/>
      <c r="S32" s="88"/>
      <c r="T32" s="88"/>
      <c r="U32" s="88"/>
      <c r="V32" s="88"/>
      <c r="W32" s="88"/>
      <c r="X32" s="88"/>
      <c r="Y32" s="88"/>
      <c r="Z32" s="89"/>
      <c r="AA32" s="89"/>
      <c r="AB32" s="89"/>
      <c r="AC32" s="89"/>
      <c r="AD32" s="89"/>
      <c r="AE32" s="124"/>
      <c r="AF32" s="124"/>
      <c r="AG32" s="124"/>
      <c r="AH32" s="125"/>
      <c r="AI32" s="124"/>
      <c r="AJ32" s="75"/>
      <c r="AK32" s="134" t="s">
        <v>70</v>
      </c>
      <c r="AL32" s="75"/>
      <c r="AM32" s="75"/>
    </row>
    <row r="33" spans="1:39" ht="38.25">
      <c r="A33" s="129" t="str">
        <f>HYPERLINK("https://docs.google.com/spreadsheets/d/15wb_t3QfGjOFKQFBhp0BxNL5lJbMdgZAzZ-n4E7-0Mo/edit?gid=1751500324#gid=1751500324","18/BIM-CICHĐ2025")</f>
        <v>18/BIM-CICHĐ2025</v>
      </c>
      <c r="B33" s="74" t="s">
        <v>71</v>
      </c>
      <c r="C33" s="75"/>
      <c r="D33" s="137" t="s">
        <v>72</v>
      </c>
      <c r="E33" s="76">
        <v>154000000</v>
      </c>
      <c r="F33" s="130"/>
      <c r="G33" s="138">
        <f>K33/0.9/E33</f>
        <v>0.3</v>
      </c>
      <c r="H33" s="79"/>
      <c r="I33" s="126"/>
      <c r="J33" s="111"/>
      <c r="K33" s="139">
        <f>41580000</f>
        <v>41580000</v>
      </c>
      <c r="L33" s="83">
        <v>45856</v>
      </c>
      <c r="M33" s="113"/>
      <c r="N33" s="85">
        <v>0</v>
      </c>
      <c r="O33" s="86"/>
      <c r="P33" s="87"/>
      <c r="Q33" s="102" t="e">
        <f>#REF!</f>
        <v>#REF!</v>
      </c>
      <c r="R33" s="88"/>
      <c r="S33" s="88"/>
      <c r="T33" s="88"/>
      <c r="U33" s="88"/>
      <c r="V33" s="88"/>
      <c r="W33" s="88"/>
      <c r="X33" s="88"/>
      <c r="Y33" s="88"/>
      <c r="Z33" s="89"/>
      <c r="AA33" s="89"/>
      <c r="AB33" s="89"/>
      <c r="AC33" s="89"/>
      <c r="AD33" s="89"/>
      <c r="AE33" s="92"/>
      <c r="AF33" s="92"/>
      <c r="AG33" s="92"/>
      <c r="AH33" s="114"/>
      <c r="AI33" s="92"/>
      <c r="AJ33" s="93"/>
      <c r="AK33" s="93"/>
      <c r="AL33" s="75"/>
      <c r="AM33" s="75"/>
    </row>
    <row r="34" spans="1:39" ht="76.5">
      <c r="A34" s="73" t="str">
        <f>HYPERLINK("https://docs.google.com/spreadsheets/d/15wb_t3QfGjOFKQFBhp0BxNL5lJbMdgZAzZ-n4E7-0Mo/edit?gid=226904568#gid=226904568","21/BIM-CICHĐ2025")</f>
        <v>21/BIM-CICHĐ2025</v>
      </c>
      <c r="B34" s="74" t="s">
        <v>73</v>
      </c>
      <c r="C34" s="75"/>
      <c r="D34" s="74" t="s">
        <v>47</v>
      </c>
      <c r="E34" s="76">
        <v>456169000</v>
      </c>
      <c r="F34" s="77">
        <v>45835</v>
      </c>
      <c r="G34" s="123">
        <f>I34*1.08</f>
        <v>447874999.92000002</v>
      </c>
      <c r="H34" s="79"/>
      <c r="I34" s="80">
        <v>414699074</v>
      </c>
      <c r="J34" s="81">
        <v>46022</v>
      </c>
      <c r="K34" s="127"/>
      <c r="L34" s="128"/>
      <c r="M34" s="119">
        <f>I34*1.08-K34</f>
        <v>447874999.92000002</v>
      </c>
      <c r="N34" s="85">
        <f t="shared" ref="N34:N39" si="23">I34-R34-T34-X34</f>
        <v>165919444.40000001</v>
      </c>
      <c r="O34" s="86"/>
      <c r="P34" s="101">
        <f t="shared" ref="P34:P39" si="24">N34/I34</f>
        <v>0.40009600889535629</v>
      </c>
      <c r="Q34" s="102">
        <v>20</v>
      </c>
      <c r="R34" s="76">
        <f>ROUND((I34*Q34%),-5)</f>
        <v>82900000</v>
      </c>
      <c r="S34" s="88"/>
      <c r="T34" s="88"/>
      <c r="U34" s="102">
        <v>30</v>
      </c>
      <c r="V34" s="76">
        <f>I34*U34%</f>
        <v>124409722.19999999</v>
      </c>
      <c r="W34" s="102">
        <f t="shared" ref="W34:W39" si="25">X34/I34*100</f>
        <v>40</v>
      </c>
      <c r="X34" s="76">
        <f>V34/0.75</f>
        <v>165879629.59999999</v>
      </c>
      <c r="Y34" s="76">
        <f>(258000000-82900000)*75%</f>
        <v>131325000</v>
      </c>
      <c r="Z34" s="105" t="s">
        <v>48</v>
      </c>
      <c r="AA34" s="89"/>
      <c r="AB34" s="89"/>
      <c r="AC34" s="105">
        <v>5</v>
      </c>
      <c r="AD34" s="122">
        <f>I34*AC34%</f>
        <v>20734953.700000003</v>
      </c>
      <c r="AE34" s="92"/>
      <c r="AF34" s="92"/>
      <c r="AG34" s="92"/>
      <c r="AH34" s="114"/>
      <c r="AI34" s="92"/>
      <c r="AJ34" s="93"/>
      <c r="AK34" s="93"/>
      <c r="AL34" s="75"/>
      <c r="AM34" s="75"/>
    </row>
    <row r="35" spans="1:39" ht="25.5">
      <c r="A35" s="340" t="str">
        <f>HYPERLINK("https://docs.google.com/spreadsheets/d/15wb_t3QfGjOFKQFBhp0BxNL5lJbMdgZAzZ-n4E7-0Mo/edit?gid=890671097#gid=890671097","16/BIM-CICHĐ2025")</f>
        <v>16/BIM-CICHĐ2025</v>
      </c>
      <c r="B35" s="341" t="s">
        <v>74</v>
      </c>
      <c r="C35" s="342"/>
      <c r="D35" s="341" t="s">
        <v>75</v>
      </c>
      <c r="E35" s="332" t="e">
        <f>#REF!</f>
        <v>#REF!</v>
      </c>
      <c r="F35" s="343">
        <v>45866</v>
      </c>
      <c r="G35" s="136" t="e">
        <f t="shared" ref="G35:G39" si="26">I35/$E$111%</f>
        <v>#DIV/0!</v>
      </c>
      <c r="H35" s="333"/>
      <c r="I35" s="80">
        <v>428800000</v>
      </c>
      <c r="J35" s="81">
        <v>45916</v>
      </c>
      <c r="K35" s="368">
        <v>634088000</v>
      </c>
      <c r="L35" s="369">
        <v>45936</v>
      </c>
      <c r="M35" s="336">
        <f>I35*1.08+I36*1.1-K35</f>
        <v>0</v>
      </c>
      <c r="N35" s="85" t="e">
        <f t="shared" si="23"/>
        <v>#DIV/0!</v>
      </c>
      <c r="O35" s="86"/>
      <c r="P35" s="101" t="e">
        <f t="shared" si="24"/>
        <v>#DIV/0!</v>
      </c>
      <c r="Q35" s="102" t="e">
        <f t="shared" ref="Q35:Q39" si="27">R35/I35%</f>
        <v>#DIV/0!</v>
      </c>
      <c r="R35" s="120" t="e">
        <f t="shared" ref="R35:R39" si="28">250000*26500*26.8%*(I35/$E$111)</f>
        <v>#DIV/0!</v>
      </c>
      <c r="S35" s="105" t="e">
        <f t="shared" ref="S35:S39" si="29">T35/I35%</f>
        <v>#DIV/0!</v>
      </c>
      <c r="T35" s="76" t="e">
        <f t="shared" ref="T35:T39" si="30">80400000*(I35/$E$111)</f>
        <v>#DIV/0!</v>
      </c>
      <c r="U35" s="102">
        <v>8</v>
      </c>
      <c r="V35" s="76">
        <f t="shared" ref="V35:V39" si="31">I35*8%</f>
        <v>34304000</v>
      </c>
      <c r="W35" s="105">
        <f t="shared" si="25"/>
        <v>11.111111111111112</v>
      </c>
      <c r="X35" s="76">
        <f t="shared" ref="X35:X39" si="32">V35/0.72</f>
        <v>47644444.444444448</v>
      </c>
      <c r="Y35" s="88"/>
      <c r="Z35" s="89"/>
      <c r="AA35" s="89"/>
      <c r="AB35" s="89"/>
      <c r="AC35" s="89"/>
      <c r="AD35" s="89"/>
      <c r="AE35" s="92"/>
      <c r="AF35" s="92"/>
      <c r="AG35" s="92"/>
      <c r="AH35" s="114"/>
      <c r="AI35" s="92"/>
      <c r="AJ35" s="93"/>
      <c r="AK35" s="93"/>
      <c r="AL35" s="75"/>
      <c r="AM35" s="75"/>
    </row>
    <row r="36" spans="1:39" ht="25.5">
      <c r="A36" s="330"/>
      <c r="B36" s="330"/>
      <c r="C36" s="330"/>
      <c r="D36" s="330"/>
      <c r="E36" s="330"/>
      <c r="F36" s="330"/>
      <c r="G36" s="136" t="e">
        <f t="shared" si="26"/>
        <v>#DIV/0!</v>
      </c>
      <c r="H36" s="330"/>
      <c r="I36" s="80">
        <v>155440000</v>
      </c>
      <c r="J36" s="81">
        <v>45916</v>
      </c>
      <c r="K36" s="330"/>
      <c r="L36" s="330"/>
      <c r="M36" s="330"/>
      <c r="N36" s="85" t="e">
        <f t="shared" si="23"/>
        <v>#DIV/0!</v>
      </c>
      <c r="O36" s="86"/>
      <c r="P36" s="101" t="e">
        <f t="shared" si="24"/>
        <v>#DIV/0!</v>
      </c>
      <c r="Q36" s="102" t="e">
        <f t="shared" si="27"/>
        <v>#DIV/0!</v>
      </c>
      <c r="R36" s="120" t="e">
        <f t="shared" si="28"/>
        <v>#DIV/0!</v>
      </c>
      <c r="S36" s="105" t="e">
        <f t="shared" si="29"/>
        <v>#DIV/0!</v>
      </c>
      <c r="T36" s="76" t="e">
        <f t="shared" si="30"/>
        <v>#DIV/0!</v>
      </c>
      <c r="U36" s="102">
        <v>8</v>
      </c>
      <c r="V36" s="76">
        <f t="shared" si="31"/>
        <v>12435200</v>
      </c>
      <c r="W36" s="105">
        <f t="shared" si="25"/>
        <v>11.111111111111112</v>
      </c>
      <c r="X36" s="76">
        <f t="shared" si="32"/>
        <v>17271111.111111112</v>
      </c>
      <c r="Y36" s="88"/>
      <c r="Z36" s="105" t="s">
        <v>76</v>
      </c>
      <c r="AA36" s="89"/>
      <c r="AB36" s="89"/>
      <c r="AC36" s="140">
        <v>2.5</v>
      </c>
      <c r="AD36" s="122">
        <f t="shared" ref="AD36:AD39" si="33">I36*AC36%</f>
        <v>3886000</v>
      </c>
      <c r="AE36" s="92"/>
      <c r="AF36" s="92"/>
      <c r="AG36" s="92"/>
      <c r="AH36" s="114"/>
      <c r="AI36" s="92"/>
      <c r="AJ36" s="93"/>
      <c r="AK36" s="93"/>
      <c r="AL36" s="75"/>
      <c r="AM36" s="75"/>
    </row>
    <row r="37" spans="1:39" ht="25.5">
      <c r="A37" s="330"/>
      <c r="B37" s="330"/>
      <c r="C37" s="75"/>
      <c r="D37" s="330"/>
      <c r="E37" s="88"/>
      <c r="F37" s="130"/>
      <c r="G37" s="136" t="e">
        <f t="shared" si="26"/>
        <v>#DIV/0!</v>
      </c>
      <c r="H37" s="79"/>
      <c r="I37" s="80">
        <v>194300000</v>
      </c>
      <c r="J37" s="81">
        <v>45958</v>
      </c>
      <c r="K37" s="82">
        <v>157460000</v>
      </c>
      <c r="L37" s="83">
        <v>45996</v>
      </c>
      <c r="M37" s="336">
        <f>(I37*1.1+I38*1.1)-K37-K38</f>
        <v>0</v>
      </c>
      <c r="N37" s="85" t="e">
        <f t="shared" si="23"/>
        <v>#DIV/0!</v>
      </c>
      <c r="O37" s="86"/>
      <c r="P37" s="101" t="e">
        <f t="shared" si="24"/>
        <v>#DIV/0!</v>
      </c>
      <c r="Q37" s="102" t="e">
        <f t="shared" si="27"/>
        <v>#DIV/0!</v>
      </c>
      <c r="R37" s="120" t="e">
        <f t="shared" si="28"/>
        <v>#DIV/0!</v>
      </c>
      <c r="S37" s="105" t="e">
        <f t="shared" si="29"/>
        <v>#DIV/0!</v>
      </c>
      <c r="T37" s="76" t="e">
        <f t="shared" si="30"/>
        <v>#DIV/0!</v>
      </c>
      <c r="U37" s="102">
        <v>8</v>
      </c>
      <c r="V37" s="76">
        <f t="shared" si="31"/>
        <v>15544000</v>
      </c>
      <c r="W37" s="105">
        <f t="shared" si="25"/>
        <v>11.111111111111111</v>
      </c>
      <c r="X37" s="76">
        <f t="shared" si="32"/>
        <v>21588888.888888888</v>
      </c>
      <c r="Y37" s="88"/>
      <c r="Z37" s="105" t="s">
        <v>76</v>
      </c>
      <c r="AA37" s="89"/>
      <c r="AB37" s="89"/>
      <c r="AC37" s="140">
        <v>2.5</v>
      </c>
      <c r="AD37" s="122">
        <f t="shared" si="33"/>
        <v>4857500</v>
      </c>
      <c r="AE37" s="92"/>
      <c r="AF37" s="92"/>
      <c r="AG37" s="92"/>
      <c r="AH37" s="114"/>
      <c r="AI37" s="92"/>
      <c r="AJ37" s="93"/>
      <c r="AK37" s="93"/>
      <c r="AL37" s="75"/>
      <c r="AM37" s="75"/>
    </row>
    <row r="38" spans="1:39" ht="25.5">
      <c r="A38" s="330"/>
      <c r="B38" s="330"/>
      <c r="C38" s="75"/>
      <c r="D38" s="330"/>
      <c r="E38" s="88"/>
      <c r="F38" s="130"/>
      <c r="G38" s="136" t="e">
        <f t="shared" si="26"/>
        <v>#DIV/0!</v>
      </c>
      <c r="H38" s="79"/>
      <c r="I38" s="80">
        <v>194300000</v>
      </c>
      <c r="J38" s="81">
        <v>45958</v>
      </c>
      <c r="K38" s="82">
        <v>270000000</v>
      </c>
      <c r="L38" s="83">
        <v>45995</v>
      </c>
      <c r="M38" s="330"/>
      <c r="N38" s="85" t="e">
        <f t="shared" si="23"/>
        <v>#DIV/0!</v>
      </c>
      <c r="O38" s="86"/>
      <c r="P38" s="101" t="e">
        <f t="shared" si="24"/>
        <v>#DIV/0!</v>
      </c>
      <c r="Q38" s="102" t="e">
        <f t="shared" si="27"/>
        <v>#DIV/0!</v>
      </c>
      <c r="R38" s="120" t="e">
        <f t="shared" si="28"/>
        <v>#DIV/0!</v>
      </c>
      <c r="S38" s="105" t="e">
        <f t="shared" si="29"/>
        <v>#DIV/0!</v>
      </c>
      <c r="T38" s="76" t="e">
        <f t="shared" si="30"/>
        <v>#DIV/0!</v>
      </c>
      <c r="U38" s="102">
        <v>8</v>
      </c>
      <c r="V38" s="76">
        <f t="shared" si="31"/>
        <v>15544000</v>
      </c>
      <c r="W38" s="105">
        <f t="shared" si="25"/>
        <v>11.111111111111111</v>
      </c>
      <c r="X38" s="76">
        <f t="shared" si="32"/>
        <v>21588888.888888888</v>
      </c>
      <c r="Y38" s="88"/>
      <c r="Z38" s="105" t="s">
        <v>76</v>
      </c>
      <c r="AA38" s="89"/>
      <c r="AB38" s="89"/>
      <c r="AC38" s="140">
        <v>2.5</v>
      </c>
      <c r="AD38" s="122">
        <f t="shared" si="33"/>
        <v>4857500</v>
      </c>
      <c r="AE38" s="92"/>
      <c r="AF38" s="92"/>
      <c r="AG38" s="92"/>
      <c r="AH38" s="114"/>
      <c r="AI38" s="92"/>
      <c r="AJ38" s="93"/>
      <c r="AK38" s="93"/>
      <c r="AL38" s="75"/>
      <c r="AM38" s="75"/>
    </row>
    <row r="39" spans="1:39" ht="25.5">
      <c r="A39" s="330"/>
      <c r="B39" s="330"/>
      <c r="C39" s="75"/>
      <c r="D39" s="75"/>
      <c r="E39" s="88"/>
      <c r="F39" s="130"/>
      <c r="G39" s="136" t="e">
        <f t="shared" si="26"/>
        <v>#DIV/0!</v>
      </c>
      <c r="H39" s="79"/>
      <c r="I39" s="80">
        <v>509200000</v>
      </c>
      <c r="J39" s="81">
        <v>45993</v>
      </c>
      <c r="K39" s="82">
        <v>549936000</v>
      </c>
      <c r="L39" s="83">
        <v>46060</v>
      </c>
      <c r="M39" s="119">
        <f>I39*1.08-K39</f>
        <v>0</v>
      </c>
      <c r="N39" s="85" t="e">
        <f t="shared" si="23"/>
        <v>#DIV/0!</v>
      </c>
      <c r="O39" s="86"/>
      <c r="P39" s="101" t="e">
        <f t="shared" si="24"/>
        <v>#DIV/0!</v>
      </c>
      <c r="Q39" s="102" t="e">
        <f t="shared" si="27"/>
        <v>#DIV/0!</v>
      </c>
      <c r="R39" s="120" t="e">
        <f t="shared" si="28"/>
        <v>#DIV/0!</v>
      </c>
      <c r="S39" s="105" t="e">
        <f t="shared" si="29"/>
        <v>#DIV/0!</v>
      </c>
      <c r="T39" s="76" t="e">
        <f t="shared" si="30"/>
        <v>#DIV/0!</v>
      </c>
      <c r="U39" s="102">
        <v>8</v>
      </c>
      <c r="V39" s="76">
        <f t="shared" si="31"/>
        <v>40736000</v>
      </c>
      <c r="W39" s="105">
        <f t="shared" si="25"/>
        <v>11.111111111111112</v>
      </c>
      <c r="X39" s="76">
        <f t="shared" si="32"/>
        <v>56577777.777777784</v>
      </c>
      <c r="Y39" s="88"/>
      <c r="Z39" s="105" t="s">
        <v>76</v>
      </c>
      <c r="AA39" s="89"/>
      <c r="AB39" s="89"/>
      <c r="AC39" s="140">
        <v>2.5</v>
      </c>
      <c r="AD39" s="122">
        <f t="shared" si="33"/>
        <v>12730000</v>
      </c>
      <c r="AE39" s="92"/>
      <c r="AF39" s="92"/>
      <c r="AG39" s="92"/>
      <c r="AH39" s="114"/>
      <c r="AI39" s="92"/>
      <c r="AJ39" s="93"/>
      <c r="AK39" s="93"/>
      <c r="AL39" s="75"/>
      <c r="AM39" s="75"/>
    </row>
    <row r="40" spans="1:39">
      <c r="A40" s="340" t="str">
        <f>HYPERLINK("https://docs.google.com/spreadsheets/d/15wb_t3QfGjOFKQFBhp0BxNL5lJbMdgZAzZ-n4E7-0Mo/edit?gid=2009862464#gid=2009862464","26/BIM-CICHĐ2025")</f>
        <v>26/BIM-CICHĐ2025</v>
      </c>
      <c r="B40" s="341" t="s">
        <v>77</v>
      </c>
      <c r="C40" s="342"/>
      <c r="D40" s="341" t="s">
        <v>75</v>
      </c>
      <c r="E40" s="332">
        <v>7246800000</v>
      </c>
      <c r="F40" s="343">
        <v>45866</v>
      </c>
      <c r="G40" s="78"/>
      <c r="H40" s="79"/>
      <c r="I40" s="126"/>
      <c r="J40" s="111"/>
      <c r="K40" s="82">
        <f>1464000000*30%*1.08</f>
        <v>474336000.00000006</v>
      </c>
      <c r="L40" s="83">
        <v>45897</v>
      </c>
      <c r="M40" s="131">
        <f t="shared" ref="M40:M42" si="34">I40*1.1-K40</f>
        <v>-474336000.00000006</v>
      </c>
      <c r="N40" s="135"/>
      <c r="O40" s="86"/>
      <c r="P40" s="87"/>
      <c r="Q40" s="88"/>
      <c r="R40" s="88"/>
      <c r="S40" s="88"/>
      <c r="T40" s="88"/>
      <c r="U40" s="88"/>
      <c r="V40" s="88"/>
      <c r="W40" s="88"/>
      <c r="X40" s="88"/>
      <c r="Y40" s="88"/>
      <c r="Z40" s="89"/>
      <c r="AA40" s="89"/>
      <c r="AB40" s="89"/>
      <c r="AC40" s="89"/>
      <c r="AD40" s="89"/>
      <c r="AE40" s="92"/>
      <c r="AF40" s="92"/>
      <c r="AG40" s="92"/>
      <c r="AH40" s="114"/>
      <c r="AI40" s="92"/>
      <c r="AJ40" s="93"/>
      <c r="AK40" s="93"/>
      <c r="AL40" s="75"/>
      <c r="AM40" s="75"/>
    </row>
    <row r="41" spans="1:39">
      <c r="A41" s="330"/>
      <c r="B41" s="330"/>
      <c r="C41" s="330"/>
      <c r="D41" s="330"/>
      <c r="E41" s="330"/>
      <c r="F41" s="330"/>
      <c r="G41" s="78"/>
      <c r="H41" s="79"/>
      <c r="I41" s="126"/>
      <c r="J41" s="111"/>
      <c r="K41" s="82">
        <f>878400000*20%*1.08</f>
        <v>189734400</v>
      </c>
      <c r="L41" s="83">
        <v>45897</v>
      </c>
      <c r="M41" s="131">
        <f t="shared" si="34"/>
        <v>-189734400</v>
      </c>
      <c r="N41" s="135"/>
      <c r="O41" s="86"/>
      <c r="P41" s="87"/>
      <c r="Q41" s="88"/>
      <c r="R41" s="88"/>
      <c r="S41" s="88"/>
      <c r="T41" s="88"/>
      <c r="U41" s="88"/>
      <c r="V41" s="88"/>
      <c r="W41" s="88"/>
      <c r="X41" s="88"/>
      <c r="Y41" s="88"/>
      <c r="Z41" s="89"/>
      <c r="AA41" s="89"/>
      <c r="AB41" s="89"/>
      <c r="AC41" s="89"/>
      <c r="AD41" s="89"/>
      <c r="AE41" s="92"/>
      <c r="AF41" s="92"/>
      <c r="AG41" s="92"/>
      <c r="AH41" s="114"/>
      <c r="AI41" s="92"/>
      <c r="AJ41" s="93"/>
      <c r="AK41" s="93"/>
      <c r="AL41" s="75"/>
      <c r="AM41" s="75"/>
    </row>
    <row r="42" spans="1:39" ht="25.5">
      <c r="A42" s="330"/>
      <c r="B42" s="330"/>
      <c r="C42" s="330"/>
      <c r="D42" s="330"/>
      <c r="E42" s="330"/>
      <c r="F42" s="330"/>
      <c r="G42" s="117">
        <f>2122800000*0.25</f>
        <v>530700000</v>
      </c>
      <c r="H42" s="79"/>
      <c r="I42" s="80">
        <v>530700000</v>
      </c>
      <c r="J42" s="81">
        <v>45944</v>
      </c>
      <c r="K42" s="82">
        <v>583770000</v>
      </c>
      <c r="L42" s="83">
        <v>45954</v>
      </c>
      <c r="M42" s="84">
        <f t="shared" si="34"/>
        <v>0</v>
      </c>
      <c r="N42" s="85" t="e">
        <f t="shared" ref="N42:N43" si="35">I42-R42-T42-X42</f>
        <v>#DIV/0!</v>
      </c>
      <c r="O42" s="141"/>
      <c r="P42" s="101" t="e">
        <f t="shared" ref="P42:P43" si="36">N42/I42</f>
        <v>#DIV/0!</v>
      </c>
      <c r="Q42" s="140" t="e">
        <f t="shared" ref="Q42:Q43" si="37">R42/I42%</f>
        <v>#DIV/0!</v>
      </c>
      <c r="R42" s="120" t="e">
        <f t="shared" ref="R42:R43" si="38">250000*26500*73.2%*(G42/$E$116)</f>
        <v>#DIV/0!</v>
      </c>
      <c r="S42" s="105">
        <f t="shared" ref="S42:S43" si="39">T42/I42%</f>
        <v>3.030303043150556</v>
      </c>
      <c r="T42" s="76">
        <f>64327273*0.25</f>
        <v>16081818.25</v>
      </c>
      <c r="U42" s="102">
        <v>8</v>
      </c>
      <c r="V42" s="76">
        <f t="shared" ref="V42:V43" si="40">I42*8%</f>
        <v>42456000</v>
      </c>
      <c r="W42" s="105">
        <f t="shared" ref="W42:W43" si="41">X42/I42*100</f>
        <v>11.111111111111112</v>
      </c>
      <c r="X42" s="76">
        <f t="shared" ref="X42:X43" si="42">V42/0.72</f>
        <v>58966666.666666672</v>
      </c>
      <c r="Y42" s="76">
        <f>(276818182-64327273)*25%*72%</f>
        <v>38248363.619999997</v>
      </c>
      <c r="Z42" s="105" t="s">
        <v>76</v>
      </c>
      <c r="AA42" s="142"/>
      <c r="AB42" s="89"/>
      <c r="AC42" s="140">
        <v>2.5</v>
      </c>
      <c r="AD42" s="122">
        <f t="shared" ref="AD42:AD43" si="43">I42*AC42%</f>
        <v>13267500</v>
      </c>
      <c r="AE42" s="92"/>
      <c r="AF42" s="92"/>
      <c r="AG42" s="92"/>
      <c r="AH42" s="114"/>
      <c r="AI42" s="92"/>
      <c r="AJ42" s="93"/>
      <c r="AK42" s="93"/>
      <c r="AL42" s="75"/>
      <c r="AM42" s="75"/>
    </row>
    <row r="43" spans="1:39" ht="25.5">
      <c r="A43" s="330"/>
      <c r="B43" s="330"/>
      <c r="C43" s="330"/>
      <c r="D43" s="330"/>
      <c r="E43" s="330"/>
      <c r="F43" s="330"/>
      <c r="G43" s="344">
        <f>2781600000*0.7</f>
        <v>1947119999.9999998</v>
      </c>
      <c r="H43" s="79"/>
      <c r="I43" s="334">
        <v>1947120000</v>
      </c>
      <c r="J43" s="335">
        <v>45974</v>
      </c>
      <c r="K43" s="82">
        <f>2781600000*20%*1.08</f>
        <v>600825600</v>
      </c>
      <c r="L43" s="83">
        <v>45897</v>
      </c>
      <c r="M43" s="336">
        <f>I43*1.08-K43-K44</f>
        <v>0</v>
      </c>
      <c r="N43" s="337" t="e">
        <f t="shared" si="35"/>
        <v>#DIV/0!</v>
      </c>
      <c r="O43" s="383"/>
      <c r="P43" s="101" t="e">
        <f t="shared" si="36"/>
        <v>#DIV/0!</v>
      </c>
      <c r="Q43" s="140" t="e">
        <f t="shared" si="37"/>
        <v>#DIV/0!</v>
      </c>
      <c r="R43" s="120" t="e">
        <f t="shared" si="38"/>
        <v>#DIV/0!</v>
      </c>
      <c r="S43" s="105">
        <f t="shared" si="39"/>
        <v>3.0303030270348001</v>
      </c>
      <c r="T43" s="76">
        <f>84290909*0.7</f>
        <v>59003636.299999997</v>
      </c>
      <c r="U43" s="102">
        <v>8</v>
      </c>
      <c r="V43" s="76">
        <f t="shared" si="40"/>
        <v>155769600</v>
      </c>
      <c r="W43" s="105">
        <f t="shared" si="41"/>
        <v>11.111111111111112</v>
      </c>
      <c r="X43" s="76">
        <f t="shared" si="42"/>
        <v>216346666.66666669</v>
      </c>
      <c r="Y43" s="76">
        <f>(362727273-84290909)*0.7*0.72</f>
        <v>140331927.45599997</v>
      </c>
      <c r="Z43" s="105" t="s">
        <v>76</v>
      </c>
      <c r="AA43" s="89"/>
      <c r="AB43" s="89"/>
      <c r="AC43" s="140">
        <v>2.5</v>
      </c>
      <c r="AD43" s="122">
        <f t="shared" si="43"/>
        <v>48678000</v>
      </c>
      <c r="AE43" s="92"/>
      <c r="AF43" s="92"/>
      <c r="AG43" s="92"/>
      <c r="AH43" s="114"/>
      <c r="AI43" s="92"/>
      <c r="AJ43" s="93"/>
      <c r="AK43" s="93"/>
      <c r="AL43" s="75"/>
      <c r="AM43" s="75"/>
    </row>
    <row r="44" spans="1:39">
      <c r="A44" s="330"/>
      <c r="B44" s="330"/>
      <c r="C44" s="330"/>
      <c r="D44" s="330"/>
      <c r="E44" s="330"/>
      <c r="F44" s="330"/>
      <c r="G44" s="330"/>
      <c r="H44" s="79"/>
      <c r="I44" s="330"/>
      <c r="J44" s="330"/>
      <c r="K44" s="82">
        <f>1502064000</f>
        <v>1502064000</v>
      </c>
      <c r="L44" s="83">
        <v>45986</v>
      </c>
      <c r="M44" s="330"/>
      <c r="N44" s="330"/>
      <c r="O44" s="330"/>
      <c r="P44" s="87"/>
      <c r="Q44" s="88"/>
      <c r="R44" s="88"/>
      <c r="S44" s="88"/>
      <c r="T44" s="88"/>
      <c r="U44" s="88"/>
      <c r="V44" s="88"/>
      <c r="W44" s="88"/>
      <c r="X44" s="88"/>
      <c r="Y44" s="88"/>
      <c r="Z44" s="89"/>
      <c r="AA44" s="89"/>
      <c r="AB44" s="89"/>
      <c r="AC44" s="89"/>
      <c r="AD44" s="89"/>
      <c r="AE44" s="92"/>
      <c r="AF44" s="92"/>
      <c r="AG44" s="92"/>
      <c r="AH44" s="114"/>
      <c r="AI44" s="92"/>
      <c r="AJ44" s="93"/>
      <c r="AK44" s="93"/>
      <c r="AL44" s="75"/>
      <c r="AM44" s="75"/>
    </row>
    <row r="45" spans="1:39" ht="25.5">
      <c r="A45" s="330"/>
      <c r="B45" s="330"/>
      <c r="C45" s="330"/>
      <c r="D45" s="330"/>
      <c r="E45" s="330"/>
      <c r="F45" s="330"/>
      <c r="G45" s="117">
        <f>2122800000*0.45</f>
        <v>955260000</v>
      </c>
      <c r="H45" s="79"/>
      <c r="I45" s="334">
        <v>955260000</v>
      </c>
      <c r="J45" s="335">
        <v>45974</v>
      </c>
      <c r="K45" s="82">
        <f>2122800000*20%*1.1</f>
        <v>467016000.00000006</v>
      </c>
      <c r="L45" s="83">
        <v>45897</v>
      </c>
      <c r="M45" s="336">
        <f>I45*1.1-K45-K46</f>
        <v>0</v>
      </c>
      <c r="N45" s="85" t="e">
        <f>I45-R45-T45-X45</f>
        <v>#DIV/0!</v>
      </c>
      <c r="O45" s="86"/>
      <c r="P45" s="101" t="e">
        <f>N45/I45</f>
        <v>#DIV/0!</v>
      </c>
      <c r="Q45" s="140" t="e">
        <f>R45/I45%</f>
        <v>#DIV/0!</v>
      </c>
      <c r="R45" s="120" t="e">
        <f>250000*26500*73.2%*(G45/$E$116)</f>
        <v>#DIV/0!</v>
      </c>
      <c r="S45" s="105">
        <f>T45/I45%</f>
        <v>3.030303043150556</v>
      </c>
      <c r="T45" s="76">
        <f>64327273*0.45</f>
        <v>28947272.850000001</v>
      </c>
      <c r="U45" s="102">
        <v>8</v>
      </c>
      <c r="V45" s="76">
        <f>I45*8%</f>
        <v>76420800</v>
      </c>
      <c r="W45" s="105">
        <f>X45/I45*100</f>
        <v>11.111111111111111</v>
      </c>
      <c r="X45" s="76">
        <f>V45/0.72</f>
        <v>106140000</v>
      </c>
      <c r="Y45" s="76">
        <f>(276818182-64327273)*45%*72%</f>
        <v>68847054.516000003</v>
      </c>
      <c r="Z45" s="105" t="s">
        <v>76</v>
      </c>
      <c r="AA45" s="89"/>
      <c r="AB45" s="89"/>
      <c r="AC45" s="140">
        <v>2.5</v>
      </c>
      <c r="AD45" s="122">
        <f>I45*AC45%</f>
        <v>23881500</v>
      </c>
      <c r="AE45" s="92"/>
      <c r="AF45" s="92"/>
      <c r="AG45" s="92"/>
      <c r="AH45" s="114"/>
      <c r="AI45" s="92"/>
      <c r="AJ45" s="93"/>
      <c r="AK45" s="93"/>
      <c r="AL45" s="75"/>
      <c r="AM45" s="75"/>
    </row>
    <row r="46" spans="1:39">
      <c r="A46" s="330"/>
      <c r="B46" s="330"/>
      <c r="C46" s="330"/>
      <c r="D46" s="330"/>
      <c r="E46" s="330"/>
      <c r="F46" s="330"/>
      <c r="G46" s="115"/>
      <c r="H46" s="79"/>
      <c r="I46" s="330"/>
      <c r="J46" s="330"/>
      <c r="K46" s="82">
        <v>583770000</v>
      </c>
      <c r="L46" s="83">
        <v>45986</v>
      </c>
      <c r="M46" s="330"/>
      <c r="N46" s="135"/>
      <c r="O46" s="86"/>
      <c r="P46" s="87"/>
      <c r="Q46" s="88"/>
      <c r="R46" s="88"/>
      <c r="S46" s="88"/>
      <c r="T46" s="88"/>
      <c r="U46" s="88"/>
      <c r="V46" s="88"/>
      <c r="W46" s="88"/>
      <c r="X46" s="88"/>
      <c r="Y46" s="88"/>
      <c r="Z46" s="89"/>
      <c r="AA46" s="89"/>
      <c r="AB46" s="89"/>
      <c r="AC46" s="89"/>
      <c r="AD46" s="89"/>
      <c r="AE46" s="92"/>
      <c r="AF46" s="92"/>
      <c r="AG46" s="92"/>
      <c r="AH46" s="114"/>
      <c r="AI46" s="92"/>
      <c r="AJ46" s="93"/>
      <c r="AK46" s="93"/>
      <c r="AL46" s="75"/>
      <c r="AM46" s="75"/>
    </row>
    <row r="47" spans="1:39" ht="51">
      <c r="A47" s="129" t="str">
        <f>HYPERLINK("https://docs.google.com/spreadsheets/d/15wb_t3QfGjOFKQFBhp0BxNL5lJbMdgZAzZ-n4E7-0Mo/edit?gid=1277984756#gid=1277984756","29/BIM-CICHĐ2025")</f>
        <v>29/BIM-CICHĐ2025</v>
      </c>
      <c r="B47" s="74" t="s">
        <v>78</v>
      </c>
      <c r="C47" s="75"/>
      <c r="D47" s="74" t="s">
        <v>79</v>
      </c>
      <c r="E47" s="76">
        <v>388800000</v>
      </c>
      <c r="F47" s="77">
        <v>45866</v>
      </c>
      <c r="G47" s="143"/>
      <c r="H47" s="79"/>
      <c r="I47" s="126"/>
      <c r="J47" s="111"/>
      <c r="K47" s="82">
        <v>97200000</v>
      </c>
      <c r="L47" s="83">
        <v>45889</v>
      </c>
      <c r="M47" s="131">
        <f>I47*1.08-K47</f>
        <v>-97200000</v>
      </c>
      <c r="N47" s="85">
        <v>0</v>
      </c>
      <c r="O47" s="86"/>
      <c r="P47" s="87"/>
      <c r="Q47" s="102" t="e">
        <f>#REF!</f>
        <v>#REF!</v>
      </c>
      <c r="R47" s="88"/>
      <c r="S47" s="102">
        <v>0</v>
      </c>
      <c r="T47" s="88"/>
      <c r="U47" s="88"/>
      <c r="V47" s="88"/>
      <c r="W47" s="88"/>
      <c r="X47" s="88"/>
      <c r="Y47" s="88"/>
      <c r="Z47" s="89"/>
      <c r="AA47" s="89"/>
      <c r="AB47" s="89"/>
      <c r="AC47" s="89"/>
      <c r="AD47" s="89"/>
      <c r="AE47" s="92"/>
      <c r="AF47" s="92"/>
      <c r="AG47" s="92"/>
      <c r="AH47" s="114"/>
      <c r="AI47" s="92"/>
      <c r="AJ47" s="93"/>
      <c r="AK47" s="93"/>
      <c r="AL47" s="75"/>
      <c r="AM47" s="75"/>
    </row>
    <row r="48" spans="1:39">
      <c r="A48" s="340" t="str">
        <f>HYPERLINK("https://docs.google.com/spreadsheets/d/15wb_t3QfGjOFKQFBhp0BxNL5lJbMdgZAzZ-n4E7-0Mo/edit?gid=325900765#gid=325900765","33/BIM-CICHĐ2025")</f>
        <v>33/BIM-CICHĐ2025</v>
      </c>
      <c r="B48" s="341" t="s">
        <v>80</v>
      </c>
      <c r="C48" s="342"/>
      <c r="D48" s="341" t="s">
        <v>79</v>
      </c>
      <c r="E48" s="332">
        <v>126584000</v>
      </c>
      <c r="F48" s="343">
        <v>45854</v>
      </c>
      <c r="G48" s="344">
        <f>I48*1.08</f>
        <v>88608799.800000012</v>
      </c>
      <c r="H48" s="333"/>
      <c r="I48" s="334">
        <v>82045185</v>
      </c>
      <c r="J48" s="335">
        <v>46014</v>
      </c>
      <c r="K48" s="82">
        <v>37975200</v>
      </c>
      <c r="L48" s="83">
        <v>45883</v>
      </c>
      <c r="M48" s="336">
        <f>I48*1.08-K48-K49</f>
        <v>-0.19999998807907104</v>
      </c>
      <c r="N48" s="337">
        <f>I48-R48-T48-X48</f>
        <v>43757432</v>
      </c>
      <c r="O48" s="338"/>
      <c r="P48" s="339">
        <f>N48/I48</f>
        <v>0.53333333333333333</v>
      </c>
      <c r="Q48" s="329">
        <v>0</v>
      </c>
      <c r="R48" s="331"/>
      <c r="S48" s="329">
        <v>20</v>
      </c>
      <c r="T48" s="332">
        <f>I48*S48%</f>
        <v>16409037</v>
      </c>
      <c r="U48" s="329">
        <v>20</v>
      </c>
      <c r="V48" s="332">
        <f>I48*U48%</f>
        <v>16409037</v>
      </c>
      <c r="W48" s="329">
        <f>X48/I48*100</f>
        <v>26.666666666666668</v>
      </c>
      <c r="X48" s="332">
        <f>V48/0.75</f>
        <v>21878716</v>
      </c>
      <c r="Y48" s="331"/>
      <c r="Z48" s="331"/>
      <c r="AA48" s="331"/>
      <c r="AB48" s="331"/>
      <c r="AC48" s="329">
        <v>5</v>
      </c>
      <c r="AD48" s="332">
        <f>I48*AC48%</f>
        <v>4102259.25</v>
      </c>
      <c r="AE48" s="92"/>
      <c r="AF48" s="92"/>
      <c r="AG48" s="92"/>
      <c r="AH48" s="114"/>
      <c r="AI48" s="92"/>
      <c r="AJ48" s="93"/>
      <c r="AK48" s="93"/>
      <c r="AL48" s="75"/>
      <c r="AM48" s="75"/>
    </row>
    <row r="49" spans="1:39">
      <c r="A49" s="330"/>
      <c r="B49" s="330"/>
      <c r="C49" s="330"/>
      <c r="D49" s="330"/>
      <c r="E49" s="330"/>
      <c r="F49" s="330"/>
      <c r="G49" s="330"/>
      <c r="H49" s="330"/>
      <c r="I49" s="330"/>
      <c r="J49" s="330"/>
      <c r="K49" s="82">
        <v>50633600</v>
      </c>
      <c r="L49" s="83">
        <v>46015</v>
      </c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92"/>
      <c r="AF49" s="92"/>
      <c r="AG49" s="92"/>
      <c r="AH49" s="114"/>
      <c r="AI49" s="92"/>
      <c r="AJ49" s="93"/>
      <c r="AK49" s="93"/>
      <c r="AL49" s="75"/>
      <c r="AM49" s="75"/>
    </row>
    <row r="50" spans="1:39" ht="63.75">
      <c r="A50" s="73" t="str">
        <f>HYPERLINK("https://docs.google.com/spreadsheets/d/15wb_t3QfGjOFKQFBhp0BxNL5lJbMdgZAzZ-n4E7-0Mo/edit?gid=47430839#gid=47430839","34/BIM-CICHĐ2025")</f>
        <v>34/BIM-CICHĐ2025</v>
      </c>
      <c r="B50" s="74" t="s">
        <v>81</v>
      </c>
      <c r="C50" s="75"/>
      <c r="D50" s="74" t="s">
        <v>79</v>
      </c>
      <c r="E50" s="76">
        <v>816644000</v>
      </c>
      <c r="F50" s="77">
        <v>45854</v>
      </c>
      <c r="G50" s="115"/>
      <c r="H50" s="79"/>
      <c r="I50" s="126"/>
      <c r="J50" s="111"/>
      <c r="K50" s="82">
        <v>244993200</v>
      </c>
      <c r="L50" s="83">
        <v>45883</v>
      </c>
      <c r="M50" s="113"/>
      <c r="N50" s="85">
        <v>0</v>
      </c>
      <c r="O50" s="86"/>
      <c r="P50" s="87"/>
      <c r="Q50" s="102" t="e">
        <f>#REF!</f>
        <v>#REF!</v>
      </c>
      <c r="R50" s="88"/>
      <c r="S50" s="88"/>
      <c r="T50" s="88"/>
      <c r="U50" s="88"/>
      <c r="V50" s="88"/>
      <c r="W50" s="88"/>
      <c r="X50" s="88"/>
      <c r="Y50" s="88"/>
      <c r="Z50" s="89"/>
      <c r="AA50" s="89"/>
      <c r="AB50" s="89"/>
      <c r="AC50" s="89"/>
      <c r="AD50" s="89"/>
      <c r="AE50" s="92"/>
      <c r="AF50" s="92"/>
      <c r="AG50" s="92"/>
      <c r="AH50" s="114"/>
      <c r="AI50" s="92"/>
      <c r="AJ50" s="93"/>
      <c r="AK50" s="93"/>
      <c r="AL50" s="75"/>
      <c r="AM50" s="75"/>
    </row>
    <row r="51" spans="1:39">
      <c r="A51" s="340" t="str">
        <f>HYPERLINK("https://docs.google.com/spreadsheets/d/15wb_t3QfGjOFKQFBhp0BxNL5lJbMdgZAzZ-n4E7-0Mo/edit?gid=1980884150#gid=1980884150","35/BIM-CICHĐ2025")</f>
        <v>35/BIM-CICHĐ2025</v>
      </c>
      <c r="B51" s="341" t="s">
        <v>82</v>
      </c>
      <c r="C51" s="342"/>
      <c r="D51" s="341" t="s">
        <v>79</v>
      </c>
      <c r="E51" s="332">
        <v>138738000</v>
      </c>
      <c r="F51" s="343">
        <v>45854</v>
      </c>
      <c r="G51" s="344">
        <f>I51*1.08</f>
        <v>97116600.24000001</v>
      </c>
      <c r="H51" s="333"/>
      <c r="I51" s="334">
        <v>89922778</v>
      </c>
      <c r="J51" s="335">
        <v>46014</v>
      </c>
      <c r="K51" s="82">
        <v>41621400</v>
      </c>
      <c r="L51" s="83">
        <v>45883</v>
      </c>
      <c r="M51" s="336">
        <f>I51*1.08-K51-K52</f>
        <v>0.24000000953674316</v>
      </c>
      <c r="N51" s="337">
        <f>I51-R51-T51-X51</f>
        <v>47958814.933333337</v>
      </c>
      <c r="O51" s="338"/>
      <c r="P51" s="339">
        <f>N51/I51</f>
        <v>0.53333333333333333</v>
      </c>
      <c r="Q51" s="329">
        <v>0</v>
      </c>
      <c r="R51" s="331"/>
      <c r="S51" s="329">
        <v>20</v>
      </c>
      <c r="T51" s="332">
        <f>I51*S51%</f>
        <v>17984555.600000001</v>
      </c>
      <c r="U51" s="329">
        <v>20</v>
      </c>
      <c r="V51" s="332">
        <f>I51*U51%</f>
        <v>17984555.600000001</v>
      </c>
      <c r="W51" s="329">
        <f>X51/I51*100</f>
        <v>26.666666666666668</v>
      </c>
      <c r="X51" s="332">
        <f>V51/0.75</f>
        <v>23979407.466666669</v>
      </c>
      <c r="Y51" s="331"/>
      <c r="Z51" s="331"/>
      <c r="AA51" s="331"/>
      <c r="AB51" s="331"/>
      <c r="AC51" s="329">
        <v>5</v>
      </c>
      <c r="AD51" s="332">
        <f>I51*AC51%</f>
        <v>4496138.9000000004</v>
      </c>
      <c r="AE51" s="92"/>
      <c r="AF51" s="92"/>
      <c r="AG51" s="92"/>
      <c r="AH51" s="114"/>
      <c r="AI51" s="92"/>
      <c r="AJ51" s="93"/>
      <c r="AK51" s="93"/>
      <c r="AL51" s="75"/>
      <c r="AM51" s="75"/>
    </row>
    <row r="52" spans="1:39">
      <c r="A52" s="330"/>
      <c r="B52" s="330"/>
      <c r="C52" s="330"/>
      <c r="D52" s="330"/>
      <c r="E52" s="330"/>
      <c r="F52" s="330"/>
      <c r="G52" s="330"/>
      <c r="H52" s="330"/>
      <c r="I52" s="330"/>
      <c r="J52" s="330"/>
      <c r="K52" s="82">
        <v>55495200</v>
      </c>
      <c r="L52" s="83">
        <v>46015</v>
      </c>
      <c r="M52" s="330"/>
      <c r="N52" s="330"/>
      <c r="O52" s="330"/>
      <c r="P52" s="330"/>
      <c r="Q52" s="330"/>
      <c r="R52" s="330"/>
      <c r="S52" s="330"/>
      <c r="T52" s="330"/>
      <c r="U52" s="330"/>
      <c r="V52" s="330"/>
      <c r="W52" s="330"/>
      <c r="X52" s="330"/>
      <c r="Y52" s="330"/>
      <c r="Z52" s="330"/>
      <c r="AA52" s="330"/>
      <c r="AB52" s="330"/>
      <c r="AC52" s="330"/>
      <c r="AD52" s="330"/>
      <c r="AE52" s="92"/>
      <c r="AF52" s="92"/>
      <c r="AG52" s="92"/>
      <c r="AH52" s="114"/>
      <c r="AI52" s="92"/>
      <c r="AJ52" s="93"/>
      <c r="AK52" s="93"/>
      <c r="AL52" s="75"/>
      <c r="AM52" s="75"/>
    </row>
    <row r="53" spans="1:39" ht="63.75">
      <c r="A53" s="73" t="str">
        <f>HYPERLINK("https://docs.google.com/spreadsheets/d/15wb_t3QfGjOFKQFBhp0BxNL5lJbMdgZAzZ-n4E7-0Mo/edit?gid=606557710#gid=606557710","36/BIM-CICHĐ2025")</f>
        <v>36/BIM-CICHĐ2025</v>
      </c>
      <c r="B53" s="74" t="s">
        <v>83</v>
      </c>
      <c r="C53" s="75"/>
      <c r="D53" s="74" t="s">
        <v>79</v>
      </c>
      <c r="E53" s="76">
        <v>864536000</v>
      </c>
      <c r="F53" s="77">
        <v>45854</v>
      </c>
      <c r="G53" s="115"/>
      <c r="H53" s="79"/>
      <c r="I53" s="126"/>
      <c r="J53" s="111"/>
      <c r="K53" s="82">
        <v>259360800</v>
      </c>
      <c r="L53" s="83">
        <v>45883</v>
      </c>
      <c r="M53" s="113"/>
      <c r="N53" s="85">
        <v>0</v>
      </c>
      <c r="O53" s="86"/>
      <c r="P53" s="87"/>
      <c r="Q53" s="88"/>
      <c r="R53" s="88"/>
      <c r="S53" s="88"/>
      <c r="T53" s="88"/>
      <c r="U53" s="88"/>
      <c r="V53" s="88"/>
      <c r="W53" s="88"/>
      <c r="X53" s="88"/>
      <c r="Y53" s="88"/>
      <c r="Z53" s="89"/>
      <c r="AA53" s="89"/>
      <c r="AB53" s="89"/>
      <c r="AC53" s="89"/>
      <c r="AD53" s="89"/>
      <c r="AE53" s="92"/>
      <c r="AF53" s="92"/>
      <c r="AG53" s="92"/>
      <c r="AH53" s="114"/>
      <c r="AI53" s="92"/>
      <c r="AJ53" s="93"/>
      <c r="AK53" s="93"/>
      <c r="AL53" s="75"/>
      <c r="AM53" s="75"/>
    </row>
    <row r="54" spans="1:39" ht="25.5">
      <c r="A54" s="129" t="str">
        <f>HYPERLINK("https://docs.google.com/spreadsheets/d/15wb_t3QfGjOFKQFBhp0BxNL5lJbMdgZAzZ-n4E7-0Mo/edit?gid=914910345#gid=914910345","32/BIM-CICHĐ2025")</f>
        <v>32/BIM-CICHĐ2025</v>
      </c>
      <c r="B54" s="74" t="s">
        <v>84</v>
      </c>
      <c r="C54" s="75"/>
      <c r="D54" s="74" t="s">
        <v>85</v>
      </c>
      <c r="E54" s="76">
        <v>60000000</v>
      </c>
      <c r="F54" s="77">
        <v>45881</v>
      </c>
      <c r="G54" s="115"/>
      <c r="H54" s="79"/>
      <c r="I54" s="126"/>
      <c r="J54" s="111"/>
      <c r="K54" s="82">
        <v>30000000</v>
      </c>
      <c r="L54" s="83">
        <v>45904</v>
      </c>
      <c r="M54" s="131">
        <f>I54*1.1-K54</f>
        <v>-30000000</v>
      </c>
      <c r="N54" s="85">
        <f>I54-R54-T54-X54</f>
        <v>0</v>
      </c>
      <c r="O54" s="86"/>
      <c r="P54" s="101" t="e">
        <f t="shared" ref="P54:P55" si="44">N54/I54</f>
        <v>#DIV/0!</v>
      </c>
      <c r="Q54" s="102">
        <v>0</v>
      </c>
      <c r="R54" s="88"/>
      <c r="S54" s="102">
        <v>0</v>
      </c>
      <c r="T54" s="88"/>
      <c r="U54" s="88"/>
      <c r="V54" s="76" t="e">
        <f>#REF!+#REF!</f>
        <v>#REF!</v>
      </c>
      <c r="W54" s="88"/>
      <c r="X54" s="88"/>
      <c r="Y54" s="88"/>
      <c r="Z54" s="89"/>
      <c r="AA54" s="89"/>
      <c r="AB54" s="89"/>
      <c r="AC54" s="105">
        <v>5</v>
      </c>
      <c r="AD54" s="122">
        <f>I54*AC54%</f>
        <v>0</v>
      </c>
      <c r="AE54" s="92"/>
      <c r="AF54" s="92"/>
      <c r="AG54" s="92"/>
      <c r="AH54" s="114"/>
      <c r="AI54" s="92"/>
      <c r="AJ54" s="93"/>
      <c r="AK54" s="93"/>
      <c r="AL54" s="75"/>
      <c r="AM54" s="75"/>
    </row>
    <row r="55" spans="1:39">
      <c r="A55" s="340" t="str">
        <f>HYPERLINK("https://docs.google.com/spreadsheets/d/15wb_t3QfGjOFKQFBhp0BxNL5lJbMdgZAzZ-n4E7-0Mo/edit?gid=910699728#gid=910699728","38/BIM-CICHĐ2025")</f>
        <v>38/BIM-CICHĐ2025</v>
      </c>
      <c r="B55" s="341" t="s">
        <v>86</v>
      </c>
      <c r="C55" s="342"/>
      <c r="D55" s="341" t="s">
        <v>79</v>
      </c>
      <c r="E55" s="332">
        <v>3448000000</v>
      </c>
      <c r="F55" s="343">
        <v>45877</v>
      </c>
      <c r="G55" s="344">
        <f>I55*1.08</f>
        <v>1379199999.96</v>
      </c>
      <c r="H55" s="333"/>
      <c r="I55" s="360">
        <v>1277037037</v>
      </c>
      <c r="J55" s="335">
        <v>46013</v>
      </c>
      <c r="K55" s="82">
        <v>689600000</v>
      </c>
      <c r="L55" s="145">
        <v>45848</v>
      </c>
      <c r="M55" s="336">
        <f>I55*1.08-K55-K56</f>
        <v>-3.9999961853027344E-2</v>
      </c>
      <c r="N55" s="337">
        <f>I55-R55-T55-X55-55000000*40%</f>
        <v>706493827.13333333</v>
      </c>
      <c r="O55" s="338"/>
      <c r="P55" s="339">
        <f t="shared" si="44"/>
        <v>0.55322892497544163</v>
      </c>
      <c r="Q55" s="329">
        <v>15</v>
      </c>
      <c r="R55" s="332">
        <f>390000000*40%</f>
        <v>156000000</v>
      </c>
      <c r="S55" s="329">
        <v>5</v>
      </c>
      <c r="T55" s="346">
        <f>130000000*40%</f>
        <v>52000000</v>
      </c>
      <c r="U55" s="329">
        <f>V55/I55%</f>
        <v>20</v>
      </c>
      <c r="V55" s="332">
        <f>I55*20%</f>
        <v>255407407.40000001</v>
      </c>
      <c r="W55" s="329">
        <f>X55/I55%</f>
        <v>26.666666666666668</v>
      </c>
      <c r="X55" s="332">
        <f>V55/0.75</f>
        <v>340543209.86666667</v>
      </c>
      <c r="Y55" s="332">
        <f>196500000*2</f>
        <v>393000000</v>
      </c>
      <c r="Z55" s="329" t="s">
        <v>48</v>
      </c>
      <c r="AA55" s="331"/>
      <c r="AB55" s="332">
        <f>(3100000000-500000000)*40%*AA55%</f>
        <v>0</v>
      </c>
      <c r="AC55" s="329">
        <v>5</v>
      </c>
      <c r="AD55" s="346">
        <f>(3100000000-500000000)*40%*AC55%</f>
        <v>52000000</v>
      </c>
      <c r="AE55" s="92"/>
      <c r="AF55" s="92"/>
      <c r="AG55" s="92"/>
      <c r="AH55" s="114"/>
      <c r="AI55" s="92"/>
      <c r="AJ55" s="93"/>
      <c r="AK55" s="93"/>
      <c r="AL55" s="75"/>
      <c r="AM55" s="75"/>
    </row>
    <row r="56" spans="1:39">
      <c r="A56" s="330"/>
      <c r="B56" s="330"/>
      <c r="C56" s="330"/>
      <c r="D56" s="330"/>
      <c r="E56" s="330"/>
      <c r="F56" s="330"/>
      <c r="G56" s="330"/>
      <c r="H56" s="330"/>
      <c r="I56" s="330"/>
      <c r="J56" s="330"/>
      <c r="K56" s="82">
        <f>450000000+239600000</f>
        <v>689600000</v>
      </c>
      <c r="L56" s="145">
        <v>46016</v>
      </c>
      <c r="M56" s="330"/>
      <c r="N56" s="330"/>
      <c r="O56" s="330"/>
      <c r="P56" s="330"/>
      <c r="Q56" s="330"/>
      <c r="R56" s="330"/>
      <c r="S56" s="330"/>
      <c r="T56" s="330"/>
      <c r="U56" s="330"/>
      <c r="V56" s="330"/>
      <c r="W56" s="330"/>
      <c r="X56" s="330"/>
      <c r="Y56" s="330"/>
      <c r="Z56" s="330"/>
      <c r="AA56" s="330"/>
      <c r="AB56" s="330"/>
      <c r="AC56" s="330"/>
      <c r="AD56" s="330"/>
      <c r="AE56" s="92"/>
      <c r="AF56" s="92"/>
      <c r="AG56" s="92"/>
      <c r="AH56" s="114"/>
      <c r="AI56" s="92"/>
      <c r="AJ56" s="93"/>
      <c r="AK56" s="93"/>
      <c r="AL56" s="75"/>
      <c r="AM56" s="75"/>
    </row>
    <row r="57" spans="1:39">
      <c r="A57" s="330"/>
      <c r="B57" s="330"/>
      <c r="C57" s="330"/>
      <c r="D57" s="330"/>
      <c r="E57" s="330"/>
      <c r="F57" s="330"/>
      <c r="G57" s="117">
        <f>I57*1.08</f>
        <v>1206799999.5600002</v>
      </c>
      <c r="H57" s="79"/>
      <c r="I57" s="144">
        <v>1117407407</v>
      </c>
      <c r="J57" s="81">
        <v>46022</v>
      </c>
      <c r="K57" s="127"/>
      <c r="L57" s="128"/>
      <c r="M57" s="119">
        <f>I57*1.08-K57</f>
        <v>1206799999.5600002</v>
      </c>
      <c r="N57" s="85">
        <f>I57-R57-T57-X57-55000000*35%</f>
        <v>618182098.4666667</v>
      </c>
      <c r="O57" s="86"/>
      <c r="P57" s="101">
        <f t="shared" ref="P57:P58" si="45">N57/I57</f>
        <v>0.55322892491499898</v>
      </c>
      <c r="Q57" s="102">
        <v>15</v>
      </c>
      <c r="R57" s="76">
        <f>390000000*35%</f>
        <v>136500000</v>
      </c>
      <c r="S57" s="102">
        <v>5</v>
      </c>
      <c r="T57" s="120">
        <f>130000000*35%</f>
        <v>45500000</v>
      </c>
      <c r="U57" s="102">
        <f>V57/I57%</f>
        <v>20</v>
      </c>
      <c r="V57" s="76">
        <f>I57*20%</f>
        <v>223481481.40000001</v>
      </c>
      <c r="W57" s="102">
        <f>X57/I57%</f>
        <v>26.666666666666668</v>
      </c>
      <c r="X57" s="76">
        <f>V57/0.75</f>
        <v>297975308.53333336</v>
      </c>
      <c r="Y57" s="76">
        <f>(1700000000-390000000)*35%*0.75</f>
        <v>343875000</v>
      </c>
      <c r="Z57" s="105" t="s">
        <v>48</v>
      </c>
      <c r="AA57" s="89"/>
      <c r="AB57" s="89"/>
      <c r="AC57" s="105">
        <v>5</v>
      </c>
      <c r="AD57" s="146">
        <f>(3100000000-500000000)*35%*AC57%</f>
        <v>45500000</v>
      </c>
      <c r="AE57" s="92"/>
      <c r="AF57" s="92"/>
      <c r="AG57" s="92"/>
      <c r="AH57" s="114"/>
      <c r="AI57" s="92"/>
      <c r="AJ57" s="93"/>
      <c r="AK57" s="93"/>
      <c r="AL57" s="75"/>
      <c r="AM57" s="75"/>
    </row>
    <row r="58" spans="1:39">
      <c r="A58" s="345" t="str">
        <f>HYPERLINK("https://docs.google.com/spreadsheets/d/15wb_t3QfGjOFKQFBhp0BxNL5lJbMdgZAzZ-n4E7-0Mo/edit?gid=537029781#gid=537029781","10/BIM-CICHĐ2025")</f>
        <v>10/BIM-CICHĐ2025</v>
      </c>
      <c r="B58" s="341" t="s">
        <v>87</v>
      </c>
      <c r="C58" s="342"/>
      <c r="D58" s="341" t="s">
        <v>79</v>
      </c>
      <c r="E58" s="332">
        <v>270570000</v>
      </c>
      <c r="F58" s="343">
        <v>45892</v>
      </c>
      <c r="G58" s="344">
        <f>E58/1.1*1.08</f>
        <v>265650545.45454544</v>
      </c>
      <c r="H58" s="333"/>
      <c r="I58" s="334">
        <v>245972727</v>
      </c>
      <c r="J58" s="335">
        <v>46021</v>
      </c>
      <c r="K58" s="82">
        <v>212520000</v>
      </c>
      <c r="L58" s="83">
        <v>46022</v>
      </c>
      <c r="M58" s="348">
        <f>I58*1.08-K58-K59</f>
        <v>53130545.160000026</v>
      </c>
      <c r="N58" s="337">
        <f>I58-R58-T58-X58</f>
        <v>140555844</v>
      </c>
      <c r="O58" s="338"/>
      <c r="P58" s="339">
        <f t="shared" si="45"/>
        <v>0.5714285714285714</v>
      </c>
      <c r="Q58" s="329">
        <v>0</v>
      </c>
      <c r="R58" s="331"/>
      <c r="S58" s="329">
        <v>0</v>
      </c>
      <c r="T58" s="331"/>
      <c r="U58" s="329">
        <v>30</v>
      </c>
      <c r="V58" s="332">
        <f>I58*U58%</f>
        <v>73791818.099999994</v>
      </c>
      <c r="W58" s="329">
        <f>X58/I58*100</f>
        <v>42.857142857142854</v>
      </c>
      <c r="X58" s="332">
        <f>V58/0.7</f>
        <v>105416883</v>
      </c>
      <c r="Y58" s="332">
        <f>197000000*0.7</f>
        <v>137900000</v>
      </c>
      <c r="Z58" s="329" t="s">
        <v>64</v>
      </c>
      <c r="AA58" s="331"/>
      <c r="AB58" s="331"/>
      <c r="AC58" s="329">
        <v>5</v>
      </c>
      <c r="AD58" s="332">
        <f>I58*AC58%</f>
        <v>12298636.350000001</v>
      </c>
      <c r="AE58" s="92"/>
      <c r="AF58" s="92"/>
      <c r="AG58" s="92"/>
      <c r="AH58" s="114"/>
      <c r="AI58" s="92"/>
      <c r="AJ58" s="93"/>
      <c r="AK58" s="93"/>
      <c r="AL58" s="75"/>
      <c r="AM58" s="75"/>
    </row>
    <row r="59" spans="1:39">
      <c r="A59" s="330"/>
      <c r="B59" s="330"/>
      <c r="C59" s="330"/>
      <c r="D59" s="330"/>
      <c r="E59" s="330"/>
      <c r="F59" s="330"/>
      <c r="G59" s="330"/>
      <c r="H59" s="330"/>
      <c r="I59" s="330"/>
      <c r="J59" s="330"/>
      <c r="K59" s="127"/>
      <c r="L59" s="128"/>
      <c r="M59" s="330"/>
      <c r="N59" s="330"/>
      <c r="O59" s="330"/>
      <c r="P59" s="330"/>
      <c r="Q59" s="330"/>
      <c r="R59" s="330"/>
      <c r="S59" s="330"/>
      <c r="T59" s="330"/>
      <c r="U59" s="330"/>
      <c r="V59" s="330"/>
      <c r="W59" s="330"/>
      <c r="X59" s="330"/>
      <c r="Y59" s="330"/>
      <c r="Z59" s="330"/>
      <c r="AA59" s="330"/>
      <c r="AB59" s="330"/>
      <c r="AC59" s="330"/>
      <c r="AD59" s="330"/>
      <c r="AE59" s="92"/>
      <c r="AF59" s="92"/>
      <c r="AG59" s="92"/>
      <c r="AH59" s="114"/>
      <c r="AI59" s="92"/>
      <c r="AJ59" s="93"/>
      <c r="AK59" s="93"/>
      <c r="AL59" s="75"/>
      <c r="AM59" s="75"/>
    </row>
    <row r="60" spans="1:39">
      <c r="A60" s="340" t="str">
        <f>HYPERLINK("https://docs.google.com/spreadsheets/d/15wb_t3QfGjOFKQFBhp0BxNL5lJbMdgZAzZ-n4E7-0Mo/edit?gid=1480005540#gid=1480005540","41/BIM-CICHĐ2025")</f>
        <v>41/BIM-CICHĐ2025</v>
      </c>
      <c r="B60" s="341" t="s">
        <v>88</v>
      </c>
      <c r="C60" s="342"/>
      <c r="D60" s="341" t="s">
        <v>79</v>
      </c>
      <c r="E60" s="332">
        <v>651951180</v>
      </c>
      <c r="F60" s="343">
        <v>45916</v>
      </c>
      <c r="G60" s="344">
        <f>E60*0.7</f>
        <v>456365826</v>
      </c>
      <c r="H60" s="333"/>
      <c r="I60" s="334">
        <v>422560950</v>
      </c>
      <c r="J60" s="335">
        <v>45973</v>
      </c>
      <c r="K60" s="82">
        <v>97792000</v>
      </c>
      <c r="L60" s="83">
        <v>45950</v>
      </c>
      <c r="M60" s="348">
        <f>I60*1.08-K60-K61-K62</f>
        <v>45636593.00000006</v>
      </c>
      <c r="N60" s="337">
        <f>I60-R60-T60-X60</f>
        <v>169024380</v>
      </c>
      <c r="O60" s="338"/>
      <c r="P60" s="339">
        <f>N60/I60</f>
        <v>0.4</v>
      </c>
      <c r="Q60" s="329">
        <v>20</v>
      </c>
      <c r="R60" s="332">
        <f>I60*Q60%</f>
        <v>84512190</v>
      </c>
      <c r="S60" s="329">
        <v>0</v>
      </c>
      <c r="T60" s="331"/>
      <c r="U60" s="329">
        <v>30</v>
      </c>
      <c r="V60" s="332">
        <f>I60*U60%</f>
        <v>126768285</v>
      </c>
      <c r="W60" s="329">
        <f>X60/I60*100</f>
        <v>40</v>
      </c>
      <c r="X60" s="332">
        <f>V60/0.75</f>
        <v>169024380</v>
      </c>
      <c r="Y60" s="332">
        <f>260000000*70%*75%</f>
        <v>136500000</v>
      </c>
      <c r="Z60" s="329" t="s">
        <v>48</v>
      </c>
      <c r="AA60" s="331"/>
      <c r="AB60" s="331"/>
      <c r="AC60" s="329">
        <v>5</v>
      </c>
      <c r="AD60" s="332">
        <f>I60*AC60%</f>
        <v>21128047.5</v>
      </c>
      <c r="AE60" s="92"/>
      <c r="AF60" s="92"/>
      <c r="AG60" s="92"/>
      <c r="AH60" s="114"/>
      <c r="AI60" s="92"/>
      <c r="AJ60" s="93"/>
      <c r="AK60" s="93"/>
      <c r="AL60" s="75"/>
      <c r="AM60" s="75"/>
    </row>
    <row r="61" spans="1:39">
      <c r="A61" s="330"/>
      <c r="B61" s="330"/>
      <c r="C61" s="330"/>
      <c r="D61" s="330"/>
      <c r="E61" s="330"/>
      <c r="F61" s="330"/>
      <c r="G61" s="330"/>
      <c r="H61" s="330"/>
      <c r="I61" s="330"/>
      <c r="J61" s="330"/>
      <c r="K61" s="82">
        <v>308711633</v>
      </c>
      <c r="L61" s="83">
        <v>45973</v>
      </c>
      <c r="M61" s="330"/>
      <c r="N61" s="330"/>
      <c r="O61" s="330"/>
      <c r="P61" s="330"/>
      <c r="Q61" s="330"/>
      <c r="R61" s="330"/>
      <c r="S61" s="330"/>
      <c r="T61" s="330"/>
      <c r="U61" s="330"/>
      <c r="V61" s="330"/>
      <c r="W61" s="330"/>
      <c r="X61" s="330"/>
      <c r="Y61" s="330"/>
      <c r="Z61" s="330"/>
      <c r="AA61" s="330"/>
      <c r="AB61" s="330"/>
      <c r="AC61" s="330"/>
      <c r="AD61" s="330"/>
      <c r="AE61" s="92"/>
      <c r="AF61" s="92"/>
      <c r="AG61" s="92"/>
      <c r="AH61" s="114"/>
      <c r="AI61" s="92"/>
      <c r="AJ61" s="93"/>
      <c r="AK61" s="93"/>
      <c r="AL61" s="75"/>
      <c r="AM61" s="75"/>
    </row>
    <row r="62" spans="1:39">
      <c r="A62" s="330"/>
      <c r="B62" s="330"/>
      <c r="C62" s="330"/>
      <c r="D62" s="330"/>
      <c r="E62" s="330"/>
      <c r="F62" s="330"/>
      <c r="G62" s="330"/>
      <c r="H62" s="330"/>
      <c r="I62" s="330"/>
      <c r="J62" s="330"/>
      <c r="K62" s="147">
        <v>4225600</v>
      </c>
      <c r="L62" s="128"/>
      <c r="M62" s="330"/>
      <c r="N62" s="330"/>
      <c r="O62" s="330"/>
      <c r="P62" s="330"/>
      <c r="Q62" s="330"/>
      <c r="R62" s="330"/>
      <c r="S62" s="330"/>
      <c r="T62" s="330"/>
      <c r="U62" s="330"/>
      <c r="V62" s="330"/>
      <c r="W62" s="330"/>
      <c r="X62" s="330"/>
      <c r="Y62" s="330"/>
      <c r="Z62" s="330"/>
      <c r="AA62" s="330"/>
      <c r="AB62" s="330"/>
      <c r="AC62" s="330"/>
      <c r="AD62" s="330"/>
      <c r="AE62" s="92"/>
      <c r="AF62" s="92"/>
      <c r="AG62" s="92"/>
      <c r="AH62" s="114"/>
      <c r="AI62" s="92"/>
      <c r="AJ62" s="93"/>
      <c r="AK62" s="93"/>
      <c r="AL62" s="75"/>
      <c r="AM62" s="75"/>
    </row>
    <row r="63" spans="1:39" ht="51">
      <c r="A63" s="148" t="str">
        <f>HYPERLINK("https://docs.google.com/spreadsheets/d/15wb_t3QfGjOFKQFBhp0BxNL5lJbMdgZAzZ-n4E7-0Mo/edit?gid=1846056009#gid=1846056009","42/BIM-CICHĐ2025")</f>
        <v>42/BIM-CICHĐ2025</v>
      </c>
      <c r="B63" s="74" t="s">
        <v>89</v>
      </c>
      <c r="C63" s="75"/>
      <c r="D63" s="74" t="s">
        <v>79</v>
      </c>
      <c r="E63" s="76">
        <v>1400000000</v>
      </c>
      <c r="F63" s="77">
        <v>45918</v>
      </c>
      <c r="G63" s="115"/>
      <c r="H63" s="79"/>
      <c r="I63" s="126"/>
      <c r="J63" s="111"/>
      <c r="K63" s="82">
        <v>420000000</v>
      </c>
      <c r="L63" s="83">
        <v>45925</v>
      </c>
      <c r="M63" s="131">
        <f>I63*1.08-K63</f>
        <v>-420000000</v>
      </c>
      <c r="N63" s="85">
        <v>0</v>
      </c>
      <c r="O63" s="86"/>
      <c r="P63" s="87"/>
      <c r="Q63" s="102" t="e">
        <f>#REF!</f>
        <v>#REF!</v>
      </c>
      <c r="R63" s="88"/>
      <c r="S63" s="88"/>
      <c r="T63" s="88"/>
      <c r="U63" s="88"/>
      <c r="V63" s="88"/>
      <c r="W63" s="88"/>
      <c r="X63" s="88"/>
      <c r="Y63" s="88"/>
      <c r="Z63" s="89"/>
      <c r="AA63" s="89"/>
      <c r="AB63" s="89"/>
      <c r="AC63" s="89"/>
      <c r="AD63" s="89"/>
      <c r="AE63" s="92"/>
      <c r="AF63" s="92"/>
      <c r="AG63" s="92"/>
      <c r="AH63" s="114"/>
      <c r="AI63" s="92"/>
      <c r="AJ63" s="93"/>
      <c r="AK63" s="93"/>
      <c r="AL63" s="75"/>
      <c r="AM63" s="75"/>
    </row>
    <row r="64" spans="1:39" ht="26.25" customHeight="1">
      <c r="A64" s="345" t="str">
        <f>HYPERLINK("https://docs.google.com/spreadsheets/d/15wb_t3QfGjOFKQFBhp0BxNL5lJbMdgZAzZ-n4E7-0Mo/edit?gid=1270093947#gid=1270093947","45/BIM-CICHĐ2025")</f>
        <v>45/BIM-CICHĐ2025</v>
      </c>
      <c r="B64" s="341" t="s">
        <v>90</v>
      </c>
      <c r="C64" s="342"/>
      <c r="D64" s="341" t="s">
        <v>79</v>
      </c>
      <c r="E64" s="332">
        <v>925390000</v>
      </c>
      <c r="F64" s="343">
        <v>45916</v>
      </c>
      <c r="G64" s="344">
        <f>(I64*1.08)</f>
        <v>635994999.72000003</v>
      </c>
      <c r="H64" s="333"/>
      <c r="I64" s="334">
        <v>588884259</v>
      </c>
      <c r="J64" s="335">
        <v>45996</v>
      </c>
      <c r="K64" s="82">
        <v>277617000</v>
      </c>
      <c r="L64" s="83">
        <v>45958</v>
      </c>
      <c r="M64" s="348">
        <f>I64*1.08-K64-K65</f>
        <v>286655561.72000003</v>
      </c>
      <c r="N64" s="337">
        <f>I64-R64-T64-X64</f>
        <v>336505290.85714287</v>
      </c>
      <c r="O64" s="338"/>
      <c r="P64" s="339">
        <f>N64/I64</f>
        <v>0.5714285714285714</v>
      </c>
      <c r="Q64" s="329">
        <v>0</v>
      </c>
      <c r="R64" s="331"/>
      <c r="S64" s="329">
        <v>0</v>
      </c>
      <c r="T64" s="331"/>
      <c r="U64" s="329">
        <v>30</v>
      </c>
      <c r="V64" s="332">
        <f>I64*U64%</f>
        <v>176665277.69999999</v>
      </c>
      <c r="W64" s="329">
        <f>X64/I64*100</f>
        <v>42.857142857142854</v>
      </c>
      <c r="X64" s="332">
        <f>V64/0.7</f>
        <v>252378968.14285713</v>
      </c>
      <c r="Y64" s="332">
        <f>324100000*0.7</f>
        <v>226870000</v>
      </c>
      <c r="Z64" s="329" t="s">
        <v>64</v>
      </c>
      <c r="AA64" s="331"/>
      <c r="AB64" s="331"/>
      <c r="AC64" s="329">
        <v>5</v>
      </c>
      <c r="AD64" s="332">
        <f>I64*AC64%</f>
        <v>29444212.950000003</v>
      </c>
      <c r="AE64" s="92"/>
      <c r="AF64" s="92"/>
      <c r="AG64" s="92"/>
      <c r="AH64" s="114"/>
      <c r="AI64" s="92"/>
      <c r="AJ64" s="93"/>
      <c r="AK64" s="93"/>
      <c r="AL64" s="75"/>
      <c r="AM64" s="75"/>
    </row>
    <row r="65" spans="1:39" ht="26.25" customHeight="1">
      <c r="A65" s="330"/>
      <c r="B65" s="330"/>
      <c r="C65" s="330"/>
      <c r="D65" s="330"/>
      <c r="E65" s="330"/>
      <c r="F65" s="330"/>
      <c r="G65" s="330"/>
      <c r="H65" s="330"/>
      <c r="I65" s="330"/>
      <c r="J65" s="330"/>
      <c r="K65" s="82">
        <v>71722438</v>
      </c>
      <c r="L65" s="83">
        <v>46017</v>
      </c>
      <c r="M65" s="330"/>
      <c r="N65" s="330"/>
      <c r="O65" s="330"/>
      <c r="P65" s="330"/>
      <c r="Q65" s="330"/>
      <c r="R65" s="330"/>
      <c r="S65" s="330"/>
      <c r="T65" s="330"/>
      <c r="U65" s="330"/>
      <c r="V65" s="330"/>
      <c r="W65" s="330"/>
      <c r="X65" s="330"/>
      <c r="Y65" s="330"/>
      <c r="Z65" s="330"/>
      <c r="AA65" s="330"/>
      <c r="AB65" s="330"/>
      <c r="AC65" s="330"/>
      <c r="AD65" s="330"/>
      <c r="AE65" s="92"/>
      <c r="AF65" s="92"/>
      <c r="AG65" s="92"/>
      <c r="AH65" s="114"/>
      <c r="AI65" s="92"/>
      <c r="AJ65" s="93"/>
      <c r="AK65" s="93"/>
      <c r="AL65" s="75"/>
      <c r="AM65" s="75"/>
    </row>
    <row r="66" spans="1:39" ht="51">
      <c r="A66" s="148" t="str">
        <f>HYPERLINK("https://docs.google.com/spreadsheets/d/15wb_t3QfGjOFKQFBhp0BxNL5lJbMdgZAzZ-n4E7-0Mo/edit?gid=133970808#gid=133970808","46/BIM-CICHĐ2025")</f>
        <v>46/BIM-CICHĐ2025</v>
      </c>
      <c r="B66" s="74" t="s">
        <v>91</v>
      </c>
      <c r="C66" s="75"/>
      <c r="D66" s="74" t="s">
        <v>79</v>
      </c>
      <c r="E66" s="76">
        <v>380401000</v>
      </c>
      <c r="F66" s="77">
        <v>45938</v>
      </c>
      <c r="G66" s="115"/>
      <c r="H66" s="79"/>
      <c r="I66" s="126"/>
      <c r="J66" s="111"/>
      <c r="K66" s="127"/>
      <c r="L66" s="128"/>
      <c r="M66" s="113"/>
      <c r="N66" s="85">
        <v>0</v>
      </c>
      <c r="O66" s="86"/>
      <c r="P66" s="87"/>
      <c r="Q66" s="88"/>
      <c r="R66" s="88"/>
      <c r="S66" s="88"/>
      <c r="T66" s="88"/>
      <c r="U66" s="88"/>
      <c r="V66" s="88"/>
      <c r="W66" s="88"/>
      <c r="X66" s="88"/>
      <c r="Y66" s="88"/>
      <c r="Z66" s="89"/>
      <c r="AA66" s="89"/>
      <c r="AB66" s="89"/>
      <c r="AC66" s="89"/>
      <c r="AD66" s="89"/>
      <c r="AE66" s="92"/>
      <c r="AF66" s="92"/>
      <c r="AG66" s="92"/>
      <c r="AH66" s="114"/>
      <c r="AI66" s="92"/>
      <c r="AJ66" s="93"/>
      <c r="AK66" s="93"/>
      <c r="AL66" s="75"/>
      <c r="AM66" s="75"/>
    </row>
    <row r="67" spans="1:39" ht="63.75">
      <c r="A67" s="148" t="str">
        <f>HYPERLINK("https://docs.google.com/spreadsheets/d/15wb_t3QfGjOFKQFBhp0BxNL5lJbMdgZAzZ-n4E7-0Mo/edit?gid=339076797#gid=339076797","50/BIM-CICHĐ2025")</f>
        <v>50/BIM-CICHĐ2025</v>
      </c>
      <c r="B67" s="74" t="s">
        <v>92</v>
      </c>
      <c r="C67" s="75"/>
      <c r="D67" s="74" t="s">
        <v>79</v>
      </c>
      <c r="E67" s="76">
        <v>231000000</v>
      </c>
      <c r="F67" s="77">
        <v>45931</v>
      </c>
      <c r="G67" s="115"/>
      <c r="H67" s="79"/>
      <c r="I67" s="126"/>
      <c r="J67" s="111"/>
      <c r="K67" s="127"/>
      <c r="L67" s="128"/>
      <c r="M67" s="113"/>
      <c r="N67" s="85">
        <v>0</v>
      </c>
      <c r="O67" s="86"/>
      <c r="P67" s="87"/>
      <c r="Q67" s="88"/>
      <c r="R67" s="88"/>
      <c r="S67" s="88"/>
      <c r="T67" s="88"/>
      <c r="U67" s="88"/>
      <c r="V67" s="88"/>
      <c r="W67" s="88"/>
      <c r="X67" s="88"/>
      <c r="Y67" s="88"/>
      <c r="Z67" s="89"/>
      <c r="AA67" s="89"/>
      <c r="AB67" s="89"/>
      <c r="AC67" s="89"/>
      <c r="AD67" s="89"/>
      <c r="AE67" s="92"/>
      <c r="AF67" s="92"/>
      <c r="AG67" s="92"/>
      <c r="AH67" s="114"/>
      <c r="AI67" s="92"/>
      <c r="AJ67" s="93"/>
      <c r="AK67" s="93"/>
      <c r="AL67" s="75"/>
      <c r="AM67" s="75"/>
    </row>
    <row r="68" spans="1:39" ht="63.75">
      <c r="A68" s="148" t="str">
        <f>HYPERLINK("https://docs.google.com/spreadsheets/d/15wb_t3QfGjOFKQFBhp0BxNL5lJbMdgZAzZ-n4E7-0Mo/edit?gid=55441313#gid=55441313","44/BIM-CICHĐ2025")</f>
        <v>44/BIM-CICHĐ2025</v>
      </c>
      <c r="B68" s="74" t="s">
        <v>93</v>
      </c>
      <c r="C68" s="75"/>
      <c r="D68" s="74" t="s">
        <v>79</v>
      </c>
      <c r="E68" s="76">
        <v>685209000</v>
      </c>
      <c r="F68" s="77">
        <v>45951</v>
      </c>
      <c r="G68" s="115"/>
      <c r="H68" s="79"/>
      <c r="I68" s="149">
        <v>634452778</v>
      </c>
      <c r="J68" s="150">
        <v>46057</v>
      </c>
      <c r="K68" s="127"/>
      <c r="L68" s="128"/>
      <c r="M68" s="113"/>
      <c r="N68" s="85">
        <v>0</v>
      </c>
      <c r="O68" s="86"/>
      <c r="P68" s="87"/>
      <c r="Q68" s="88"/>
      <c r="R68" s="88"/>
      <c r="S68" s="88"/>
      <c r="T68" s="88"/>
      <c r="U68" s="88"/>
      <c r="V68" s="88"/>
      <c r="W68" s="88"/>
      <c r="X68" s="88"/>
      <c r="Y68" s="88"/>
      <c r="Z68" s="89"/>
      <c r="AA68" s="89"/>
      <c r="AB68" s="89"/>
      <c r="AC68" s="89"/>
      <c r="AD68" s="89"/>
      <c r="AE68" s="92"/>
      <c r="AF68" s="92"/>
      <c r="AG68" s="92"/>
      <c r="AH68" s="114"/>
      <c r="AI68" s="92"/>
      <c r="AJ68" s="93"/>
      <c r="AK68" s="93"/>
      <c r="AL68" s="75"/>
      <c r="AM68" s="75"/>
    </row>
    <row r="69" spans="1:39" ht="89.25">
      <c r="A69" s="148" t="str">
        <f>HYPERLINK("https://docs.google.com/spreadsheets/d/15wb_t3QfGjOFKQFBhp0BxNL5lJbMdgZAzZ-n4E7-0Mo/edit?gid=1737345402#gid=1737345402","53/BIM-CICHĐ2025")</f>
        <v>53/BIM-CICHĐ2025</v>
      </c>
      <c r="B69" s="74" t="s">
        <v>94</v>
      </c>
      <c r="C69" s="75"/>
      <c r="D69" s="74" t="s">
        <v>79</v>
      </c>
      <c r="E69" s="76">
        <v>309818000</v>
      </c>
      <c r="F69" s="77">
        <v>45946</v>
      </c>
      <c r="G69" s="115"/>
      <c r="H69" s="79"/>
      <c r="I69" s="126"/>
      <c r="J69" s="111"/>
      <c r="K69" s="82">
        <v>92000000</v>
      </c>
      <c r="L69" s="83">
        <v>45971</v>
      </c>
      <c r="M69" s="131">
        <f t="shared" ref="M69:M70" si="46">I69*1.08-K69</f>
        <v>-92000000</v>
      </c>
      <c r="N69" s="85">
        <v>0</v>
      </c>
      <c r="O69" s="86"/>
      <c r="P69" s="87"/>
      <c r="Q69" s="88"/>
      <c r="R69" s="88"/>
      <c r="S69" s="88"/>
      <c r="T69" s="88"/>
      <c r="U69" s="88"/>
      <c r="V69" s="88"/>
      <c r="W69" s="88"/>
      <c r="X69" s="88"/>
      <c r="Y69" s="88"/>
      <c r="Z69" s="89"/>
      <c r="AA69" s="89"/>
      <c r="AB69" s="89"/>
      <c r="AC69" s="89"/>
      <c r="AD69" s="89"/>
      <c r="AE69" s="92"/>
      <c r="AF69" s="92"/>
      <c r="AG69" s="92"/>
      <c r="AH69" s="114"/>
      <c r="AI69" s="92"/>
      <c r="AJ69" s="93"/>
      <c r="AK69" s="93"/>
      <c r="AL69" s="75"/>
      <c r="AM69" s="75"/>
    </row>
    <row r="70" spans="1:39" ht="33" customHeight="1">
      <c r="A70" s="353" t="str">
        <f>HYPERLINK("https://docs.google.com/spreadsheets/d/15wb_t3QfGjOFKQFBhp0BxNL5lJbMdgZAzZ-n4E7-0Mo/edit?gid=2003260974#gid=2003260974","48/BIM-CICHĐ2025")</f>
        <v>48/BIM-CICHĐ2025</v>
      </c>
      <c r="B70" s="354" t="s">
        <v>95</v>
      </c>
      <c r="C70" s="355"/>
      <c r="D70" s="354" t="s">
        <v>79</v>
      </c>
      <c r="E70" s="356">
        <v>734191500</v>
      </c>
      <c r="F70" s="357">
        <v>45953</v>
      </c>
      <c r="G70" s="358">
        <f>I70*1.08</f>
        <v>734191499.5200001</v>
      </c>
      <c r="H70" s="349"/>
      <c r="I70" s="350">
        <v>679806944</v>
      </c>
      <c r="J70" s="351">
        <v>46050</v>
      </c>
      <c r="K70" s="156">
        <v>660772350</v>
      </c>
      <c r="L70" s="51">
        <v>46055</v>
      </c>
      <c r="M70" s="352">
        <f t="shared" si="46"/>
        <v>73419149.5200001</v>
      </c>
      <c r="N70" s="157"/>
      <c r="O70" s="158"/>
      <c r="P70" s="159"/>
      <c r="Q70" s="57"/>
      <c r="R70" s="57"/>
      <c r="S70" s="57"/>
      <c r="T70" s="57"/>
      <c r="U70" s="57"/>
      <c r="V70" s="57"/>
      <c r="W70" s="57"/>
      <c r="X70" s="57"/>
      <c r="Y70" s="57"/>
      <c r="Z70" s="160"/>
      <c r="AA70" s="160"/>
      <c r="AB70" s="160"/>
      <c r="AC70" s="160"/>
      <c r="AD70" s="160"/>
      <c r="AE70" s="60"/>
      <c r="AF70" s="60"/>
      <c r="AG70" s="60"/>
      <c r="AH70" s="61"/>
      <c r="AI70" s="60"/>
      <c r="AJ70" s="62"/>
      <c r="AK70" s="62"/>
      <c r="AL70" s="64"/>
      <c r="AM70" s="64"/>
    </row>
    <row r="71" spans="1:39" ht="33" customHeight="1">
      <c r="A71" s="330"/>
      <c r="B71" s="330"/>
      <c r="C71" s="330"/>
      <c r="D71" s="330"/>
      <c r="E71" s="330"/>
      <c r="F71" s="330"/>
      <c r="G71" s="330"/>
      <c r="H71" s="330"/>
      <c r="I71" s="330"/>
      <c r="J71" s="330"/>
      <c r="K71" s="156"/>
      <c r="L71" s="51"/>
      <c r="M71" s="330"/>
      <c r="N71" s="157">
        <f>I70-R71-T71-X71</f>
        <v>157665161.77777779</v>
      </c>
      <c r="O71" s="158"/>
      <c r="P71" s="161">
        <f>N71/I70</f>
        <v>0.23192637728892895</v>
      </c>
      <c r="Q71" s="162">
        <f>R71/I70%</f>
        <v>35.140695604440438</v>
      </c>
      <c r="R71" s="57">
        <f>100000000+100000000/0.72</f>
        <v>238888888.8888889</v>
      </c>
      <c r="S71" s="57"/>
      <c r="T71" s="57"/>
      <c r="U71" s="57">
        <f>V71/I70%</f>
        <v>29.999999999999996</v>
      </c>
      <c r="V71" s="57">
        <f>I70*30%</f>
        <v>203942083.19999999</v>
      </c>
      <c r="W71" s="57">
        <f>X71/I70%</f>
        <v>41.666666666666664</v>
      </c>
      <c r="X71" s="57">
        <f>V71/0.72</f>
        <v>283252893.33333331</v>
      </c>
      <c r="Y71" s="57">
        <f>300000000*0.72-100000000</f>
        <v>116000000</v>
      </c>
      <c r="Z71" s="163" t="s">
        <v>96</v>
      </c>
      <c r="AA71" s="160"/>
      <c r="AB71" s="160"/>
      <c r="AC71" s="160"/>
      <c r="AD71" s="160"/>
      <c r="AE71" s="60"/>
      <c r="AF71" s="60"/>
      <c r="AG71" s="60"/>
      <c r="AH71" s="61"/>
      <c r="AI71" s="60"/>
      <c r="AJ71" s="62"/>
      <c r="AK71" s="62"/>
      <c r="AL71" s="64"/>
      <c r="AM71" s="64"/>
    </row>
    <row r="72" spans="1:39" ht="63.75">
      <c r="A72" s="148" t="str">
        <f>HYPERLINK("https://docs.google.com/spreadsheets/d/15wb_t3QfGjOFKQFBhp0BxNL5lJbMdgZAzZ-n4E7-0Mo/edit?gid=46608100#gid=466081004","57/BIM-CICHĐ2025")</f>
        <v>57/BIM-CICHĐ2025</v>
      </c>
      <c r="B72" s="74" t="s">
        <v>97</v>
      </c>
      <c r="C72" s="75"/>
      <c r="D72" s="74" t="s">
        <v>79</v>
      </c>
      <c r="E72" s="76">
        <v>480000000</v>
      </c>
      <c r="F72" s="77">
        <v>45971</v>
      </c>
      <c r="G72" s="115"/>
      <c r="H72" s="79"/>
      <c r="I72" s="126"/>
      <c r="J72" s="111"/>
      <c r="K72" s="82">
        <v>144000000</v>
      </c>
      <c r="L72" s="83">
        <v>46020</v>
      </c>
      <c r="M72" s="131">
        <f>I72*1.08-K72</f>
        <v>-144000000</v>
      </c>
      <c r="N72" s="85">
        <v>0</v>
      </c>
      <c r="O72" s="86"/>
      <c r="P72" s="87"/>
      <c r="Q72" s="88"/>
      <c r="R72" s="88"/>
      <c r="S72" s="88"/>
      <c r="T72" s="88"/>
      <c r="U72" s="88"/>
      <c r="V72" s="88"/>
      <c r="W72" s="88"/>
      <c r="X72" s="88"/>
      <c r="Y72" s="88"/>
      <c r="Z72" s="89"/>
      <c r="AA72" s="89"/>
      <c r="AB72" s="89"/>
      <c r="AC72" s="89"/>
      <c r="AD72" s="89"/>
      <c r="AE72" s="92"/>
      <c r="AF72" s="92"/>
      <c r="AG72" s="92"/>
      <c r="AH72" s="114"/>
      <c r="AI72" s="92"/>
      <c r="AJ72" s="93"/>
      <c r="AK72" s="93"/>
      <c r="AL72" s="75"/>
      <c r="AM72" s="75"/>
    </row>
    <row r="73" spans="1:39" ht="76.5">
      <c r="A73" s="148" t="str">
        <f>HYPERLINK("https://docs.google.com/spreadsheets/d/15wb_t3QfGjOFKQFBhp0BxNL5lJbMdgZAzZ-n4E7-0Mo/edit?gid=1389640121#gid=1389640121","62/BIM-CICHĐ2025")</f>
        <v>62/BIM-CICHĐ2025</v>
      </c>
      <c r="B73" s="74" t="s">
        <v>98</v>
      </c>
      <c r="C73" s="75"/>
      <c r="D73" s="74" t="s">
        <v>79</v>
      </c>
      <c r="E73" s="76">
        <v>1037166392</v>
      </c>
      <c r="F73" s="77">
        <v>45995</v>
      </c>
      <c r="G73" s="115"/>
      <c r="H73" s="79"/>
      <c r="I73" s="126"/>
      <c r="J73" s="111"/>
      <c r="K73" s="127"/>
      <c r="L73" s="128"/>
      <c r="M73" s="113"/>
      <c r="N73" s="85">
        <v>0</v>
      </c>
      <c r="O73" s="86"/>
      <c r="P73" s="87"/>
      <c r="Q73" s="88"/>
      <c r="R73" s="88"/>
      <c r="S73" s="88"/>
      <c r="T73" s="88"/>
      <c r="U73" s="88"/>
      <c r="V73" s="88"/>
      <c r="W73" s="88"/>
      <c r="X73" s="88"/>
      <c r="Y73" s="88"/>
      <c r="Z73" s="89"/>
      <c r="AA73" s="89"/>
      <c r="AB73" s="89"/>
      <c r="AC73" s="89"/>
      <c r="AD73" s="89"/>
      <c r="AE73" s="92"/>
      <c r="AF73" s="92"/>
      <c r="AG73" s="92"/>
      <c r="AH73" s="114"/>
      <c r="AI73" s="92"/>
      <c r="AJ73" s="93"/>
      <c r="AK73" s="93"/>
      <c r="AL73" s="75"/>
      <c r="AM73" s="75"/>
    </row>
    <row r="74" spans="1:39" ht="63.75">
      <c r="A74" s="148" t="str">
        <f>HYPERLINK("https://docs.google.com/spreadsheets/d/15wb_t3QfGjOFKQFBhp0BxNL5lJbMdgZAzZ-n4E7-0Mo/edit?gid=753990118#gid=753990118","59/BIM-CICHĐ2025
59/2025/TCT319-CIC-BIMĐT03")</f>
        <v>59/BIM-CICHĐ2025
59/2025/TCT319-CIC-BIMĐT03</v>
      </c>
      <c r="B74" s="164" t="s">
        <v>99</v>
      </c>
      <c r="C74" s="75"/>
      <c r="D74" s="74" t="s">
        <v>75</v>
      </c>
      <c r="E74" s="76">
        <v>4837712000</v>
      </c>
      <c r="F74" s="77">
        <v>46010</v>
      </c>
      <c r="G74" s="143"/>
      <c r="H74" s="79"/>
      <c r="I74" s="126"/>
      <c r="J74" s="111"/>
      <c r="K74" s="82">
        <v>291638000</v>
      </c>
      <c r="L74" s="83">
        <v>46022</v>
      </c>
      <c r="M74" s="131">
        <f t="shared" ref="M74:M75" si="47">I74*1.08-K74</f>
        <v>-291638000</v>
      </c>
      <c r="N74" s="85">
        <v>0</v>
      </c>
      <c r="O74" s="86"/>
      <c r="P74" s="87"/>
      <c r="Q74" s="88"/>
      <c r="R74" s="88"/>
      <c r="S74" s="88"/>
      <c r="T74" s="88"/>
      <c r="U74" s="88"/>
      <c r="V74" s="88"/>
      <c r="W74" s="88"/>
      <c r="X74" s="88"/>
      <c r="Y74" s="88"/>
      <c r="Z74" s="89"/>
      <c r="AA74" s="89"/>
      <c r="AB74" s="89"/>
      <c r="AC74" s="89"/>
      <c r="AD74" s="89"/>
      <c r="AE74" s="92"/>
      <c r="AF74" s="92"/>
      <c r="AG74" s="92"/>
      <c r="AH74" s="114"/>
      <c r="AI74" s="92"/>
      <c r="AJ74" s="93"/>
      <c r="AK74" s="93"/>
      <c r="AL74" s="75"/>
      <c r="AM74" s="75"/>
    </row>
    <row r="75" spans="1:39" ht="92.25" customHeight="1">
      <c r="A75" s="151" t="str">
        <f>HYPERLINK("https://docs.google.com/spreadsheets/d/15wb_t3QfGjOFKQFBhp0BxNL5lJbMdgZAzZ-n4E7-0Mo/edit?gid=739183664#gid=739183664","63/BIM-CICHĐ2025
(2112/2025/HĐTV)")</f>
        <v>63/BIM-CICHĐ2025
(2112/2025/HĐTV)</v>
      </c>
      <c r="B75" s="152" t="s">
        <v>100</v>
      </c>
      <c r="C75" s="64"/>
      <c r="D75" s="152" t="s">
        <v>79</v>
      </c>
      <c r="E75" s="72">
        <v>1061280000</v>
      </c>
      <c r="F75" s="153">
        <v>46012</v>
      </c>
      <c r="G75" s="154"/>
      <c r="H75" s="155"/>
      <c r="I75" s="165"/>
      <c r="J75" s="166"/>
      <c r="K75" s="156">
        <v>318000000</v>
      </c>
      <c r="L75" s="51">
        <v>46017</v>
      </c>
      <c r="M75" s="167">
        <f t="shared" si="47"/>
        <v>-318000000</v>
      </c>
      <c r="N75" s="157">
        <v>0</v>
      </c>
      <c r="O75" s="158"/>
      <c r="P75" s="159"/>
      <c r="Q75" s="57"/>
      <c r="R75" s="57"/>
      <c r="S75" s="57"/>
      <c r="T75" s="57"/>
      <c r="U75" s="57"/>
      <c r="V75" s="57"/>
      <c r="W75" s="57"/>
      <c r="X75" s="57"/>
      <c r="Y75" s="57"/>
      <c r="Z75" s="160"/>
      <c r="AA75" s="160"/>
      <c r="AB75" s="160"/>
      <c r="AC75" s="160"/>
      <c r="AD75" s="160"/>
      <c r="AE75" s="60"/>
      <c r="AF75" s="60"/>
      <c r="AG75" s="60"/>
      <c r="AH75" s="61"/>
      <c r="AI75" s="60"/>
      <c r="AJ75" s="62"/>
      <c r="AK75" s="62"/>
      <c r="AL75" s="64"/>
      <c r="AM75" s="64"/>
    </row>
    <row r="76" spans="1:39" ht="63.75">
      <c r="A76" s="148" t="str">
        <f>HYPERLINK("https://docs.google.com/spreadsheets/d/15wb_t3QfGjOFKQFBhp0BxNL5lJbMdgZAzZ-n4E7-0Mo/edit?gid=1273674643#gid=1273674643","66/BIM-CICHĐ2025")</f>
        <v>66/BIM-CICHĐ2025</v>
      </c>
      <c r="B76" s="74" t="s">
        <v>101</v>
      </c>
      <c r="C76" s="75"/>
      <c r="D76" s="74" t="s">
        <v>79</v>
      </c>
      <c r="E76" s="76">
        <v>129175419</v>
      </c>
      <c r="F76" s="168">
        <v>46010</v>
      </c>
      <c r="G76" s="115"/>
      <c r="H76" s="79"/>
      <c r="I76" s="126"/>
      <c r="J76" s="111"/>
      <c r="K76" s="169">
        <v>38752626</v>
      </c>
      <c r="L76" s="170">
        <v>46057</v>
      </c>
      <c r="M76" s="113"/>
      <c r="N76" s="85">
        <v>0</v>
      </c>
      <c r="O76" s="86"/>
      <c r="P76" s="87"/>
      <c r="Q76" s="88"/>
      <c r="R76" s="88"/>
      <c r="S76" s="88"/>
      <c r="T76" s="88"/>
      <c r="U76" s="88"/>
      <c r="V76" s="88"/>
      <c r="W76" s="88"/>
      <c r="X76" s="88"/>
      <c r="Y76" s="88"/>
      <c r="Z76" s="89"/>
      <c r="AA76" s="89"/>
      <c r="AB76" s="89"/>
      <c r="AC76" s="89"/>
      <c r="AD76" s="89"/>
      <c r="AE76" s="92"/>
      <c r="AF76" s="92"/>
      <c r="AG76" s="92"/>
      <c r="AH76" s="114"/>
      <c r="AI76" s="92"/>
      <c r="AJ76" s="93"/>
      <c r="AK76" s="93"/>
      <c r="AL76" s="75"/>
      <c r="AM76" s="75"/>
    </row>
    <row r="77" spans="1:39" ht="76.5">
      <c r="A77" s="148" t="str">
        <f>HYPERLINK("https://docs.google.com/spreadsheets/d/1Awm-QGmqIdByNbj5WjvpjJtF7jZS_DYqZcIXLjMwHEY/edit?gid=994113443#gid=994113443","68/BIM-CICHĐ2025")</f>
        <v>68/BIM-CICHĐ2025</v>
      </c>
      <c r="B77" s="171" t="s">
        <v>102</v>
      </c>
      <c r="C77" s="75"/>
      <c r="D77" s="74" t="s">
        <v>79</v>
      </c>
      <c r="E77" s="172">
        <v>289380000</v>
      </c>
      <c r="F77" s="173">
        <v>46022</v>
      </c>
      <c r="G77" s="115"/>
      <c r="H77" s="79"/>
      <c r="I77" s="126"/>
      <c r="J77" s="111"/>
      <c r="K77" s="82"/>
      <c r="L77" s="83"/>
      <c r="M77" s="113"/>
      <c r="N77" s="85"/>
      <c r="O77" s="86"/>
      <c r="P77" s="87"/>
      <c r="Q77" s="88"/>
      <c r="R77" s="88"/>
      <c r="S77" s="88"/>
      <c r="T77" s="88"/>
      <c r="U77" s="88"/>
      <c r="V77" s="88"/>
      <c r="W77" s="88"/>
      <c r="X77" s="88"/>
      <c r="Y77" s="88"/>
      <c r="Z77" s="89"/>
      <c r="AA77" s="89"/>
      <c r="AB77" s="89"/>
      <c r="AC77" s="89"/>
      <c r="AD77" s="89"/>
      <c r="AE77" s="92"/>
      <c r="AF77" s="92"/>
      <c r="AG77" s="92"/>
      <c r="AH77" s="114"/>
      <c r="AI77" s="92"/>
      <c r="AJ77" s="93"/>
      <c r="AK77" s="93"/>
      <c r="AL77" s="75"/>
      <c r="AM77" s="75"/>
    </row>
    <row r="78" spans="1:39" ht="31.5" customHeight="1">
      <c r="A78" s="359" t="s">
        <v>103</v>
      </c>
      <c r="B78" s="330"/>
      <c r="C78" s="28"/>
      <c r="D78" s="28"/>
      <c r="E78" s="174">
        <f>SUM(E79,E81)</f>
        <v>1768466000</v>
      </c>
      <c r="F78" s="30"/>
      <c r="G78" s="175">
        <f>SUM(G79)</f>
        <v>20000000</v>
      </c>
      <c r="H78" s="30"/>
      <c r="I78" s="175">
        <f>SUM(I79)</f>
        <v>18518519</v>
      </c>
      <c r="J78" s="30"/>
      <c r="K78" s="175">
        <f>SUM(K79)</f>
        <v>20000000</v>
      </c>
      <c r="L78" s="32"/>
      <c r="M78" s="175">
        <f t="shared" ref="M78:N78" si="48">SUM(M79)</f>
        <v>0.51999999955296516</v>
      </c>
      <c r="N78" s="175" t="e">
        <f t="shared" si="48"/>
        <v>#REF!</v>
      </c>
      <c r="O78" s="347"/>
      <c r="P78" s="330"/>
      <c r="Q78" s="34"/>
      <c r="R78" s="35"/>
      <c r="S78" s="34"/>
      <c r="T78" s="35"/>
      <c r="U78" s="34"/>
      <c r="V78" s="35"/>
      <c r="W78" s="34"/>
      <c r="X78" s="35"/>
      <c r="Y78" s="35"/>
      <c r="Z78" s="176"/>
      <c r="AA78" s="177"/>
      <c r="AB78" s="176"/>
      <c r="AC78" s="177"/>
      <c r="AD78" s="176"/>
      <c r="AE78" s="178"/>
      <c r="AF78" s="178"/>
      <c r="AG78" s="178"/>
      <c r="AH78" s="179"/>
      <c r="AI78" s="178"/>
      <c r="AJ78" s="180"/>
      <c r="AK78" s="180"/>
      <c r="AL78" s="41"/>
      <c r="AM78" s="41"/>
    </row>
    <row r="79" spans="1:39" ht="29.25" customHeight="1">
      <c r="A79" s="181" t="str">
        <f>HYPERLINK("https://docs.google.com/spreadsheets/d/15wb_t3QfGjOFKQFBhp0BxNL5lJbMdgZAzZ-n4E7-0Mo/edit?gid=2067183921#gid=2067183921","01/BIM-CICHĐ2026")</f>
        <v>01/BIM-CICHĐ2026</v>
      </c>
      <c r="B79" s="182" t="s">
        <v>42</v>
      </c>
      <c r="C79" s="182"/>
      <c r="D79" s="183" t="s">
        <v>104</v>
      </c>
      <c r="E79" s="184">
        <v>20000000</v>
      </c>
      <c r="F79" s="185">
        <v>45658</v>
      </c>
      <c r="G79" s="186">
        <v>20000000</v>
      </c>
      <c r="H79" s="187"/>
      <c r="I79" s="188">
        <v>18518519</v>
      </c>
      <c r="J79" s="189">
        <v>45708</v>
      </c>
      <c r="K79" s="190">
        <v>20000000</v>
      </c>
      <c r="L79" s="191">
        <v>45707</v>
      </c>
      <c r="M79" s="192">
        <f>I79*1.08-K79</f>
        <v>0.51999999955296516</v>
      </c>
      <c r="N79" s="193" t="e">
        <f>[1]HĐ01!C60</f>
        <v>#REF!</v>
      </c>
      <c r="O79" s="194"/>
      <c r="P79" s="195"/>
      <c r="Q79" s="196" t="e">
        <f>[1]HĐ01!C50</f>
        <v>#REF!</v>
      </c>
      <c r="R79" s="197"/>
      <c r="S79" s="71"/>
      <c r="T79" s="197"/>
      <c r="U79" s="71"/>
      <c r="V79" s="197" t="e">
        <f>[1]HĐ01!C57+[1]HĐ01!C58</f>
        <v>#REF!</v>
      </c>
      <c r="W79" s="71"/>
      <c r="X79" s="197"/>
      <c r="Y79" s="197"/>
      <c r="Z79" s="198"/>
      <c r="AA79" s="199"/>
      <c r="AB79" s="198"/>
      <c r="AC79" s="199"/>
      <c r="AD79" s="198"/>
      <c r="AE79" s="200">
        <f>814060000*AH79</f>
        <v>16567488620.800001</v>
      </c>
      <c r="AF79" s="200">
        <f>(329697216+82424304)*AH79</f>
        <v>8387365296.1536007</v>
      </c>
      <c r="AG79" s="200">
        <v>407033600</v>
      </c>
      <c r="AH79" s="201">
        <f>AG79/E79</f>
        <v>20.351680000000002</v>
      </c>
      <c r="AI79" s="202"/>
      <c r="AJ79" s="203"/>
      <c r="AK79" s="203"/>
      <c r="AL79" s="152"/>
      <c r="AM79" s="152"/>
    </row>
    <row r="80" spans="1:39" ht="39" customHeight="1">
      <c r="A80" s="181" t="str">
        <f>HYPERLINK("https://docs.google.com/spreadsheets/d/1Awm-QGmqIdByNbj5WjvpjJtF7jZS_DYqZcIXLjMwHEY/edit?gid=752364920#gid=752364920","02/BIM-CICHĐ2026")</f>
        <v>02/BIM-CICHĐ2026</v>
      </c>
      <c r="B80" s="182" t="s">
        <v>105</v>
      </c>
      <c r="C80" s="182"/>
      <c r="D80" s="183" t="s">
        <v>104</v>
      </c>
      <c r="E80" s="184">
        <v>450000000</v>
      </c>
      <c r="F80" s="185">
        <v>46037</v>
      </c>
      <c r="G80" s="204"/>
      <c r="H80" s="187"/>
      <c r="I80" s="205"/>
      <c r="J80" s="206"/>
      <c r="K80" s="190">
        <v>90000000</v>
      </c>
      <c r="L80" s="191">
        <v>46051</v>
      </c>
      <c r="M80" s="192"/>
      <c r="N80" s="193"/>
      <c r="O80" s="194"/>
      <c r="P80" s="195"/>
      <c r="Q80" s="71"/>
      <c r="R80" s="197"/>
      <c r="S80" s="71"/>
      <c r="T80" s="197"/>
      <c r="U80" s="71"/>
      <c r="V80" s="197"/>
      <c r="W80" s="71"/>
      <c r="X80" s="197"/>
      <c r="Y80" s="197"/>
      <c r="Z80" s="207"/>
      <c r="AA80" s="208"/>
      <c r="AB80" s="207"/>
      <c r="AC80" s="208"/>
      <c r="AD80" s="207"/>
      <c r="AE80" s="202"/>
      <c r="AF80" s="202"/>
      <c r="AG80" s="202"/>
      <c r="AH80" s="209"/>
      <c r="AI80" s="202"/>
      <c r="AJ80" s="203"/>
      <c r="AK80" s="203"/>
      <c r="AL80" s="152"/>
      <c r="AM80" s="152"/>
    </row>
    <row r="81" spans="1:39" ht="25.5">
      <c r="A81" s="181" t="str">
        <f>HYPERLINK("https://docs.google.com/spreadsheets/d/1Awm-QGmqIdByNbj5WjvpjJtF7jZS_DYqZcIXLjMwHEY/edit?gid=206074610#gid=206074610","04/BIM-CICHĐ2026")</f>
        <v>04/BIM-CICHĐ2026</v>
      </c>
      <c r="B81" s="182" t="s">
        <v>106</v>
      </c>
      <c r="C81" s="182"/>
      <c r="D81" s="182" t="s">
        <v>47</v>
      </c>
      <c r="E81" s="184">
        <v>1748466000</v>
      </c>
      <c r="F81" s="185">
        <v>46044</v>
      </c>
      <c r="G81" s="204"/>
      <c r="H81" s="187"/>
      <c r="I81" s="205"/>
      <c r="J81" s="206"/>
      <c r="K81" s="190">
        <f>490000000+34539800</f>
        <v>524539800</v>
      </c>
      <c r="L81" s="191">
        <v>46065</v>
      </c>
      <c r="M81" s="192"/>
      <c r="N81" s="193"/>
      <c r="O81" s="194"/>
      <c r="P81" s="195"/>
      <c r="Q81" s="71"/>
      <c r="R81" s="197"/>
      <c r="S81" s="71"/>
      <c r="T81" s="197"/>
      <c r="U81" s="71"/>
      <c r="V81" s="197"/>
      <c r="W81" s="71"/>
      <c r="X81" s="197"/>
      <c r="Y81" s="197"/>
      <c r="Z81" s="207"/>
      <c r="AA81" s="208"/>
      <c r="AB81" s="207"/>
      <c r="AC81" s="208"/>
      <c r="AD81" s="207"/>
      <c r="AE81" s="202"/>
      <c r="AF81" s="202"/>
      <c r="AG81" s="202"/>
      <c r="AH81" s="209"/>
      <c r="AI81" s="202"/>
      <c r="AJ81" s="203"/>
      <c r="AK81" s="203"/>
      <c r="AL81" s="152"/>
      <c r="AM81" s="152"/>
    </row>
    <row r="82" spans="1:39">
      <c r="A82" s="210"/>
      <c r="B82" s="182"/>
      <c r="C82" s="182"/>
      <c r="D82" s="182"/>
      <c r="E82" s="211"/>
      <c r="F82" s="185"/>
      <c r="G82" s="204"/>
      <c r="H82" s="187"/>
      <c r="I82" s="212"/>
      <c r="J82" s="206"/>
      <c r="K82" s="213"/>
      <c r="L82" s="51"/>
      <c r="M82" s="192"/>
      <c r="N82" s="193"/>
      <c r="O82" s="194"/>
      <c r="P82" s="195"/>
      <c r="Q82" s="71"/>
      <c r="R82" s="197"/>
      <c r="S82" s="71"/>
      <c r="T82" s="197"/>
      <c r="U82" s="71"/>
      <c r="V82" s="197"/>
      <c r="W82" s="71"/>
      <c r="X82" s="197"/>
      <c r="Y82" s="197"/>
      <c r="Z82" s="207"/>
      <c r="AA82" s="208"/>
      <c r="AB82" s="207"/>
      <c r="AC82" s="208"/>
      <c r="AD82" s="207"/>
      <c r="AE82" s="202"/>
      <c r="AF82" s="202"/>
      <c r="AG82" s="202"/>
      <c r="AH82" s="209"/>
      <c r="AI82" s="202"/>
      <c r="AJ82" s="203"/>
      <c r="AK82" s="203"/>
      <c r="AL82" s="152"/>
      <c r="AM82" s="152"/>
    </row>
    <row r="83" spans="1:39">
      <c r="A83" s="210"/>
      <c r="B83" s="182"/>
      <c r="C83" s="182"/>
      <c r="D83" s="182"/>
      <c r="E83" s="211"/>
      <c r="F83" s="185"/>
      <c r="G83" s="204"/>
      <c r="H83" s="187"/>
      <c r="I83" s="212"/>
      <c r="J83" s="206"/>
      <c r="K83" s="213"/>
      <c r="L83" s="51"/>
      <c r="M83" s="192"/>
      <c r="N83" s="193"/>
      <c r="O83" s="194"/>
      <c r="P83" s="195"/>
      <c r="Q83" s="71"/>
      <c r="R83" s="197"/>
      <c r="S83" s="71"/>
      <c r="T83" s="197"/>
      <c r="U83" s="71"/>
      <c r="V83" s="197"/>
      <c r="W83" s="71"/>
      <c r="X83" s="197"/>
      <c r="Y83" s="197"/>
      <c r="Z83" s="207"/>
      <c r="AA83" s="208"/>
      <c r="AB83" s="207"/>
      <c r="AC83" s="208"/>
      <c r="AD83" s="207"/>
      <c r="AE83" s="202"/>
      <c r="AF83" s="202"/>
      <c r="AG83" s="202"/>
      <c r="AH83" s="209"/>
      <c r="AI83" s="202"/>
      <c r="AJ83" s="203"/>
      <c r="AK83" s="203"/>
      <c r="AL83" s="152"/>
      <c r="AM83" s="152"/>
    </row>
    <row r="84" spans="1:39">
      <c r="A84" s="210"/>
      <c r="B84" s="182"/>
      <c r="C84" s="182"/>
      <c r="D84" s="182"/>
      <c r="E84" s="211"/>
      <c r="F84" s="185"/>
      <c r="G84" s="204"/>
      <c r="H84" s="187"/>
      <c r="I84" s="212"/>
      <c r="J84" s="206"/>
      <c r="K84" s="213"/>
      <c r="L84" s="51"/>
      <c r="M84" s="192"/>
      <c r="N84" s="193"/>
      <c r="O84" s="194"/>
      <c r="P84" s="195"/>
      <c r="Q84" s="71"/>
      <c r="R84" s="197"/>
      <c r="S84" s="71"/>
      <c r="T84" s="197"/>
      <c r="U84" s="71"/>
      <c r="V84" s="197"/>
      <c r="W84" s="71"/>
      <c r="X84" s="197"/>
      <c r="Y84" s="197"/>
      <c r="Z84" s="207"/>
      <c r="AA84" s="208"/>
      <c r="AB84" s="207"/>
      <c r="AC84" s="208"/>
      <c r="AD84" s="207"/>
      <c r="AE84" s="202"/>
      <c r="AF84" s="202"/>
      <c r="AG84" s="202"/>
      <c r="AH84" s="209"/>
      <c r="AI84" s="202"/>
      <c r="AJ84" s="203"/>
      <c r="AK84" s="203"/>
      <c r="AL84" s="152"/>
      <c r="AM84" s="152"/>
    </row>
    <row r="85" spans="1:39">
      <c r="A85" s="210"/>
      <c r="B85" s="182"/>
      <c r="C85" s="182"/>
      <c r="D85" s="182"/>
      <c r="E85" s="211"/>
      <c r="F85" s="185"/>
      <c r="G85" s="204"/>
      <c r="H85" s="187"/>
      <c r="I85" s="212"/>
      <c r="J85" s="206"/>
      <c r="K85" s="213"/>
      <c r="L85" s="51"/>
      <c r="M85" s="192"/>
      <c r="N85" s="193"/>
      <c r="O85" s="194"/>
      <c r="P85" s="195"/>
      <c r="Q85" s="71"/>
      <c r="R85" s="197"/>
      <c r="S85" s="71"/>
      <c r="T85" s="197"/>
      <c r="U85" s="71"/>
      <c r="V85" s="197"/>
      <c r="W85" s="71"/>
      <c r="X85" s="197"/>
      <c r="Y85" s="197"/>
      <c r="Z85" s="207"/>
      <c r="AA85" s="208"/>
      <c r="AB85" s="207"/>
      <c r="AC85" s="208"/>
      <c r="AD85" s="207"/>
      <c r="AE85" s="202"/>
      <c r="AF85" s="202"/>
      <c r="AG85" s="202"/>
      <c r="AH85" s="209"/>
      <c r="AI85" s="202"/>
      <c r="AJ85" s="203"/>
      <c r="AK85" s="203"/>
      <c r="AL85" s="152"/>
      <c r="AM85" s="152"/>
    </row>
    <row r="86" spans="1:39">
      <c r="A86" s="210"/>
      <c r="B86" s="182"/>
      <c r="C86" s="182"/>
      <c r="D86" s="182"/>
      <c r="E86" s="211"/>
      <c r="F86" s="185"/>
      <c r="G86" s="204"/>
      <c r="H86" s="187"/>
      <c r="I86" s="212"/>
      <c r="J86" s="206"/>
      <c r="K86" s="213"/>
      <c r="L86" s="51"/>
      <c r="M86" s="192"/>
      <c r="N86" s="193"/>
      <c r="O86" s="194"/>
      <c r="P86" s="195"/>
      <c r="Q86" s="71"/>
      <c r="R86" s="197"/>
      <c r="S86" s="71"/>
      <c r="T86" s="197"/>
      <c r="U86" s="71"/>
      <c r="V86" s="197"/>
      <c r="W86" s="71"/>
      <c r="X86" s="197"/>
      <c r="Y86" s="197"/>
      <c r="Z86" s="207"/>
      <c r="AA86" s="208"/>
      <c r="AB86" s="207"/>
      <c r="AC86" s="208"/>
      <c r="AD86" s="207"/>
      <c r="AE86" s="202"/>
      <c r="AF86" s="202"/>
      <c r="AG86" s="202"/>
      <c r="AH86" s="209"/>
      <c r="AI86" s="202"/>
      <c r="AJ86" s="203"/>
      <c r="AK86" s="203"/>
      <c r="AL86" s="152"/>
      <c r="AM86" s="152"/>
    </row>
    <row r="87" spans="1:39">
      <c r="A87" s="210"/>
      <c r="B87" s="182"/>
      <c r="C87" s="182"/>
      <c r="D87" s="182"/>
      <c r="E87" s="211"/>
      <c r="F87" s="185"/>
      <c r="G87" s="204"/>
      <c r="H87" s="187"/>
      <c r="I87" s="212"/>
      <c r="J87" s="206"/>
      <c r="K87" s="213"/>
      <c r="L87" s="51"/>
      <c r="M87" s="192"/>
      <c r="N87" s="193"/>
      <c r="O87" s="194"/>
      <c r="P87" s="195"/>
      <c r="Q87" s="71"/>
      <c r="R87" s="197"/>
      <c r="S87" s="71"/>
      <c r="T87" s="197"/>
      <c r="U87" s="71"/>
      <c r="V87" s="197"/>
      <c r="W87" s="71"/>
      <c r="X87" s="197"/>
      <c r="Y87" s="197"/>
      <c r="Z87" s="207"/>
      <c r="AA87" s="208"/>
      <c r="AB87" s="207"/>
      <c r="AC87" s="208"/>
      <c r="AD87" s="207"/>
      <c r="AE87" s="202"/>
      <c r="AF87" s="202"/>
      <c r="AG87" s="202"/>
      <c r="AH87" s="209"/>
      <c r="AI87" s="202"/>
      <c r="AJ87" s="203"/>
      <c r="AK87" s="203"/>
      <c r="AL87" s="152"/>
      <c r="AM87" s="152"/>
    </row>
    <row r="88" spans="1:39">
      <c r="A88" s="210"/>
      <c r="B88" s="182"/>
      <c r="C88" s="182"/>
      <c r="D88" s="182"/>
      <c r="E88" s="211"/>
      <c r="F88" s="185"/>
      <c r="G88" s="204"/>
      <c r="H88" s="187"/>
      <c r="I88" s="212"/>
      <c r="J88" s="206"/>
      <c r="K88" s="213"/>
      <c r="L88" s="51"/>
      <c r="M88" s="192"/>
      <c r="N88" s="193"/>
      <c r="O88" s="194"/>
      <c r="P88" s="195"/>
      <c r="Q88" s="71"/>
      <c r="R88" s="197"/>
      <c r="S88" s="71"/>
      <c r="T88" s="197"/>
      <c r="U88" s="71"/>
      <c r="V88" s="197"/>
      <c r="W88" s="71"/>
      <c r="X88" s="197"/>
      <c r="Y88" s="197"/>
      <c r="Z88" s="207"/>
      <c r="AA88" s="208"/>
      <c r="AB88" s="207"/>
      <c r="AC88" s="208"/>
      <c r="AD88" s="207"/>
      <c r="AE88" s="202"/>
      <c r="AF88" s="202"/>
      <c r="AG88" s="202"/>
      <c r="AH88" s="209"/>
      <c r="AI88" s="202"/>
      <c r="AJ88" s="203"/>
      <c r="AK88" s="203"/>
      <c r="AL88" s="152"/>
      <c r="AM88" s="152"/>
    </row>
    <row r="89" spans="1:39">
      <c r="A89" s="210"/>
      <c r="B89" s="182"/>
      <c r="C89" s="182"/>
      <c r="D89" s="182"/>
      <c r="E89" s="211"/>
      <c r="F89" s="185"/>
      <c r="G89" s="204"/>
      <c r="H89" s="187"/>
      <c r="I89" s="212"/>
      <c r="J89" s="206"/>
      <c r="K89" s="213"/>
      <c r="L89" s="51"/>
      <c r="M89" s="192"/>
      <c r="N89" s="193"/>
      <c r="O89" s="194"/>
      <c r="P89" s="195"/>
      <c r="Q89" s="71"/>
      <c r="R89" s="197"/>
      <c r="S89" s="71"/>
      <c r="T89" s="197"/>
      <c r="U89" s="71"/>
      <c r="V89" s="197"/>
      <c r="W89" s="71"/>
      <c r="X89" s="197"/>
      <c r="Y89" s="197"/>
      <c r="Z89" s="214"/>
      <c r="AA89" s="215"/>
      <c r="AB89" s="214"/>
      <c r="AC89" s="215"/>
      <c r="AD89" s="214"/>
      <c r="AE89" s="203"/>
      <c r="AF89" s="203"/>
      <c r="AG89" s="203"/>
      <c r="AH89" s="209"/>
      <c r="AI89" s="202"/>
      <c r="AJ89" s="203"/>
      <c r="AK89" s="203"/>
      <c r="AL89" s="152"/>
      <c r="AM89" s="152"/>
    </row>
    <row r="90" spans="1:39">
      <c r="A90" s="210"/>
      <c r="B90" s="182"/>
      <c r="C90" s="182"/>
      <c r="D90" s="182"/>
      <c r="E90" s="211"/>
      <c r="F90" s="185"/>
      <c r="G90" s="204"/>
      <c r="H90" s="187"/>
      <c r="I90" s="212"/>
      <c r="J90" s="206"/>
      <c r="K90" s="213"/>
      <c r="L90" s="51"/>
      <c r="M90" s="192"/>
      <c r="N90" s="193"/>
      <c r="O90" s="194"/>
      <c r="P90" s="195"/>
      <c r="Q90" s="71"/>
      <c r="R90" s="197"/>
      <c r="S90" s="71"/>
      <c r="T90" s="197"/>
      <c r="U90" s="71"/>
      <c r="V90" s="197"/>
      <c r="W90" s="71"/>
      <c r="X90" s="197"/>
      <c r="Y90" s="197"/>
      <c r="Z90" s="214"/>
      <c r="AA90" s="215"/>
      <c r="AB90" s="214"/>
      <c r="AC90" s="215"/>
      <c r="AD90" s="214"/>
      <c r="AE90" s="203"/>
      <c r="AF90" s="203"/>
      <c r="AG90" s="203"/>
      <c r="AH90" s="209"/>
      <c r="AI90" s="202"/>
      <c r="AJ90" s="203"/>
      <c r="AK90" s="203"/>
      <c r="AL90" s="152"/>
      <c r="AM90" s="152"/>
    </row>
    <row r="91" spans="1:39">
      <c r="A91" s="210"/>
      <c r="B91" s="182"/>
      <c r="C91" s="182"/>
      <c r="D91" s="182"/>
      <c r="E91" s="211"/>
      <c r="F91" s="185"/>
      <c r="G91" s="204"/>
      <c r="H91" s="187"/>
      <c r="I91" s="212"/>
      <c r="J91" s="206"/>
      <c r="K91" s="213"/>
      <c r="L91" s="51"/>
      <c r="M91" s="192"/>
      <c r="N91" s="193"/>
      <c r="O91" s="194"/>
      <c r="P91" s="195"/>
      <c r="Q91" s="71"/>
      <c r="R91" s="197"/>
      <c r="S91" s="71"/>
      <c r="T91" s="197"/>
      <c r="U91" s="71"/>
      <c r="V91" s="197"/>
      <c r="W91" s="71"/>
      <c r="X91" s="197"/>
      <c r="Y91" s="197"/>
      <c r="Z91" s="214"/>
      <c r="AA91" s="215"/>
      <c r="AB91" s="214"/>
      <c r="AC91" s="215"/>
      <c r="AD91" s="214"/>
      <c r="AE91" s="203"/>
      <c r="AF91" s="203"/>
      <c r="AG91" s="203"/>
      <c r="AH91" s="209"/>
      <c r="AI91" s="202"/>
      <c r="AJ91" s="203"/>
      <c r="AK91" s="203"/>
      <c r="AL91" s="152"/>
      <c r="AM91" s="152"/>
    </row>
    <row r="92" spans="1:39">
      <c r="A92" s="210"/>
      <c r="B92" s="182"/>
      <c r="C92" s="182"/>
      <c r="D92" s="182"/>
      <c r="E92" s="211"/>
      <c r="F92" s="185"/>
      <c r="G92" s="204"/>
      <c r="H92" s="187"/>
      <c r="I92" s="212"/>
      <c r="J92" s="206"/>
      <c r="K92" s="213"/>
      <c r="L92" s="51"/>
      <c r="M92" s="192"/>
      <c r="N92" s="193"/>
      <c r="O92" s="194"/>
      <c r="P92" s="195"/>
      <c r="Q92" s="71"/>
      <c r="R92" s="197"/>
      <c r="S92" s="71"/>
      <c r="T92" s="197"/>
      <c r="U92" s="71"/>
      <c r="V92" s="197"/>
      <c r="W92" s="71"/>
      <c r="X92" s="197"/>
      <c r="Y92" s="197"/>
      <c r="Z92" s="214"/>
      <c r="AA92" s="215"/>
      <c r="AB92" s="214"/>
      <c r="AC92" s="215"/>
      <c r="AD92" s="214"/>
      <c r="AE92" s="203"/>
      <c r="AF92" s="203"/>
      <c r="AG92" s="203"/>
      <c r="AH92" s="209"/>
      <c r="AI92" s="202"/>
      <c r="AJ92" s="203"/>
      <c r="AK92" s="203"/>
      <c r="AL92" s="152"/>
      <c r="AM92" s="152"/>
    </row>
    <row r="93" spans="1:39">
      <c r="A93" s="210"/>
      <c r="B93" s="182"/>
      <c r="C93" s="182"/>
      <c r="D93" s="182"/>
      <c r="E93" s="211"/>
      <c r="F93" s="185"/>
      <c r="G93" s="204"/>
      <c r="H93" s="187"/>
      <c r="I93" s="212"/>
      <c r="J93" s="206"/>
      <c r="K93" s="213"/>
      <c r="L93" s="51"/>
      <c r="M93" s="192"/>
      <c r="N93" s="193"/>
      <c r="O93" s="194"/>
      <c r="P93" s="195"/>
      <c r="Q93" s="71"/>
      <c r="R93" s="197"/>
      <c r="S93" s="71"/>
      <c r="T93" s="197"/>
      <c r="U93" s="71"/>
      <c r="V93" s="197"/>
      <c r="W93" s="71"/>
      <c r="X93" s="197"/>
      <c r="Y93" s="197"/>
      <c r="Z93" s="214"/>
      <c r="AA93" s="215"/>
      <c r="AB93" s="214"/>
      <c r="AC93" s="215"/>
      <c r="AD93" s="214"/>
      <c r="AE93" s="203"/>
      <c r="AF93" s="203"/>
      <c r="AG93" s="203"/>
      <c r="AH93" s="209"/>
      <c r="AI93" s="202"/>
      <c r="AJ93" s="203"/>
      <c r="AK93" s="203"/>
      <c r="AL93" s="152"/>
      <c r="AM93" s="152"/>
    </row>
    <row r="94" spans="1:39">
      <c r="A94" s="210"/>
      <c r="B94" s="182"/>
      <c r="C94" s="182"/>
      <c r="D94" s="182"/>
      <c r="E94" s="211"/>
      <c r="F94" s="185"/>
      <c r="G94" s="204"/>
      <c r="H94" s="187"/>
      <c r="I94" s="212"/>
      <c r="J94" s="206"/>
      <c r="K94" s="213"/>
      <c r="L94" s="51"/>
      <c r="M94" s="192"/>
      <c r="N94" s="193"/>
      <c r="O94" s="194"/>
      <c r="P94" s="195"/>
      <c r="Q94" s="71"/>
      <c r="R94" s="197"/>
      <c r="S94" s="71"/>
      <c r="T94" s="197"/>
      <c r="U94" s="71"/>
      <c r="V94" s="197"/>
      <c r="W94" s="71"/>
      <c r="X94" s="197"/>
      <c r="Y94" s="197"/>
      <c r="Z94" s="214"/>
      <c r="AA94" s="215"/>
      <c r="AB94" s="214"/>
      <c r="AC94" s="215"/>
      <c r="AD94" s="214"/>
      <c r="AE94" s="203"/>
      <c r="AF94" s="203"/>
      <c r="AG94" s="203"/>
      <c r="AH94" s="209"/>
      <c r="AI94" s="202"/>
      <c r="AJ94" s="203"/>
      <c r="AK94" s="203"/>
      <c r="AL94" s="152"/>
      <c r="AM94" s="152"/>
    </row>
    <row r="95" spans="1:39">
      <c r="A95" s="210"/>
      <c r="B95" s="182"/>
      <c r="C95" s="182"/>
      <c r="D95" s="182"/>
      <c r="E95" s="211"/>
      <c r="F95" s="185"/>
      <c r="G95" s="204"/>
      <c r="H95" s="187"/>
      <c r="I95" s="212"/>
      <c r="J95" s="206"/>
      <c r="K95" s="213"/>
      <c r="L95" s="51"/>
      <c r="M95" s="192"/>
      <c r="N95" s="193"/>
      <c r="O95" s="194"/>
      <c r="P95" s="195"/>
      <c r="Q95" s="71"/>
      <c r="R95" s="197"/>
      <c r="S95" s="71"/>
      <c r="T95" s="197"/>
      <c r="U95" s="71"/>
      <c r="V95" s="197"/>
      <c r="W95" s="71"/>
      <c r="X95" s="197"/>
      <c r="Y95" s="197"/>
      <c r="Z95" s="214"/>
      <c r="AA95" s="215"/>
      <c r="AB95" s="214"/>
      <c r="AC95" s="215"/>
      <c r="AD95" s="214"/>
      <c r="AE95" s="203"/>
      <c r="AF95" s="203"/>
      <c r="AG95" s="203"/>
      <c r="AH95" s="209"/>
      <c r="AI95" s="202"/>
      <c r="AJ95" s="203"/>
      <c r="AK95" s="203"/>
      <c r="AL95" s="152"/>
      <c r="AM95" s="152"/>
    </row>
    <row r="96" spans="1:39" ht="38.25">
      <c r="A96" s="210"/>
      <c r="B96" s="182" t="s">
        <v>107</v>
      </c>
      <c r="C96" s="182"/>
      <c r="D96" s="182"/>
      <c r="E96" s="211"/>
      <c r="F96" s="185"/>
      <c r="G96" s="204"/>
      <c r="H96" s="187"/>
      <c r="I96" s="212"/>
      <c r="J96" s="206"/>
      <c r="K96" s="213"/>
      <c r="L96" s="51"/>
      <c r="M96" s="192"/>
      <c r="N96" s="193"/>
      <c r="O96" s="194"/>
      <c r="P96" s="195"/>
      <c r="Q96" s="71"/>
      <c r="R96" s="197"/>
      <c r="S96" s="71"/>
      <c r="T96" s="197"/>
      <c r="U96" s="71"/>
      <c r="V96" s="197"/>
      <c r="W96" s="71"/>
      <c r="X96" s="197"/>
      <c r="Y96" s="197"/>
      <c r="Z96" s="214"/>
      <c r="AA96" s="215"/>
      <c r="AB96" s="214"/>
      <c r="AC96" s="215"/>
      <c r="AD96" s="214"/>
      <c r="AE96" s="203"/>
      <c r="AF96" s="203"/>
      <c r="AG96" s="203"/>
      <c r="AH96" s="209"/>
      <c r="AI96" s="202"/>
      <c r="AJ96" s="203"/>
      <c r="AK96" s="203"/>
      <c r="AL96" s="152"/>
      <c r="AM96" s="152"/>
    </row>
    <row r="97" spans="1:39" ht="38.25">
      <c r="A97" s="210"/>
      <c r="B97" s="182" t="s">
        <v>108</v>
      </c>
      <c r="C97" s="182"/>
      <c r="D97" s="182"/>
      <c r="E97" s="211"/>
      <c r="F97" s="185"/>
      <c r="G97" s="204"/>
      <c r="H97" s="187"/>
      <c r="I97" s="212"/>
      <c r="J97" s="206"/>
      <c r="K97" s="213"/>
      <c r="L97" s="51"/>
      <c r="M97" s="192"/>
      <c r="N97" s="193"/>
      <c r="O97" s="194"/>
      <c r="P97" s="195"/>
      <c r="Q97" s="71"/>
      <c r="R97" s="197"/>
      <c r="S97" s="71"/>
      <c r="T97" s="197"/>
      <c r="U97" s="71"/>
      <c r="V97" s="197"/>
      <c r="W97" s="71"/>
      <c r="X97" s="197"/>
      <c r="Y97" s="197"/>
      <c r="Z97" s="214"/>
      <c r="AA97" s="215"/>
      <c r="AB97" s="214"/>
      <c r="AC97" s="215"/>
      <c r="AD97" s="214"/>
      <c r="AE97" s="203"/>
      <c r="AF97" s="203"/>
      <c r="AG97" s="203"/>
      <c r="AH97" s="209"/>
      <c r="AI97" s="202"/>
      <c r="AJ97" s="203"/>
      <c r="AK97" s="203"/>
      <c r="AL97" s="152"/>
      <c r="AM97" s="152"/>
    </row>
    <row r="98" spans="1:39" ht="38.25">
      <c r="A98" s="210"/>
      <c r="B98" s="182" t="s">
        <v>109</v>
      </c>
      <c r="C98" s="182"/>
      <c r="D98" s="182"/>
      <c r="E98" s="211"/>
      <c r="F98" s="185"/>
      <c r="G98" s="204"/>
      <c r="H98" s="187"/>
      <c r="I98" s="212"/>
      <c r="J98" s="206"/>
      <c r="K98" s="213"/>
      <c r="L98" s="51"/>
      <c r="M98" s="192"/>
      <c r="N98" s="193"/>
      <c r="O98" s="194"/>
      <c r="P98" s="195"/>
      <c r="Q98" s="71"/>
      <c r="R98" s="197"/>
      <c r="S98" s="71"/>
      <c r="T98" s="197"/>
      <c r="U98" s="71"/>
      <c r="V98" s="197"/>
      <c r="W98" s="71"/>
      <c r="X98" s="197"/>
      <c r="Y98" s="197"/>
      <c r="Z98" s="214"/>
      <c r="AA98" s="215"/>
      <c r="AB98" s="214"/>
      <c r="AC98" s="215"/>
      <c r="AD98" s="214"/>
      <c r="AE98" s="203"/>
      <c r="AF98" s="203"/>
      <c r="AG98" s="203"/>
      <c r="AH98" s="209"/>
      <c r="AI98" s="202"/>
      <c r="AJ98" s="203"/>
      <c r="AK98" s="203"/>
      <c r="AL98" s="152"/>
      <c r="AM98" s="152"/>
    </row>
  </sheetData>
  <mergeCells count="342">
    <mergeCell ref="H58:H59"/>
    <mergeCell ref="I58:I59"/>
    <mergeCell ref="J58:J59"/>
    <mergeCell ref="M58:M59"/>
    <mergeCell ref="N58:N59"/>
    <mergeCell ref="O58:O59"/>
    <mergeCell ref="P58:P59"/>
    <mergeCell ref="I43:I44"/>
    <mergeCell ref="J43:J44"/>
    <mergeCell ref="M43:M44"/>
    <mergeCell ref="N43:N44"/>
    <mergeCell ref="O43:O44"/>
    <mergeCell ref="I45:I46"/>
    <mergeCell ref="J45:J46"/>
    <mergeCell ref="M45:M46"/>
    <mergeCell ref="A40:A46"/>
    <mergeCell ref="B40:B46"/>
    <mergeCell ref="C40:C46"/>
    <mergeCell ref="D40:D46"/>
    <mergeCell ref="E40:E46"/>
    <mergeCell ref="F40:F46"/>
    <mergeCell ref="G43:G44"/>
    <mergeCell ref="K35:K36"/>
    <mergeCell ref="L35:L36"/>
    <mergeCell ref="M35:M36"/>
    <mergeCell ref="M37:M38"/>
    <mergeCell ref="A35:A39"/>
    <mergeCell ref="B35:B39"/>
    <mergeCell ref="C35:C36"/>
    <mergeCell ref="D35:D38"/>
    <mergeCell ref="E35:E36"/>
    <mergeCell ref="F35:F36"/>
    <mergeCell ref="H35:H36"/>
    <mergeCell ref="E30:E31"/>
    <mergeCell ref="F30:F31"/>
    <mergeCell ref="G30:G31"/>
    <mergeCell ref="H30:H31"/>
    <mergeCell ref="I30:I31"/>
    <mergeCell ref="J30:J31"/>
    <mergeCell ref="M30:M31"/>
    <mergeCell ref="A28:A29"/>
    <mergeCell ref="B28:B29"/>
    <mergeCell ref="D28:D29"/>
    <mergeCell ref="A30:A31"/>
    <mergeCell ref="B30:B31"/>
    <mergeCell ref="C30:C31"/>
    <mergeCell ref="D30:D31"/>
    <mergeCell ref="AB48:AB49"/>
    <mergeCell ref="AC48:AC49"/>
    <mergeCell ref="AD48:AD49"/>
    <mergeCell ref="Q48:Q49"/>
    <mergeCell ref="R48:R49"/>
    <mergeCell ref="S48:S49"/>
    <mergeCell ref="T48:T49"/>
    <mergeCell ref="U48:U49"/>
    <mergeCell ref="V48:V49"/>
    <mergeCell ref="W48:W49"/>
    <mergeCell ref="J48:J49"/>
    <mergeCell ref="M48:M49"/>
    <mergeCell ref="N48:N49"/>
    <mergeCell ref="O48:O49"/>
    <mergeCell ref="P48:P49"/>
    <mergeCell ref="X48:X49"/>
    <mergeCell ref="Y48:Y49"/>
    <mergeCell ref="Z48:Z49"/>
    <mergeCell ref="AA48:AA49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AD26:AD27"/>
    <mergeCell ref="P26:P27"/>
    <mergeCell ref="Q26:Q27"/>
    <mergeCell ref="R26:R27"/>
    <mergeCell ref="S26:S27"/>
    <mergeCell ref="T26:T27"/>
    <mergeCell ref="U26:U27"/>
    <mergeCell ref="V26:V27"/>
    <mergeCell ref="A22:A23"/>
    <mergeCell ref="A26:A27"/>
    <mergeCell ref="B26:B27"/>
    <mergeCell ref="C26:C27"/>
    <mergeCell ref="D26:D27"/>
    <mergeCell ref="E26:E27"/>
    <mergeCell ref="F26:F27"/>
    <mergeCell ref="N26:N27"/>
    <mergeCell ref="O26:O27"/>
    <mergeCell ref="W26:W27"/>
    <mergeCell ref="X26:X27"/>
    <mergeCell ref="Y26:Y27"/>
    <mergeCell ref="Z26:Z27"/>
    <mergeCell ref="AA26:AA27"/>
    <mergeCell ref="AB26:AB27"/>
    <mergeCell ref="AC26:AC27"/>
    <mergeCell ref="B22:B23"/>
    <mergeCell ref="C22:C23"/>
    <mergeCell ref="D22:D23"/>
    <mergeCell ref="E22:E23"/>
    <mergeCell ref="F22:F23"/>
    <mergeCell ref="G22:G23"/>
    <mergeCell ref="H22:H23"/>
    <mergeCell ref="G26:G27"/>
    <mergeCell ref="H26:H27"/>
    <mergeCell ref="B16:B17"/>
    <mergeCell ref="C16:C17"/>
    <mergeCell ref="D16:D17"/>
    <mergeCell ref="E16:E17"/>
    <mergeCell ref="F16:F17"/>
    <mergeCell ref="G16:G17"/>
    <mergeCell ref="H16:H17"/>
    <mergeCell ref="A16:A17"/>
    <mergeCell ref="A18:A19"/>
    <mergeCell ref="B18:B19"/>
    <mergeCell ref="C18:C19"/>
    <mergeCell ref="D18:D19"/>
    <mergeCell ref="E18:E19"/>
    <mergeCell ref="F18:F19"/>
    <mergeCell ref="A1:B1"/>
    <mergeCell ref="I1:J1"/>
    <mergeCell ref="K1:M1"/>
    <mergeCell ref="N1:P1"/>
    <mergeCell ref="A3:A5"/>
    <mergeCell ref="B3:B5"/>
    <mergeCell ref="A6:B6"/>
    <mergeCell ref="E1:F1"/>
    <mergeCell ref="E4:E5"/>
    <mergeCell ref="F4:F5"/>
    <mergeCell ref="A14:A15"/>
    <mergeCell ref="B14:B15"/>
    <mergeCell ref="C14:C15"/>
    <mergeCell ref="D14:D15"/>
    <mergeCell ref="E14:E15"/>
    <mergeCell ref="F14:F15"/>
    <mergeCell ref="G14:G15"/>
    <mergeCell ref="M4:M5"/>
    <mergeCell ref="N4:N5"/>
    <mergeCell ref="B7:B9"/>
    <mergeCell ref="D7:D9"/>
    <mergeCell ref="E7:E9"/>
    <mergeCell ref="F7:F9"/>
    <mergeCell ref="A7:A9"/>
    <mergeCell ref="A10:A12"/>
    <mergeCell ref="B10:B12"/>
    <mergeCell ref="C10:C12"/>
    <mergeCell ref="D10:D12"/>
    <mergeCell ref="E10:E12"/>
    <mergeCell ref="F10:F12"/>
    <mergeCell ref="AI3:AJ3"/>
    <mergeCell ref="AK3:AK5"/>
    <mergeCell ref="AL3:AL5"/>
    <mergeCell ref="I3:J3"/>
    <mergeCell ref="K3:M3"/>
    <mergeCell ref="Q3:T3"/>
    <mergeCell ref="U3:X3"/>
    <mergeCell ref="Y3:Z3"/>
    <mergeCell ref="AA3:AB3"/>
    <mergeCell ref="AC3:AD3"/>
    <mergeCell ref="I4:I5"/>
    <mergeCell ref="J4:J5"/>
    <mergeCell ref="Z4:Z5"/>
    <mergeCell ref="AA4:AA5"/>
    <mergeCell ref="AB4:AB5"/>
    <mergeCell ref="AC4:AC5"/>
    <mergeCell ref="AD4:AD5"/>
    <mergeCell ref="K4:K5"/>
    <mergeCell ref="L4:L5"/>
    <mergeCell ref="Q4:R4"/>
    <mergeCell ref="S4:T4"/>
    <mergeCell ref="U4:V4"/>
    <mergeCell ref="W4:X4"/>
    <mergeCell ref="Y4:Y5"/>
    <mergeCell ref="AA60:AA62"/>
    <mergeCell ref="AB60:AB62"/>
    <mergeCell ref="AC60:AC62"/>
    <mergeCell ref="AD60:AD62"/>
    <mergeCell ref="C3:C5"/>
    <mergeCell ref="D3:D5"/>
    <mergeCell ref="E3:F3"/>
    <mergeCell ref="G3:H3"/>
    <mergeCell ref="AG3:AH3"/>
    <mergeCell ref="G4:G5"/>
    <mergeCell ref="H4:H5"/>
    <mergeCell ref="H14:H15"/>
    <mergeCell ref="K14:K15"/>
    <mergeCell ref="L14:L15"/>
    <mergeCell ref="M14:M15"/>
    <mergeCell ref="O4:O5"/>
    <mergeCell ref="P4:P5"/>
    <mergeCell ref="N3:P3"/>
    <mergeCell ref="O6:P6"/>
    <mergeCell ref="G18:G19"/>
    <mergeCell ref="H18:H19"/>
    <mergeCell ref="I26:I27"/>
    <mergeCell ref="J26:J27"/>
    <mergeCell ref="M26:M27"/>
    <mergeCell ref="H60:H62"/>
    <mergeCell ref="I60:I62"/>
    <mergeCell ref="J60:J62"/>
    <mergeCell ref="M60:M62"/>
    <mergeCell ref="N60:N62"/>
    <mergeCell ref="O60:O62"/>
    <mergeCell ref="P60:P62"/>
    <mergeCell ref="A60:A62"/>
    <mergeCell ref="B60:B62"/>
    <mergeCell ref="C60:C62"/>
    <mergeCell ref="D60:D62"/>
    <mergeCell ref="E60:E62"/>
    <mergeCell ref="F60:F62"/>
    <mergeCell ref="G60:G62"/>
    <mergeCell ref="H55:H56"/>
    <mergeCell ref="I55:I56"/>
    <mergeCell ref="J55:J56"/>
    <mergeCell ref="M55:M56"/>
    <mergeCell ref="N55:N56"/>
    <mergeCell ref="O55:O56"/>
    <mergeCell ref="P55:P56"/>
    <mergeCell ref="A55:A57"/>
    <mergeCell ref="B55:B57"/>
    <mergeCell ref="C55:C57"/>
    <mergeCell ref="D55:D57"/>
    <mergeCell ref="E55:E57"/>
    <mergeCell ref="F55:F57"/>
    <mergeCell ref="G55:G56"/>
    <mergeCell ref="A70:A71"/>
    <mergeCell ref="B70:B71"/>
    <mergeCell ref="C70:C71"/>
    <mergeCell ref="D70:D71"/>
    <mergeCell ref="E70:E71"/>
    <mergeCell ref="F70:F71"/>
    <mergeCell ref="G70:G71"/>
    <mergeCell ref="A78:B78"/>
    <mergeCell ref="Z64:Z65"/>
    <mergeCell ref="S64:S65"/>
    <mergeCell ref="T64:T65"/>
    <mergeCell ref="U64:U65"/>
    <mergeCell ref="V64:V65"/>
    <mergeCell ref="W64:W65"/>
    <mergeCell ref="X64:X65"/>
    <mergeCell ref="Y64:Y65"/>
    <mergeCell ref="A64:A65"/>
    <mergeCell ref="B64:B65"/>
    <mergeCell ref="C64:C65"/>
    <mergeCell ref="D64:D65"/>
    <mergeCell ref="E64:E65"/>
    <mergeCell ref="F64:F65"/>
    <mergeCell ref="G64:G65"/>
    <mergeCell ref="O78:P78"/>
    <mergeCell ref="H64:H65"/>
    <mergeCell ref="I64:I65"/>
    <mergeCell ref="J64:J65"/>
    <mergeCell ref="M64:M65"/>
    <mergeCell ref="N64:N65"/>
    <mergeCell ref="O64:O65"/>
    <mergeCell ref="P64:P65"/>
    <mergeCell ref="H70:H71"/>
    <mergeCell ref="I70:I71"/>
    <mergeCell ref="J70:J71"/>
    <mergeCell ref="M70:M71"/>
    <mergeCell ref="AD58:AD59"/>
    <mergeCell ref="X55:X56"/>
    <mergeCell ref="Y55:Y56"/>
    <mergeCell ref="Z55:Z56"/>
    <mergeCell ref="AA55:AA56"/>
    <mergeCell ref="AB55:AB56"/>
    <mergeCell ref="AC55:AC56"/>
    <mergeCell ref="AD55:AD56"/>
    <mergeCell ref="Q64:Q65"/>
    <mergeCell ref="R64:R65"/>
    <mergeCell ref="AA64:AA65"/>
    <mergeCell ref="Q60:Q62"/>
    <mergeCell ref="R60:R62"/>
    <mergeCell ref="S60:S62"/>
    <mergeCell ref="T60:T62"/>
    <mergeCell ref="U60:U62"/>
    <mergeCell ref="V60:V62"/>
    <mergeCell ref="W60:W62"/>
    <mergeCell ref="AB64:AB65"/>
    <mergeCell ref="AC64:AC65"/>
    <mergeCell ref="AD64:AD65"/>
    <mergeCell ref="X60:X62"/>
    <mergeCell ref="Y60:Y62"/>
    <mergeCell ref="Z60:Z62"/>
    <mergeCell ref="Q55:Q56"/>
    <mergeCell ref="R55:R56"/>
    <mergeCell ref="S55:S56"/>
    <mergeCell ref="T55:T56"/>
    <mergeCell ref="U55:U56"/>
    <mergeCell ref="V55:V56"/>
    <mergeCell ref="W55:W56"/>
    <mergeCell ref="AB58:AB59"/>
    <mergeCell ref="AC58:AC59"/>
    <mergeCell ref="Q58:Q59"/>
    <mergeCell ref="R58:R59"/>
    <mergeCell ref="A51:A52"/>
    <mergeCell ref="B51:B52"/>
    <mergeCell ref="C51:C52"/>
    <mergeCell ref="D51:D52"/>
    <mergeCell ref="E51:E52"/>
    <mergeCell ref="F51:F52"/>
    <mergeCell ref="G51:G52"/>
    <mergeCell ref="A58:A59"/>
    <mergeCell ref="B58:B59"/>
    <mergeCell ref="C58:C59"/>
    <mergeCell ref="D58:D59"/>
    <mergeCell ref="E58:E59"/>
    <mergeCell ref="F58:F59"/>
    <mergeCell ref="G58:G59"/>
    <mergeCell ref="Z51:Z52"/>
    <mergeCell ref="AA51:AA52"/>
    <mergeCell ref="AB51:AB52"/>
    <mergeCell ref="AC51:AC52"/>
    <mergeCell ref="AD51:AD52"/>
    <mergeCell ref="Q51:Q52"/>
    <mergeCell ref="R51:R52"/>
    <mergeCell ref="S51:S52"/>
    <mergeCell ref="T51:T52"/>
    <mergeCell ref="U51:U52"/>
    <mergeCell ref="V51:V52"/>
    <mergeCell ref="W51:W52"/>
    <mergeCell ref="H51:H52"/>
    <mergeCell ref="I51:I52"/>
    <mergeCell ref="J51:J52"/>
    <mergeCell ref="M51:M52"/>
    <mergeCell ref="N51:N52"/>
    <mergeCell ref="O51:O52"/>
    <mergeCell ref="P51:P52"/>
    <mergeCell ref="X51:X52"/>
    <mergeCell ref="Y51:Y52"/>
    <mergeCell ref="Z58:Z59"/>
    <mergeCell ref="AA58:AA59"/>
    <mergeCell ref="S58:S59"/>
    <mergeCell ref="T58:T59"/>
    <mergeCell ref="U58:U59"/>
    <mergeCell ref="V58:V59"/>
    <mergeCell ref="W58:W59"/>
    <mergeCell ref="X58:X59"/>
    <mergeCell ref="Y58:Y59"/>
  </mergeCells>
  <conditionalFormatting sqref="AK7:AK78">
    <cfRule type="containsText" dxfId="0" priority="1" operator="containsText" text="Done">
      <formula>NOT(ISERROR(SEARCH(("Done"),(AK7))))</formula>
    </cfRule>
  </conditionalFormatting>
  <dataValidations count="2">
    <dataValidation type="custom" allowBlank="1" showDropDown="1" showInputMessage="1" showErrorMessage="1" prompt="Enter a valid date" sqref="L6 L10:L12 L14 L16:L35 L37:L98">
      <formula1>OR(NOT(ISERROR(DATEVALUE(L6))), AND(ISNUMBER(L6), LEFT(CELL("format", L6))="D"))</formula1>
    </dataValidation>
    <dataValidation type="custom" allowBlank="1" showDropDown="1" showInputMessage="1" showErrorMessage="1" prompt="Nhắp đúp để chọn đúng ngày." sqref="F6:F7 L7:L9 F10 F13 H6:H13 L13 F14:H14 F16 H16 F18 H18 F20:F22 H20:H22 F24:F26 H24:H26 J7:J26 F28:F30 H30 J28:J30 F32:F35 H32:H35 J32:J38 F37:F40 J41:J43 J45 F47:F48 H37:H48 J47:J48 F50:F51 H50:H51 J50:J51 F53:F55 H53:H55 J53:J55 F58 H57:H58 J57:J58 F60 H60 J60 F63:F64 H63:H64 J63:J64 F66:F70 H66:H70 J66:J70 F72:F98 H72:H98 J72:J98">
      <formula1>OR(NOT(ISERROR(DATEVALUE(F6))), AND(ISNUMBER(F6), LEFT(CELL("format", F6))="D"))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T950"/>
  <sheetViews>
    <sheetView workbookViewId="0"/>
  </sheetViews>
  <sheetFormatPr defaultColWidth="14.42578125" defaultRowHeight="12.75" customHeight="1" outlineLevelCol="1"/>
  <cols>
    <col min="1" max="1" width="22.140625" customWidth="1"/>
    <col min="2" max="2" width="24" customWidth="1"/>
    <col min="3" max="3" width="16.42578125" customWidth="1"/>
    <col min="4" max="4" width="15.140625" customWidth="1"/>
    <col min="5" max="5" width="12" customWidth="1"/>
    <col min="6" max="6" width="13.85546875" customWidth="1"/>
    <col min="7" max="7" width="12" customWidth="1"/>
    <col min="8" max="8" width="15.5703125" customWidth="1" outlineLevel="1"/>
    <col min="9" max="9" width="11.5703125" customWidth="1" outlineLevel="1"/>
    <col min="10" max="10" width="13.28515625" customWidth="1" outlineLevel="1"/>
    <col min="11" max="11" width="14.140625" customWidth="1"/>
    <col min="12" max="12" width="13.42578125" customWidth="1"/>
    <col min="13" max="13" width="14.5703125" customWidth="1"/>
    <col min="14" max="14" width="11.140625" customWidth="1"/>
    <col min="15" max="15" width="15.140625" customWidth="1"/>
    <col min="16" max="16" width="11.7109375" customWidth="1"/>
    <col min="17" max="17" width="14" customWidth="1"/>
    <col min="18" max="19" width="16.5703125" customWidth="1"/>
    <col min="20" max="20" width="17.28515625" customWidth="1"/>
  </cols>
  <sheetData>
    <row r="1" spans="1:20" ht="22.5">
      <c r="A1" s="375" t="s">
        <v>110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216"/>
      <c r="M1" s="216"/>
      <c r="N1" s="216"/>
      <c r="O1" s="216"/>
      <c r="P1" s="216"/>
      <c r="Q1" s="216"/>
      <c r="R1" s="216"/>
      <c r="S1" s="216"/>
      <c r="T1" s="1"/>
    </row>
    <row r="2" spans="1:20" ht="22.5">
      <c r="A2" s="1"/>
      <c r="B2" s="1"/>
      <c r="C2" s="1"/>
      <c r="D2" s="5"/>
      <c r="E2" s="10"/>
      <c r="F2" s="5"/>
      <c r="G2" s="10"/>
      <c r="H2" s="5"/>
      <c r="I2" s="12"/>
      <c r="J2" s="5"/>
      <c r="K2" s="217"/>
      <c r="L2" s="218"/>
      <c r="M2" s="219"/>
      <c r="N2" s="220"/>
      <c r="O2" s="220"/>
      <c r="P2" s="220"/>
      <c r="Q2" s="217"/>
      <c r="R2" s="221"/>
      <c r="S2" s="221"/>
      <c r="T2" s="8"/>
    </row>
    <row r="3" spans="1:20" ht="32.25" customHeight="1">
      <c r="A3" s="361" t="s">
        <v>1</v>
      </c>
      <c r="B3" s="361" t="s">
        <v>2</v>
      </c>
      <c r="C3" s="361" t="s">
        <v>4</v>
      </c>
      <c r="D3" s="373" t="s">
        <v>5</v>
      </c>
      <c r="E3" s="330"/>
      <c r="F3" s="363" t="s">
        <v>7</v>
      </c>
      <c r="G3" s="330"/>
      <c r="H3" s="363" t="s">
        <v>8</v>
      </c>
      <c r="I3" s="330"/>
      <c r="J3" s="330"/>
      <c r="K3" s="384" t="s">
        <v>111</v>
      </c>
      <c r="L3" s="330"/>
      <c r="M3" s="384" t="s">
        <v>112</v>
      </c>
      <c r="N3" s="330"/>
      <c r="O3" s="384" t="s">
        <v>113</v>
      </c>
      <c r="P3" s="330"/>
      <c r="Q3" s="330"/>
      <c r="R3" s="385" t="s">
        <v>114</v>
      </c>
      <c r="S3" s="386" t="s">
        <v>115</v>
      </c>
      <c r="T3" s="387" t="s">
        <v>116</v>
      </c>
    </row>
    <row r="4" spans="1:20" ht="30.75" customHeight="1">
      <c r="A4" s="330"/>
      <c r="B4" s="330"/>
      <c r="C4" s="330"/>
      <c r="D4" s="19" t="s">
        <v>21</v>
      </c>
      <c r="E4" s="23" t="s">
        <v>22</v>
      </c>
      <c r="F4" s="18" t="s">
        <v>21</v>
      </c>
      <c r="G4" s="24" t="s">
        <v>23</v>
      </c>
      <c r="H4" s="18" t="s">
        <v>24</v>
      </c>
      <c r="I4" s="25" t="s">
        <v>25</v>
      </c>
      <c r="J4" s="18" t="s">
        <v>26</v>
      </c>
      <c r="K4" s="222" t="s">
        <v>117</v>
      </c>
      <c r="L4" s="222" t="s">
        <v>118</v>
      </c>
      <c r="M4" s="223" t="s">
        <v>21</v>
      </c>
      <c r="N4" s="222" t="s">
        <v>23</v>
      </c>
      <c r="O4" s="223" t="s">
        <v>8</v>
      </c>
      <c r="P4" s="222" t="s">
        <v>119</v>
      </c>
      <c r="Q4" s="222" t="s">
        <v>120</v>
      </c>
      <c r="R4" s="330"/>
      <c r="S4" s="330"/>
      <c r="T4" s="330"/>
    </row>
    <row r="5" spans="1:20" ht="25.5" customHeight="1">
      <c r="A5" s="359" t="s">
        <v>41</v>
      </c>
      <c r="B5" s="330"/>
      <c r="C5" s="28"/>
      <c r="D5" s="31"/>
      <c r="E5" s="224"/>
      <c r="F5" s="31"/>
      <c r="G5" s="31"/>
      <c r="H5" s="31"/>
      <c r="I5" s="32"/>
      <c r="J5" s="31"/>
      <c r="K5" s="225"/>
      <c r="L5" s="225"/>
      <c r="M5" s="225"/>
      <c r="N5" s="225"/>
      <c r="O5" s="225"/>
      <c r="P5" s="225"/>
      <c r="Q5" s="225"/>
      <c r="R5" s="225"/>
      <c r="S5" s="226"/>
      <c r="T5" s="31"/>
    </row>
    <row r="6" spans="1:20" ht="23.25" customHeight="1">
      <c r="A6" s="381" t="str">
        <f>HYPERLINK("https://docs.google.com/spreadsheets/d/1vCOoengzj4u-lf-Olvw85ysitfzOfclGKPXAtoEPy0A/edit?pli=1#gid=1432826596","01/PPXD-CICHĐ2023")</f>
        <v>01/PPXD-CICHĐ2023</v>
      </c>
      <c r="B6" s="354" t="s">
        <v>121</v>
      </c>
      <c r="C6" s="354" t="s">
        <v>43</v>
      </c>
      <c r="D6" s="356">
        <v>4730000000</v>
      </c>
      <c r="E6" s="357">
        <v>44957</v>
      </c>
      <c r="F6" s="48">
        <v>860000000</v>
      </c>
      <c r="G6" s="49">
        <v>44959</v>
      </c>
      <c r="H6" s="50">
        <v>946000000</v>
      </c>
      <c r="I6" s="51">
        <v>44966</v>
      </c>
      <c r="J6" s="156">
        <f>F6*1.1-H6</f>
        <v>0</v>
      </c>
      <c r="K6" s="229"/>
      <c r="L6" s="229"/>
      <c r="M6" s="230"/>
      <c r="N6" s="231"/>
      <c r="O6" s="231"/>
      <c r="P6" s="231"/>
      <c r="Q6" s="232"/>
      <c r="R6" s="233"/>
      <c r="S6" s="234"/>
      <c r="T6" s="64"/>
    </row>
    <row r="7" spans="1:20" ht="23.25" customHeight="1">
      <c r="A7" s="330"/>
      <c r="B7" s="330"/>
      <c r="C7" s="330"/>
      <c r="D7" s="330"/>
      <c r="E7" s="330"/>
      <c r="F7" s="48">
        <v>1290000000</v>
      </c>
      <c r="G7" s="49">
        <v>45286</v>
      </c>
      <c r="H7" s="50">
        <v>1393200000</v>
      </c>
      <c r="I7" s="51">
        <v>45443</v>
      </c>
      <c r="J7" s="156">
        <f t="shared" ref="J7:J8" si="0">F7*1.08-H7</f>
        <v>0</v>
      </c>
      <c r="K7" s="231"/>
      <c r="L7" s="229"/>
      <c r="M7" s="230"/>
      <c r="N7" s="231"/>
      <c r="O7" s="231"/>
      <c r="P7" s="231"/>
      <c r="Q7" s="235"/>
      <c r="R7" s="236"/>
      <c r="S7" s="237"/>
      <c r="T7" s="64"/>
    </row>
    <row r="8" spans="1:20" ht="23.25" customHeight="1">
      <c r="A8" s="330"/>
      <c r="B8" s="330"/>
      <c r="C8" s="330"/>
      <c r="D8" s="330"/>
      <c r="E8" s="330"/>
      <c r="F8" s="68">
        <v>1290000000</v>
      </c>
      <c r="G8" s="49">
        <v>45646</v>
      </c>
      <c r="H8" s="50">
        <v>1393200000</v>
      </c>
      <c r="I8" s="69">
        <v>46021</v>
      </c>
      <c r="J8" s="156">
        <f t="shared" si="0"/>
        <v>0</v>
      </c>
      <c r="K8" s="231"/>
      <c r="L8" s="229"/>
      <c r="M8" s="230"/>
      <c r="N8" s="238"/>
      <c r="O8" s="238"/>
      <c r="P8" s="231"/>
      <c r="Q8" s="232"/>
      <c r="R8" s="233"/>
      <c r="S8" s="234"/>
      <c r="T8" s="64"/>
    </row>
    <row r="9" spans="1:20" ht="38.25">
      <c r="A9" s="45" t="s">
        <v>122</v>
      </c>
      <c r="B9" s="45" t="s">
        <v>123</v>
      </c>
      <c r="C9" s="45" t="s">
        <v>47</v>
      </c>
      <c r="D9" s="227">
        <f>4500000000*108%</f>
        <v>4860000000</v>
      </c>
      <c r="E9" s="228">
        <v>45153</v>
      </c>
      <c r="F9" s="48">
        <v>900000000</v>
      </c>
      <c r="G9" s="49">
        <v>45162</v>
      </c>
      <c r="H9" s="50">
        <v>972000000</v>
      </c>
      <c r="I9" s="51">
        <v>45169</v>
      </c>
      <c r="J9" s="156"/>
      <c r="K9" s="238"/>
      <c r="L9" s="229"/>
      <c r="M9" s="230"/>
      <c r="N9" s="238"/>
      <c r="O9" s="238"/>
      <c r="P9" s="231"/>
      <c r="Q9" s="239"/>
      <c r="R9" s="240"/>
      <c r="S9" s="241"/>
      <c r="T9" s="64"/>
    </row>
    <row r="10" spans="1:20" ht="20.25" customHeight="1">
      <c r="A10" s="381" t="str">
        <f>HYPERLINK("https://docs.google.com/spreadsheets/d/1qGsXBQA7UK_C9LOomu1EW4PbhsRPWpCf9o9ByaiP77Y/edit?pli=1#gid=2067183921","01/BIM-CICHĐ2024")</f>
        <v>01/BIM-CICHĐ2024</v>
      </c>
      <c r="B10" s="354" t="s">
        <v>124</v>
      </c>
      <c r="C10" s="354" t="s">
        <v>47</v>
      </c>
      <c r="D10" s="356">
        <v>2035168000</v>
      </c>
      <c r="E10" s="357">
        <v>45341</v>
      </c>
      <c r="F10" s="48">
        <v>96670480</v>
      </c>
      <c r="G10" s="49">
        <v>45656</v>
      </c>
      <c r="H10" s="156">
        <v>104404118</v>
      </c>
      <c r="I10" s="51">
        <v>45677</v>
      </c>
      <c r="J10" s="156">
        <f>F10*1.08-H10</f>
        <v>0.40000000596046448</v>
      </c>
      <c r="K10" s="242">
        <v>814060000</v>
      </c>
      <c r="L10" s="229"/>
      <c r="M10" s="230"/>
      <c r="N10" s="238"/>
      <c r="O10" s="238"/>
      <c r="P10" s="231"/>
      <c r="Q10" s="239"/>
      <c r="R10" s="240"/>
      <c r="S10" s="241"/>
      <c r="T10" s="64"/>
    </row>
    <row r="11" spans="1:20" ht="20.25" customHeight="1">
      <c r="A11" s="330"/>
      <c r="B11" s="330"/>
      <c r="C11" s="330"/>
      <c r="D11" s="330"/>
      <c r="E11" s="330"/>
      <c r="F11" s="243"/>
      <c r="G11" s="49"/>
      <c r="H11" s="156"/>
      <c r="I11" s="51"/>
      <c r="J11" s="156"/>
      <c r="K11" s="238"/>
      <c r="L11" s="229"/>
      <c r="M11" s="230"/>
      <c r="N11" s="238"/>
      <c r="O11" s="238"/>
      <c r="P11" s="231"/>
      <c r="Q11" s="239"/>
      <c r="R11" s="240"/>
      <c r="S11" s="241"/>
      <c r="T11" s="64"/>
    </row>
    <row r="12" spans="1:20" ht="23.25" customHeight="1">
      <c r="A12" s="381" t="str">
        <f>HYPERLINK("https://docs.google.com/spreadsheets/d/1qGsXBQA7UK_C9LOomu1EW4PbhsRPWpCf9o9ByaiP77Y/edit?pli=1#gid=2037359433","01/BIM-CICHĐ2024")</f>
        <v>01/BIM-CICHĐ2024</v>
      </c>
      <c r="B12" s="354" t="s">
        <v>125</v>
      </c>
      <c r="C12" s="354" t="s">
        <v>47</v>
      </c>
      <c r="D12" s="356">
        <v>1759027200</v>
      </c>
      <c r="E12" s="357">
        <v>45341</v>
      </c>
      <c r="F12" s="243">
        <v>163338240</v>
      </c>
      <c r="G12" s="49">
        <v>45357</v>
      </c>
      <c r="H12" s="156">
        <v>176405299</v>
      </c>
      <c r="I12" s="51">
        <v>45365</v>
      </c>
      <c r="J12" s="156">
        <f>F12*1.08-H12</f>
        <v>0.20000001788139343</v>
      </c>
      <c r="K12" s="242">
        <v>703700000</v>
      </c>
      <c r="L12" s="229"/>
      <c r="M12" s="230"/>
      <c r="N12" s="238"/>
      <c r="O12" s="238"/>
      <c r="P12" s="231"/>
      <c r="Q12" s="239"/>
      <c r="R12" s="240"/>
      <c r="S12" s="241"/>
      <c r="T12" s="64"/>
    </row>
    <row r="13" spans="1:20" ht="23.25" customHeight="1">
      <c r="A13" s="330"/>
      <c r="B13" s="330"/>
      <c r="C13" s="330"/>
      <c r="D13" s="330"/>
      <c r="E13" s="330"/>
      <c r="F13" s="244"/>
      <c r="G13" s="166"/>
      <c r="H13" s="245"/>
      <c r="I13" s="246"/>
      <c r="J13" s="245"/>
      <c r="K13" s="231"/>
      <c r="L13" s="229"/>
      <c r="M13" s="230"/>
      <c r="N13" s="231"/>
      <c r="O13" s="231"/>
      <c r="P13" s="231"/>
      <c r="Q13" s="239"/>
      <c r="R13" s="240"/>
      <c r="S13" s="241"/>
      <c r="T13" s="64"/>
    </row>
    <row r="14" spans="1:20" ht="21" customHeight="1">
      <c r="A14" s="381" t="str">
        <f>HYPERLINK("https://docs.google.com/spreadsheets/d/1qGsXBQA7UK_C9LOomu1EW4PbhsRPWpCf9o9ByaiP77Y/edit?pli=1#gid=2016873918","01/BIM-CICHĐ2024")</f>
        <v>01/BIM-CICHĐ2024</v>
      </c>
      <c r="B14" s="354" t="s">
        <v>46</v>
      </c>
      <c r="C14" s="354" t="s">
        <v>47</v>
      </c>
      <c r="D14" s="356">
        <v>5095744000</v>
      </c>
      <c r="E14" s="357">
        <v>45341</v>
      </c>
      <c r="F14" s="243">
        <v>242047840</v>
      </c>
      <c r="G14" s="49">
        <v>45357</v>
      </c>
      <c r="H14" s="156">
        <v>261411667</v>
      </c>
      <c r="I14" s="51">
        <v>45365</v>
      </c>
      <c r="J14" s="156">
        <f t="shared" ref="J14:J16" si="1">F14*1.08-H14</f>
        <v>0.20000001788139343</v>
      </c>
      <c r="K14" s="242">
        <v>2038300000</v>
      </c>
      <c r="L14" s="229"/>
      <c r="M14" s="230"/>
      <c r="N14" s="238"/>
      <c r="O14" s="238"/>
      <c r="P14" s="231"/>
      <c r="Q14" s="239"/>
      <c r="R14" s="240"/>
      <c r="S14" s="241"/>
      <c r="T14" s="64"/>
    </row>
    <row r="15" spans="1:20" ht="21" customHeight="1">
      <c r="A15" s="330"/>
      <c r="B15" s="330"/>
      <c r="C15" s="330"/>
      <c r="D15" s="330"/>
      <c r="E15" s="330"/>
      <c r="F15" s="243">
        <v>1210239200</v>
      </c>
      <c r="G15" s="49">
        <v>45433</v>
      </c>
      <c r="H15" s="156">
        <v>1307058336</v>
      </c>
      <c r="I15" s="51">
        <v>45456</v>
      </c>
      <c r="J15" s="156">
        <f t="shared" si="1"/>
        <v>0</v>
      </c>
      <c r="K15" s="231"/>
      <c r="L15" s="229"/>
      <c r="M15" s="230"/>
      <c r="N15" s="238"/>
      <c r="O15" s="238"/>
      <c r="P15" s="231"/>
      <c r="Q15" s="239"/>
      <c r="R15" s="240"/>
      <c r="S15" s="241"/>
      <c r="T15" s="64"/>
    </row>
    <row r="16" spans="1:20" ht="21" customHeight="1">
      <c r="A16" s="330"/>
      <c r="B16" s="330"/>
      <c r="C16" s="330"/>
      <c r="D16" s="330"/>
      <c r="E16" s="330"/>
      <c r="F16" s="243">
        <v>484095680</v>
      </c>
      <c r="G16" s="49">
        <v>45789</v>
      </c>
      <c r="H16" s="247">
        <v>522823334</v>
      </c>
      <c r="I16" s="69">
        <v>45813</v>
      </c>
      <c r="J16" s="245">
        <f t="shared" si="1"/>
        <v>0.40000003576278687</v>
      </c>
      <c r="K16" s="231"/>
      <c r="L16" s="229"/>
      <c r="M16" s="230"/>
      <c r="N16" s="248"/>
      <c r="O16" s="231"/>
      <c r="P16" s="231"/>
      <c r="Q16" s="239"/>
      <c r="R16" s="240"/>
      <c r="S16" s="241"/>
      <c r="T16" s="64"/>
    </row>
    <row r="17" spans="1:20" ht="36" customHeight="1">
      <c r="A17" s="42" t="str">
        <f>HYPERLINK("https://docs.google.com/spreadsheets/d/1qGsXBQA7UK_C9LOomu1EW4PbhsRPWpCf9o9ByaiP77Y/edit?pli=1&amp;gid=851373977#gid=851373977","03/BIM-CICHĐ2024")</f>
        <v>03/BIM-CICHĐ2024</v>
      </c>
      <c r="B17" s="45" t="s">
        <v>126</v>
      </c>
      <c r="C17" s="45" t="s">
        <v>104</v>
      </c>
      <c r="D17" s="72">
        <v>899882100</v>
      </c>
      <c r="E17" s="153">
        <v>45384</v>
      </c>
      <c r="F17" s="244"/>
      <c r="G17" s="166"/>
      <c r="H17" s="249">
        <v>134982315</v>
      </c>
      <c r="I17" s="51">
        <v>45468</v>
      </c>
      <c r="J17" s="156">
        <f>F17-H17</f>
        <v>-134982315</v>
      </c>
      <c r="K17" s="242">
        <v>300000000</v>
      </c>
      <c r="L17" s="229"/>
      <c r="M17" s="230"/>
      <c r="N17" s="238"/>
      <c r="O17" s="238"/>
      <c r="P17" s="231"/>
      <c r="Q17" s="232"/>
      <c r="R17" s="240"/>
      <c r="S17" s="241"/>
      <c r="T17" s="64"/>
    </row>
    <row r="18" spans="1:20" ht="27" customHeight="1">
      <c r="A18" s="381" t="str">
        <f>HYPERLINK("https://docs.google.com/spreadsheets/d/1qGsXBQA7UK_C9LOomu1EW4PbhsRPWpCf9o9ByaiP77Y/edit?pli=1&amp;gid=233052258#gid=233052258","14/BIM-CICHĐ2024")</f>
        <v>14/BIM-CICHĐ2024</v>
      </c>
      <c r="B18" s="354" t="s">
        <v>127</v>
      </c>
      <c r="C18" s="354" t="s">
        <v>47</v>
      </c>
      <c r="D18" s="356">
        <v>488132509</v>
      </c>
      <c r="E18" s="357">
        <v>45478</v>
      </c>
      <c r="F18" s="390">
        <v>384178363</v>
      </c>
      <c r="G18" s="388">
        <v>45657</v>
      </c>
      <c r="H18" s="156">
        <v>145000000</v>
      </c>
      <c r="I18" s="51">
        <v>45519</v>
      </c>
      <c r="J18" s="389">
        <f>F18*1.08-H18-H19</f>
        <v>632.04000002145767</v>
      </c>
      <c r="K18" s="242">
        <v>97630000</v>
      </c>
      <c r="L18" s="229"/>
      <c r="M18" s="230"/>
      <c r="N18" s="238"/>
      <c r="O18" s="238"/>
      <c r="P18" s="230"/>
      <c r="Q18" s="239"/>
      <c r="R18" s="240"/>
      <c r="S18" s="241"/>
      <c r="T18" s="64"/>
    </row>
    <row r="19" spans="1:20" ht="27" customHeight="1">
      <c r="A19" s="330"/>
      <c r="B19" s="330"/>
      <c r="C19" s="330"/>
      <c r="D19" s="330"/>
      <c r="E19" s="330"/>
      <c r="F19" s="330"/>
      <c r="G19" s="330"/>
      <c r="H19" s="156">
        <v>269912000</v>
      </c>
      <c r="I19" s="51">
        <v>45747</v>
      </c>
      <c r="J19" s="330"/>
      <c r="K19" s="231"/>
      <c r="L19" s="229"/>
      <c r="M19" s="230"/>
      <c r="N19" s="231"/>
      <c r="O19" s="231"/>
      <c r="P19" s="230"/>
      <c r="Q19" s="232"/>
      <c r="R19" s="233"/>
      <c r="S19" s="234"/>
      <c r="T19" s="64"/>
    </row>
    <row r="20" spans="1:20" ht="54.75" customHeight="1">
      <c r="A20" s="42" t="str">
        <f>HYPERLINK("https://docs.google.com/spreadsheets/d/1qGsXBQA7UK_C9LOomu1EW4PbhsRPWpCf9o9ByaiP77Y/edit?pli=1&amp;gid=689405076#gid=689405076","17/BIM-CICHĐ2024")</f>
        <v>17/BIM-CICHĐ2024</v>
      </c>
      <c r="B20" s="43" t="s">
        <v>51</v>
      </c>
      <c r="C20" s="45" t="s">
        <v>47</v>
      </c>
      <c r="D20" s="250">
        <v>615000000</v>
      </c>
      <c r="E20" s="251"/>
      <c r="F20" s="188"/>
      <c r="G20" s="252"/>
      <c r="H20" s="249"/>
      <c r="I20" s="253"/>
      <c r="J20" s="254"/>
      <c r="K20" s="242">
        <v>200000000</v>
      </c>
      <c r="L20" s="229"/>
      <c r="M20" s="255"/>
      <c r="N20" s="256"/>
      <c r="O20" s="256"/>
      <c r="P20" s="256"/>
      <c r="Q20" s="232"/>
      <c r="R20" s="233"/>
      <c r="S20" s="234"/>
      <c r="T20" s="64"/>
    </row>
    <row r="21" spans="1:20" ht="51" customHeight="1">
      <c r="A21" s="42" t="str">
        <f>HYPERLINK("https://docs.google.com/spreadsheets/d/1qGsXBQA7UK_C9LOomu1EW4PbhsRPWpCf9o9ByaiP77Y/edit?pli=1&amp;gid=1174591037#gid=1174591037","22/BIM-CICHĐ2024")</f>
        <v>22/BIM-CICHĐ2024</v>
      </c>
      <c r="B21" s="45" t="s">
        <v>52</v>
      </c>
      <c r="C21" s="45" t="s">
        <v>47</v>
      </c>
      <c r="D21" s="72">
        <f>2900000000*1.08</f>
        <v>3132000000</v>
      </c>
      <c r="E21" s="153">
        <v>45546</v>
      </c>
      <c r="F21" s="243">
        <v>580000000</v>
      </c>
      <c r="G21" s="49">
        <v>45553</v>
      </c>
      <c r="H21" s="156">
        <v>626400000</v>
      </c>
      <c r="I21" s="51">
        <v>45565</v>
      </c>
      <c r="J21" s="156">
        <f t="shared" ref="J21:J23" si="2">F21*1.08-H21</f>
        <v>0</v>
      </c>
      <c r="K21" s="257">
        <v>792000000</v>
      </c>
      <c r="L21" s="229"/>
      <c r="M21" s="230"/>
      <c r="N21" s="238"/>
      <c r="O21" s="238"/>
      <c r="P21" s="231"/>
      <c r="Q21" s="239"/>
      <c r="R21" s="240"/>
      <c r="S21" s="241"/>
      <c r="T21" s="64"/>
    </row>
    <row r="22" spans="1:20" ht="27.75" customHeight="1">
      <c r="A22" s="381" t="str">
        <f>HYPERLINK("https://docs.google.com/spreadsheets/d/1qGsXBQA7UK_C9LOomu1EW4PbhsRPWpCf9o9ByaiP77Y/edit?pli=1&amp;gid=1385021301#gid=1385021301","23/BIM-CICHĐ2024")</f>
        <v>23/BIM-CICHĐ2024</v>
      </c>
      <c r="B22" s="354" t="s">
        <v>55</v>
      </c>
      <c r="C22" s="354" t="s">
        <v>47</v>
      </c>
      <c r="D22" s="356">
        <f>3950000000*1.08</f>
        <v>4266000000.0000005</v>
      </c>
      <c r="E22" s="357">
        <v>45546</v>
      </c>
      <c r="F22" s="243">
        <v>790000000</v>
      </c>
      <c r="G22" s="49">
        <v>45553</v>
      </c>
      <c r="H22" s="156">
        <v>853200000</v>
      </c>
      <c r="I22" s="51">
        <v>45565</v>
      </c>
      <c r="J22" s="156">
        <f t="shared" si="2"/>
        <v>0</v>
      </c>
      <c r="K22" s="257">
        <v>1094400000</v>
      </c>
      <c r="L22" s="229"/>
      <c r="M22" s="230"/>
      <c r="N22" s="238"/>
      <c r="O22" s="238"/>
      <c r="P22" s="231"/>
      <c r="Q22" s="239"/>
      <c r="R22" s="240"/>
      <c r="S22" s="241"/>
      <c r="T22" s="64"/>
    </row>
    <row r="23" spans="1:20" ht="27.75" customHeight="1">
      <c r="A23" s="330"/>
      <c r="B23" s="330"/>
      <c r="C23" s="330"/>
      <c r="D23" s="330"/>
      <c r="E23" s="330"/>
      <c r="F23" s="243">
        <v>1580000000</v>
      </c>
      <c r="G23" s="49">
        <v>45834</v>
      </c>
      <c r="H23" s="258">
        <v>1706400000</v>
      </c>
      <c r="I23" s="191">
        <v>45838</v>
      </c>
      <c r="J23" s="156">
        <f t="shared" si="2"/>
        <v>0</v>
      </c>
      <c r="K23" s="238"/>
      <c r="L23" s="229"/>
      <c r="M23" s="230"/>
      <c r="N23" s="238"/>
      <c r="O23" s="238"/>
      <c r="P23" s="231"/>
      <c r="Q23" s="232"/>
      <c r="R23" s="233"/>
      <c r="S23" s="234"/>
      <c r="T23" s="64"/>
    </row>
    <row r="24" spans="1:20" ht="26.25" customHeight="1">
      <c r="A24" s="381" t="str">
        <f>HYPERLINK("https://docs.google.com/spreadsheets/d/1qGsXBQA7UK_C9LOomu1EW4PbhsRPWpCf9o9ByaiP77Y/edit?pli=1&amp;gid=2030633350#gid=2030633350","24/BIM-CICHĐ2024")</f>
        <v>24/BIM-CICHĐ2024</v>
      </c>
      <c r="B24" s="354" t="s">
        <v>128</v>
      </c>
      <c r="C24" s="354" t="s">
        <v>47</v>
      </c>
      <c r="D24" s="356">
        <v>480600000</v>
      </c>
      <c r="E24" s="357">
        <v>45597</v>
      </c>
      <c r="F24" s="390">
        <v>445000000</v>
      </c>
      <c r="G24" s="404">
        <v>45947</v>
      </c>
      <c r="H24" s="259">
        <v>133500000</v>
      </c>
      <c r="I24" s="51">
        <v>45645</v>
      </c>
      <c r="J24" s="389">
        <f>F24*1.08-H24-H25</f>
        <v>0</v>
      </c>
      <c r="K24" s="397">
        <v>150000000</v>
      </c>
      <c r="L24" s="397">
        <v>300000000</v>
      </c>
      <c r="M24" s="397">
        <v>300000000</v>
      </c>
      <c r="N24" s="397" t="s">
        <v>129</v>
      </c>
      <c r="O24" s="397">
        <f>M24*1.08</f>
        <v>324000000</v>
      </c>
      <c r="P24" s="398">
        <v>45972</v>
      </c>
      <c r="Q24" s="397">
        <f>M24*1.08-O24</f>
        <v>0</v>
      </c>
      <c r="R24" s="399">
        <f>(M24-K24)*0.75</f>
        <v>112500000</v>
      </c>
      <c r="S24" s="400">
        <v>111250000</v>
      </c>
      <c r="T24" s="64"/>
    </row>
    <row r="25" spans="1:20" ht="26.25" customHeight="1">
      <c r="A25" s="330"/>
      <c r="B25" s="330"/>
      <c r="C25" s="330"/>
      <c r="D25" s="330"/>
      <c r="E25" s="330"/>
      <c r="F25" s="330"/>
      <c r="G25" s="330"/>
      <c r="H25" s="260">
        <v>347100000</v>
      </c>
      <c r="I25" s="191">
        <v>45967</v>
      </c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64"/>
    </row>
    <row r="26" spans="1:20" ht="23.25" customHeight="1">
      <c r="A26" s="359" t="s">
        <v>130</v>
      </c>
      <c r="B26" s="330"/>
      <c r="C26" s="28"/>
      <c r="D26" s="175"/>
      <c r="E26" s="224"/>
      <c r="F26" s="175"/>
      <c r="G26" s="30"/>
      <c r="H26" s="175"/>
      <c r="I26" s="32"/>
      <c r="J26" s="175"/>
      <c r="K26" s="261"/>
      <c r="L26" s="261"/>
      <c r="M26" s="261"/>
      <c r="N26" s="261"/>
      <c r="O26" s="261"/>
      <c r="P26" s="261"/>
      <c r="Q26" s="261"/>
      <c r="R26" s="261"/>
      <c r="S26" s="262"/>
      <c r="T26" s="263"/>
    </row>
    <row r="27" spans="1:20" ht="31.5" customHeight="1">
      <c r="A27" s="391" t="str">
        <f>HYPERLINK("https://docs.google.com/spreadsheets/d/15wb_t3QfGjOFKQFBhp0BxNL5lJbMdgZAzZ-n4E7-0Mo/edit?gid=2082603222#gid=2082603222","05/BIM-CICHĐ2025 (2-1)")</f>
        <v>05/BIM-CICHĐ2025 (2-1)</v>
      </c>
      <c r="B27" s="354" t="s">
        <v>60</v>
      </c>
      <c r="C27" s="354" t="s">
        <v>47</v>
      </c>
      <c r="D27" s="392">
        <v>661000000</v>
      </c>
      <c r="E27" s="357">
        <v>45744</v>
      </c>
      <c r="F27" s="205">
        <v>66100000</v>
      </c>
      <c r="G27" s="189">
        <v>45784</v>
      </c>
      <c r="H27" s="190">
        <v>71388000</v>
      </c>
      <c r="I27" s="191">
        <v>45783</v>
      </c>
      <c r="J27" s="213">
        <f t="shared" ref="J27:J28" si="3">F27*1.08-H27</f>
        <v>0</v>
      </c>
      <c r="K27" s="401">
        <v>99150000</v>
      </c>
      <c r="L27" s="401">
        <v>165250000</v>
      </c>
      <c r="M27" s="401">
        <f>L27*30%</f>
        <v>49575000</v>
      </c>
      <c r="N27" s="402">
        <v>45846</v>
      </c>
      <c r="O27" s="401">
        <f>M27*1.08</f>
        <v>53541000</v>
      </c>
      <c r="P27" s="397" t="s">
        <v>131</v>
      </c>
      <c r="Q27" s="403">
        <f>M27*1.08-O27</f>
        <v>0</v>
      </c>
      <c r="R27" s="268">
        <f>(M27-K27*30%)*75%</f>
        <v>14872500</v>
      </c>
      <c r="S27" s="269">
        <f>13200000+26500000</f>
        <v>39700000</v>
      </c>
      <c r="T27" s="152"/>
    </row>
    <row r="28" spans="1:20" ht="31.5" customHeight="1">
      <c r="A28" s="330"/>
      <c r="B28" s="330"/>
      <c r="C28" s="330"/>
      <c r="D28" s="330"/>
      <c r="E28" s="330"/>
      <c r="F28" s="205">
        <v>132200000</v>
      </c>
      <c r="G28" s="189">
        <v>45910</v>
      </c>
      <c r="H28" s="190">
        <v>142776000</v>
      </c>
      <c r="I28" s="191">
        <v>45874</v>
      </c>
      <c r="J28" s="213">
        <f t="shared" si="3"/>
        <v>0</v>
      </c>
      <c r="K28" s="330"/>
      <c r="L28" s="330"/>
      <c r="M28" s="330"/>
      <c r="N28" s="330"/>
      <c r="O28" s="330"/>
      <c r="P28" s="330"/>
      <c r="Q28" s="330"/>
      <c r="R28" s="268"/>
      <c r="S28" s="269"/>
      <c r="T28" s="152"/>
    </row>
    <row r="29" spans="1:20" ht="63.75" customHeight="1">
      <c r="A29" s="181" t="str">
        <f>HYPERLINK("https://docs.google.com/spreadsheets/d/15wb_t3QfGjOFKQFBhp0BxNL5lJbMdgZAzZ-n4E7-0Mo/edit?gid=1178019247#gid=1178019247","05/BIM-CICHĐ2025 (2-3)")</f>
        <v>05/BIM-CICHĐ2025 (2-3)</v>
      </c>
      <c r="B29" s="43" t="s">
        <v>61</v>
      </c>
      <c r="C29" s="45" t="s">
        <v>47</v>
      </c>
      <c r="D29" s="264">
        <v>1440000000</v>
      </c>
      <c r="E29" s="185">
        <v>45744</v>
      </c>
      <c r="F29" s="205"/>
      <c r="G29" s="189"/>
      <c r="H29" s="190"/>
      <c r="I29" s="191"/>
      <c r="J29" s="213"/>
      <c r="K29" s="265">
        <v>216000000</v>
      </c>
      <c r="L29" s="248"/>
      <c r="M29" s="270"/>
      <c r="N29" s="248"/>
      <c r="O29" s="248"/>
      <c r="P29" s="248"/>
      <c r="Q29" s="271"/>
      <c r="R29" s="268"/>
      <c r="S29" s="269"/>
      <c r="T29" s="152"/>
    </row>
    <row r="30" spans="1:20" ht="63.75" customHeight="1">
      <c r="A30" s="181" t="str">
        <f>HYPERLINK("https://docs.google.com/spreadsheets/d/15wb_t3QfGjOFKQFBhp0BxNL5lJbMdgZAzZ-n4E7-0Mo/edit?gid=1552016805#gid=1552016805","05/BIM-CICHĐ2025 (2-5)")</f>
        <v>05/BIM-CICHĐ2025 (2-5)</v>
      </c>
      <c r="B30" s="43" t="s">
        <v>62</v>
      </c>
      <c r="C30" s="45" t="s">
        <v>47</v>
      </c>
      <c r="D30" s="264">
        <v>1482000000</v>
      </c>
      <c r="E30" s="185">
        <v>45744</v>
      </c>
      <c r="F30" s="205"/>
      <c r="G30" s="189"/>
      <c r="H30" s="190"/>
      <c r="I30" s="191"/>
      <c r="J30" s="213"/>
      <c r="K30" s="265">
        <v>222300000</v>
      </c>
      <c r="L30" s="248"/>
      <c r="M30" s="270"/>
      <c r="N30" s="248"/>
      <c r="O30" s="248"/>
      <c r="P30" s="248"/>
      <c r="Q30" s="271"/>
      <c r="R30" s="268"/>
      <c r="S30" s="269"/>
      <c r="T30" s="152"/>
    </row>
    <row r="31" spans="1:20" ht="21" customHeight="1">
      <c r="A31" s="391" t="str">
        <f>HYPERLINK("https://docs.google.com/spreadsheets/d/15wb_t3QfGjOFKQFBhp0BxNL5lJbMdgZAzZ-n4E7-0Mo/edit?gid=658679917#gid=658679917","24/BIM-CICHĐ2025")</f>
        <v>24/BIM-CICHĐ2025</v>
      </c>
      <c r="B31" s="393" t="s">
        <v>132</v>
      </c>
      <c r="C31" s="393" t="s">
        <v>79</v>
      </c>
      <c r="D31" s="392">
        <v>798560426</v>
      </c>
      <c r="E31" s="357">
        <v>45867</v>
      </c>
      <c r="F31" s="394">
        <v>665467022</v>
      </c>
      <c r="G31" s="388">
        <v>46000</v>
      </c>
      <c r="H31" s="190">
        <v>239568128</v>
      </c>
      <c r="I31" s="191">
        <v>45975</v>
      </c>
      <c r="J31" s="405">
        <f>F31*1.08-H31-H32</f>
        <v>0.75999999046325684</v>
      </c>
      <c r="K31" s="242"/>
      <c r="L31" s="242"/>
      <c r="M31" s="242"/>
      <c r="N31" s="267"/>
      <c r="O31" s="242"/>
      <c r="P31" s="267"/>
      <c r="Q31" s="242"/>
      <c r="R31" s="273"/>
      <c r="S31" s="274"/>
      <c r="T31" s="152"/>
    </row>
    <row r="32" spans="1:20" ht="21" customHeight="1">
      <c r="A32" s="330"/>
      <c r="B32" s="330"/>
      <c r="C32" s="330"/>
      <c r="D32" s="330"/>
      <c r="E32" s="330"/>
      <c r="F32" s="330"/>
      <c r="G32" s="330"/>
      <c r="H32" s="190">
        <v>479136255</v>
      </c>
      <c r="I32" s="191">
        <v>46001</v>
      </c>
      <c r="J32" s="330"/>
      <c r="K32" s="242"/>
      <c r="L32" s="242"/>
      <c r="M32" s="242"/>
      <c r="N32" s="267"/>
      <c r="O32" s="242"/>
      <c r="P32" s="267"/>
      <c r="Q32" s="242"/>
      <c r="R32" s="273"/>
      <c r="S32" s="274"/>
      <c r="T32" s="152"/>
    </row>
    <row r="33" spans="1:20">
      <c r="A33" s="43"/>
      <c r="B33" s="182"/>
      <c r="C33" s="45"/>
      <c r="D33" s="272"/>
      <c r="E33" s="185"/>
      <c r="F33" s="205"/>
      <c r="G33" s="189"/>
      <c r="H33" s="190"/>
      <c r="I33" s="191"/>
      <c r="J33" s="213"/>
      <c r="K33" s="242"/>
      <c r="L33" s="242"/>
      <c r="M33" s="242"/>
      <c r="N33" s="267"/>
      <c r="O33" s="242"/>
      <c r="P33" s="267"/>
      <c r="Q33" s="242"/>
      <c r="R33" s="273"/>
      <c r="S33" s="274"/>
      <c r="T33" s="152"/>
    </row>
    <row r="34" spans="1:20" ht="27" customHeight="1">
      <c r="A34" s="391" t="str">
        <f>HYPERLINK("https://docs.google.com/spreadsheets/d/15wb_t3QfGjOFKQFBhp0BxNL5lJbMdgZAzZ-n4E7-0Mo/edit?gid=1204850143#gid=1204850143","12/BIM-CICHĐ2025")</f>
        <v>12/BIM-CICHĐ2025</v>
      </c>
      <c r="B34" s="393" t="s">
        <v>133</v>
      </c>
      <c r="C34" s="354" t="s">
        <v>47</v>
      </c>
      <c r="D34" s="392">
        <v>363960000</v>
      </c>
      <c r="E34" s="357">
        <v>45776</v>
      </c>
      <c r="F34" s="205">
        <v>134800000</v>
      </c>
      <c r="G34" s="189">
        <v>45910</v>
      </c>
      <c r="H34" s="190">
        <v>145584000</v>
      </c>
      <c r="I34" s="191">
        <v>45924</v>
      </c>
      <c r="J34" s="213">
        <f t="shared" ref="J34:J35" si="4">F34*1.08-H34</f>
        <v>0</v>
      </c>
      <c r="K34" s="403">
        <v>101100000</v>
      </c>
      <c r="L34" s="403">
        <v>186000000</v>
      </c>
      <c r="M34" s="242">
        <v>74400000</v>
      </c>
      <c r="N34" s="267">
        <v>45909</v>
      </c>
      <c r="O34" s="242">
        <f>M34*1.08</f>
        <v>80352000</v>
      </c>
      <c r="P34" s="267">
        <v>45849</v>
      </c>
      <c r="Q34" s="242">
        <f>M34*1.08-O34</f>
        <v>0</v>
      </c>
      <c r="R34" s="273">
        <f>(M34-K34*40%)*75%</f>
        <v>25470000</v>
      </c>
      <c r="S34" s="274"/>
      <c r="T34" s="152"/>
    </row>
    <row r="35" spans="1:20" ht="27" customHeight="1">
      <c r="A35" s="330"/>
      <c r="B35" s="330"/>
      <c r="C35" s="330"/>
      <c r="D35" s="330"/>
      <c r="E35" s="330"/>
      <c r="F35" s="205">
        <v>122668000</v>
      </c>
      <c r="G35" s="189">
        <v>45985</v>
      </c>
      <c r="H35" s="190">
        <v>132481440</v>
      </c>
      <c r="I35" s="191">
        <v>46021</v>
      </c>
      <c r="J35" s="213">
        <f t="shared" si="4"/>
        <v>0</v>
      </c>
      <c r="K35" s="330"/>
      <c r="L35" s="330"/>
      <c r="M35" s="266"/>
      <c r="N35" s="267"/>
      <c r="O35" s="248"/>
      <c r="P35" s="275"/>
      <c r="Q35" s="242"/>
      <c r="R35" s="276"/>
      <c r="S35" s="269"/>
      <c r="T35" s="152"/>
    </row>
    <row r="36" spans="1:20" ht="22.5" customHeight="1">
      <c r="A36" s="391" t="str">
        <f>HYPERLINK("https://docs.google.com/spreadsheets/d/15wb_t3QfGjOFKQFBhp0BxNL5lJbMdgZAzZ-n4E7-0Mo/edit?gid=658679917#gid=658679917","24/BIM-CICHĐ2025")</f>
        <v>24/BIM-CICHĐ2025</v>
      </c>
      <c r="B36" s="393" t="s">
        <v>132</v>
      </c>
      <c r="C36" s="393" t="s">
        <v>79</v>
      </c>
      <c r="D36" s="392">
        <v>798560426</v>
      </c>
      <c r="E36" s="357">
        <v>45867</v>
      </c>
      <c r="F36" s="394">
        <v>665467022</v>
      </c>
      <c r="G36" s="388">
        <v>46000</v>
      </c>
      <c r="H36" s="190">
        <v>239568128</v>
      </c>
      <c r="I36" s="191">
        <v>45975</v>
      </c>
      <c r="J36" s="405">
        <f>F36*1.08-H36-H37</f>
        <v>0.75999999046325684</v>
      </c>
      <c r="K36" s="266">
        <v>147900000</v>
      </c>
      <c r="L36" s="266">
        <v>347900000</v>
      </c>
      <c r="M36" s="266">
        <v>313110000</v>
      </c>
      <c r="N36" s="267">
        <v>45912</v>
      </c>
      <c r="O36" s="248">
        <f>M36*1.08</f>
        <v>338158800</v>
      </c>
      <c r="P36" s="275" t="s">
        <v>134</v>
      </c>
      <c r="Q36" s="242">
        <f>M36*1.08-O36</f>
        <v>0</v>
      </c>
      <c r="R36" s="276">
        <f>(M36-K36*90%)*75%</f>
        <v>135000000</v>
      </c>
      <c r="S36" s="269">
        <f>F36*20%</f>
        <v>133093404.40000001</v>
      </c>
      <c r="T36" s="152"/>
    </row>
    <row r="37" spans="1:20" ht="22.5" customHeight="1">
      <c r="A37" s="330"/>
      <c r="B37" s="330"/>
      <c r="C37" s="330"/>
      <c r="D37" s="330"/>
      <c r="E37" s="330"/>
      <c r="F37" s="330"/>
      <c r="G37" s="330"/>
      <c r="H37" s="190">
        <v>479136255</v>
      </c>
      <c r="I37" s="191">
        <v>46001</v>
      </c>
      <c r="J37" s="330"/>
      <c r="K37" s="248"/>
      <c r="L37" s="266"/>
      <c r="M37" s="266"/>
      <c r="N37" s="266"/>
      <c r="O37" s="248"/>
      <c r="P37" s="277"/>
      <c r="Q37" s="242"/>
      <c r="R37" s="276"/>
      <c r="S37" s="269"/>
      <c r="T37" s="152"/>
    </row>
    <row r="38" spans="1:20" ht="22.5" customHeight="1">
      <c r="A38" s="391" t="str">
        <f>HYPERLINK("https://docs.google.com/spreadsheets/d/15wb_t3QfGjOFKQFBhp0BxNL5lJbMdgZAzZ-n4E7-0Mo/edit?gid=910699728#gid=910699728","38/BIM-CICHĐ2025")</f>
        <v>38/BIM-CICHĐ2025</v>
      </c>
      <c r="B38" s="393" t="s">
        <v>135</v>
      </c>
      <c r="C38" s="393" t="s">
        <v>79</v>
      </c>
      <c r="D38" s="392">
        <v>3448000000</v>
      </c>
      <c r="E38" s="357">
        <v>45877</v>
      </c>
      <c r="F38" s="395">
        <v>1277037037</v>
      </c>
      <c r="G38" s="396" t="s">
        <v>136</v>
      </c>
      <c r="H38" s="278">
        <v>689600000</v>
      </c>
      <c r="I38" s="279">
        <v>45848</v>
      </c>
      <c r="J38" s="405">
        <f>F38*1.08-H38-H39</f>
        <v>-3.9999961853027344E-2</v>
      </c>
      <c r="K38" s="248" t="e">
        <f>[2]HĐ38!F5</f>
        <v>#REF!</v>
      </c>
      <c r="L38" s="266">
        <v>1700000000</v>
      </c>
      <c r="M38" s="401">
        <f>L38*40%</f>
        <v>680000000</v>
      </c>
      <c r="N38" s="401" t="s">
        <v>136</v>
      </c>
      <c r="O38" s="248">
        <f>L38*20%*1.08</f>
        <v>367200000</v>
      </c>
      <c r="P38" s="277">
        <v>46002</v>
      </c>
      <c r="Q38" s="403">
        <f>M38*1.08-O38-O39</f>
        <v>0</v>
      </c>
      <c r="R38" s="276" t="e">
        <f t="shared" ref="R38:R39" si="5">(O38/1.08-$K$38*20%)*75%</f>
        <v>#REF!</v>
      </c>
      <c r="S38" s="269">
        <v>188000000</v>
      </c>
      <c r="T38" s="152"/>
    </row>
    <row r="39" spans="1:20" ht="22.5" customHeight="1">
      <c r="A39" s="330"/>
      <c r="B39" s="330"/>
      <c r="C39" s="330"/>
      <c r="D39" s="330"/>
      <c r="E39" s="330"/>
      <c r="F39" s="330"/>
      <c r="G39" s="330"/>
      <c r="H39" s="278">
        <f>450000000+239600000</f>
        <v>689600000</v>
      </c>
      <c r="I39" s="279">
        <v>46016</v>
      </c>
      <c r="J39" s="330"/>
      <c r="K39" s="248"/>
      <c r="L39" s="280"/>
      <c r="M39" s="330"/>
      <c r="N39" s="330"/>
      <c r="O39" s="248">
        <f>L38*20%*1.08</f>
        <v>367200000</v>
      </c>
      <c r="P39" s="257" t="s">
        <v>137</v>
      </c>
      <c r="Q39" s="330"/>
      <c r="R39" s="276" t="e">
        <f t="shared" si="5"/>
        <v>#REF!</v>
      </c>
      <c r="S39" s="269">
        <v>188000000</v>
      </c>
      <c r="T39" s="152"/>
    </row>
    <row r="40" spans="1:20" ht="21" customHeight="1">
      <c r="A40" s="391" t="str">
        <f>HYPERLINK("https://docs.google.com/spreadsheets/d/15wb_t3QfGjOFKQFBhp0BxNL5lJbMdgZAzZ-n4E7-0Mo/edit?gid=1480005540#gid=1480005540","41/BIM-CICHĐ2025")</f>
        <v>41/BIM-CICHĐ2025</v>
      </c>
      <c r="B40" s="393" t="s">
        <v>88</v>
      </c>
      <c r="C40" s="393" t="s">
        <v>79</v>
      </c>
      <c r="D40" s="392">
        <v>675279000</v>
      </c>
      <c r="E40" s="357">
        <v>45916</v>
      </c>
      <c r="F40" s="394">
        <v>422560950</v>
      </c>
      <c r="G40" s="388">
        <v>45973</v>
      </c>
      <c r="H40" s="190">
        <v>97792000</v>
      </c>
      <c r="I40" s="191">
        <v>45950</v>
      </c>
      <c r="J40" s="406">
        <f>F40*1.08-H40-H41</f>
        <v>49862193.00000006</v>
      </c>
      <c r="K40" s="248" t="e">
        <f>[3]HĐ41!C8</f>
        <v>#REF!</v>
      </c>
      <c r="L40" s="280" t="e">
        <f>K40+260000000</f>
        <v>#REF!</v>
      </c>
      <c r="M40" s="401">
        <v>269500000</v>
      </c>
      <c r="N40" s="401" t="s">
        <v>136</v>
      </c>
      <c r="O40" s="248">
        <f>M40*90%*1.08</f>
        <v>261954000.00000003</v>
      </c>
      <c r="P40" s="266" t="s">
        <v>138</v>
      </c>
      <c r="Q40" s="271"/>
      <c r="R40" s="276" t="e">
        <f>(L40-K40)*70%*90%*75%</f>
        <v>#REF!</v>
      </c>
      <c r="S40" s="281">
        <f>319000+637000+113100000</f>
        <v>114056000</v>
      </c>
      <c r="T40" s="152"/>
    </row>
    <row r="41" spans="1:20" ht="21" customHeight="1">
      <c r="A41" s="330"/>
      <c r="B41" s="330"/>
      <c r="C41" s="330"/>
      <c r="D41" s="330"/>
      <c r="E41" s="330"/>
      <c r="F41" s="330"/>
      <c r="G41" s="330"/>
      <c r="H41" s="190">
        <v>308711633</v>
      </c>
      <c r="I41" s="191">
        <v>45973</v>
      </c>
      <c r="J41" s="330"/>
      <c r="K41" s="248"/>
      <c r="L41" s="280"/>
      <c r="M41" s="330"/>
      <c r="N41" s="330"/>
      <c r="O41" s="248"/>
      <c r="P41" s="248"/>
      <c r="Q41" s="271"/>
      <c r="R41" s="276"/>
      <c r="S41" s="281"/>
      <c r="T41" s="152"/>
    </row>
    <row r="42" spans="1:20">
      <c r="A42" s="210"/>
      <c r="B42" s="182"/>
      <c r="C42" s="182"/>
      <c r="D42" s="197"/>
      <c r="E42" s="185"/>
      <c r="F42" s="205"/>
      <c r="G42" s="189"/>
      <c r="H42" s="213"/>
      <c r="I42" s="51"/>
      <c r="J42" s="213"/>
      <c r="K42" s="248"/>
      <c r="L42" s="280"/>
      <c r="M42" s="270"/>
      <c r="N42" s="248"/>
      <c r="O42" s="248"/>
      <c r="P42" s="248"/>
      <c r="Q42" s="271"/>
      <c r="R42" s="276"/>
      <c r="S42" s="281"/>
      <c r="T42" s="152"/>
    </row>
    <row r="43" spans="1:20">
      <c r="A43" s="210"/>
      <c r="B43" s="182"/>
      <c r="C43" s="182"/>
      <c r="D43" s="197"/>
      <c r="E43" s="185"/>
      <c r="F43" s="212"/>
      <c r="G43" s="206"/>
      <c r="H43" s="213"/>
      <c r="I43" s="51"/>
      <c r="J43" s="213"/>
      <c r="K43" s="248"/>
      <c r="L43" s="280"/>
      <c r="M43" s="270"/>
      <c r="N43" s="248"/>
      <c r="O43" s="248"/>
      <c r="P43" s="248"/>
      <c r="Q43" s="271"/>
      <c r="R43" s="276"/>
      <c r="S43" s="281"/>
      <c r="T43" s="152"/>
    </row>
    <row r="44" spans="1:20">
      <c r="A44" s="210"/>
      <c r="B44" s="182"/>
      <c r="C44" s="182"/>
      <c r="D44" s="197"/>
      <c r="E44" s="185"/>
      <c r="F44" s="212"/>
      <c r="G44" s="206"/>
      <c r="H44" s="213"/>
      <c r="I44" s="51"/>
      <c r="J44" s="213"/>
      <c r="K44" s="248"/>
      <c r="L44" s="280"/>
      <c r="M44" s="270"/>
      <c r="N44" s="248"/>
      <c r="O44" s="248"/>
      <c r="P44" s="248"/>
      <c r="Q44" s="271"/>
      <c r="R44" s="276"/>
      <c r="S44" s="281"/>
      <c r="T44" s="152"/>
    </row>
    <row r="45" spans="1:20">
      <c r="A45" s="210"/>
      <c r="B45" s="182"/>
      <c r="C45" s="182"/>
      <c r="D45" s="197"/>
      <c r="E45" s="185"/>
      <c r="F45" s="212"/>
      <c r="G45" s="206"/>
      <c r="H45" s="213"/>
      <c r="I45" s="51"/>
      <c r="J45" s="213"/>
      <c r="K45" s="248"/>
      <c r="L45" s="280"/>
      <c r="M45" s="270"/>
      <c r="N45" s="248"/>
      <c r="O45" s="248"/>
      <c r="P45" s="248"/>
      <c r="Q45" s="271"/>
      <c r="R45" s="276"/>
      <c r="S45" s="281"/>
      <c r="T45" s="152"/>
    </row>
    <row r="46" spans="1:20">
      <c r="A46" s="210"/>
      <c r="B46" s="182"/>
      <c r="C46" s="182"/>
      <c r="D46" s="197"/>
      <c r="E46" s="185"/>
      <c r="F46" s="212"/>
      <c r="G46" s="206"/>
      <c r="H46" s="213"/>
      <c r="I46" s="51"/>
      <c r="J46" s="213"/>
      <c r="K46" s="248"/>
      <c r="L46" s="280"/>
      <c r="M46" s="270"/>
      <c r="N46" s="248"/>
      <c r="O46" s="248"/>
      <c r="P46" s="248"/>
      <c r="Q46" s="271"/>
      <c r="R46" s="276"/>
      <c r="S46" s="281"/>
      <c r="T46" s="152"/>
    </row>
    <row r="47" spans="1:20">
      <c r="A47" s="210"/>
      <c r="B47" s="182"/>
      <c r="C47" s="182"/>
      <c r="D47" s="197"/>
      <c r="E47" s="185"/>
      <c r="F47" s="212"/>
      <c r="G47" s="206"/>
      <c r="H47" s="213"/>
      <c r="I47" s="51"/>
      <c r="J47" s="213"/>
      <c r="K47" s="248"/>
      <c r="L47" s="280"/>
      <c r="M47" s="270"/>
      <c r="N47" s="248"/>
      <c r="O47" s="248"/>
      <c r="P47" s="248"/>
      <c r="Q47" s="271"/>
      <c r="R47" s="276"/>
      <c r="S47" s="281"/>
      <c r="T47" s="152"/>
    </row>
    <row r="48" spans="1:20">
      <c r="A48" s="210"/>
      <c r="B48" s="182"/>
      <c r="C48" s="182"/>
      <c r="D48" s="197"/>
      <c r="E48" s="185"/>
      <c r="F48" s="212"/>
      <c r="G48" s="206"/>
      <c r="H48" s="213"/>
      <c r="I48" s="51"/>
      <c r="J48" s="213"/>
      <c r="K48" s="248"/>
      <c r="L48" s="280"/>
      <c r="M48" s="270"/>
      <c r="N48" s="248"/>
      <c r="O48" s="248"/>
      <c r="P48" s="248"/>
      <c r="Q48" s="271"/>
      <c r="R48" s="276"/>
      <c r="S48" s="281"/>
      <c r="T48" s="152"/>
    </row>
    <row r="49" spans="1:20">
      <c r="A49" s="210"/>
      <c r="B49" s="182"/>
      <c r="C49" s="182"/>
      <c r="D49" s="197"/>
      <c r="E49" s="185"/>
      <c r="F49" s="212"/>
      <c r="G49" s="206"/>
      <c r="H49" s="213"/>
      <c r="I49" s="51"/>
      <c r="J49" s="213"/>
      <c r="K49" s="248"/>
      <c r="L49" s="280"/>
      <c r="M49" s="270"/>
      <c r="N49" s="248"/>
      <c r="O49" s="248"/>
      <c r="P49" s="248"/>
      <c r="Q49" s="271"/>
      <c r="R49" s="276"/>
      <c r="S49" s="281"/>
      <c r="T49" s="152"/>
    </row>
    <row r="50" spans="1:20">
      <c r="A50" s="210"/>
      <c r="B50" s="182"/>
      <c r="C50" s="182"/>
      <c r="D50" s="197"/>
      <c r="E50" s="185"/>
      <c r="F50" s="212"/>
      <c r="G50" s="206"/>
      <c r="H50" s="213"/>
      <c r="I50" s="51"/>
      <c r="J50" s="213"/>
      <c r="K50" s="248"/>
      <c r="L50" s="280"/>
      <c r="M50" s="270"/>
      <c r="N50" s="248"/>
      <c r="O50" s="248"/>
      <c r="P50" s="248"/>
      <c r="Q50" s="271"/>
      <c r="R50" s="276"/>
      <c r="S50" s="281"/>
      <c r="T50" s="152"/>
    </row>
    <row r="51" spans="1:20">
      <c r="A51" s="210"/>
      <c r="B51" s="182"/>
      <c r="C51" s="182"/>
      <c r="D51" s="197"/>
      <c r="E51" s="185"/>
      <c r="F51" s="212"/>
      <c r="G51" s="206"/>
      <c r="H51" s="213"/>
      <c r="I51" s="51"/>
      <c r="J51" s="213"/>
      <c r="K51" s="248"/>
      <c r="L51" s="280"/>
      <c r="M51" s="270"/>
      <c r="N51" s="248"/>
      <c r="O51" s="248"/>
      <c r="P51" s="248"/>
      <c r="Q51" s="271"/>
      <c r="R51" s="276"/>
      <c r="S51" s="281"/>
      <c r="T51" s="152"/>
    </row>
    <row r="52" spans="1:20">
      <c r="A52" s="210"/>
      <c r="B52" s="182"/>
      <c r="C52" s="182"/>
      <c r="D52" s="197"/>
      <c r="E52" s="185"/>
      <c r="F52" s="212"/>
      <c r="G52" s="206"/>
      <c r="H52" s="213"/>
      <c r="I52" s="51"/>
      <c r="J52" s="213"/>
      <c r="K52" s="248"/>
      <c r="L52" s="280"/>
      <c r="M52" s="270"/>
      <c r="N52" s="248"/>
      <c r="O52" s="248"/>
      <c r="P52" s="248"/>
      <c r="Q52" s="271"/>
      <c r="R52" s="276"/>
      <c r="S52" s="281"/>
      <c r="T52" s="152"/>
    </row>
    <row r="53" spans="1:20">
      <c r="A53" s="210"/>
      <c r="B53" s="182"/>
      <c r="C53" s="182"/>
      <c r="D53" s="197"/>
      <c r="E53" s="185"/>
      <c r="F53" s="212"/>
      <c r="G53" s="206"/>
      <c r="H53" s="213"/>
      <c r="I53" s="51"/>
      <c r="J53" s="213"/>
      <c r="K53" s="248"/>
      <c r="L53" s="280"/>
      <c r="M53" s="270"/>
      <c r="N53" s="248"/>
      <c r="O53" s="248"/>
      <c r="P53" s="248"/>
      <c r="Q53" s="271"/>
      <c r="R53" s="276"/>
      <c r="S53" s="281"/>
      <c r="T53" s="152"/>
    </row>
    <row r="54" spans="1:20">
      <c r="A54" s="210"/>
      <c r="B54" s="182"/>
      <c r="C54" s="182"/>
      <c r="D54" s="197"/>
      <c r="E54" s="185"/>
      <c r="F54" s="212"/>
      <c r="G54" s="206"/>
      <c r="H54" s="213"/>
      <c r="I54" s="51"/>
      <c r="J54" s="213"/>
      <c r="K54" s="248"/>
      <c r="L54" s="280"/>
      <c r="M54" s="270"/>
      <c r="N54" s="248"/>
      <c r="O54" s="248"/>
      <c r="P54" s="248"/>
      <c r="Q54" s="271"/>
      <c r="R54" s="276"/>
      <c r="S54" s="281"/>
      <c r="T54" s="152"/>
    </row>
    <row r="55" spans="1:20">
      <c r="A55" s="210"/>
      <c r="B55" s="182"/>
      <c r="C55" s="182"/>
      <c r="D55" s="197"/>
      <c r="E55" s="185"/>
      <c r="F55" s="212"/>
      <c r="G55" s="206"/>
      <c r="H55" s="213"/>
      <c r="I55" s="51"/>
      <c r="J55" s="213"/>
      <c r="K55" s="248"/>
      <c r="L55" s="280"/>
      <c r="M55" s="270"/>
      <c r="N55" s="248"/>
      <c r="O55" s="248"/>
      <c r="P55" s="248"/>
      <c r="Q55" s="271"/>
      <c r="R55" s="276"/>
      <c r="S55" s="281"/>
      <c r="T55" s="152"/>
    </row>
    <row r="56" spans="1:20">
      <c r="A56" s="210"/>
      <c r="B56" s="182"/>
      <c r="C56" s="182"/>
      <c r="D56" s="197"/>
      <c r="E56" s="185"/>
      <c r="F56" s="212"/>
      <c r="G56" s="206"/>
      <c r="H56" s="213"/>
      <c r="I56" s="51"/>
      <c r="J56" s="213"/>
      <c r="K56" s="248"/>
      <c r="L56" s="280"/>
      <c r="M56" s="270"/>
      <c r="N56" s="248"/>
      <c r="O56" s="248"/>
      <c r="P56" s="248"/>
      <c r="Q56" s="271"/>
      <c r="R56" s="276"/>
      <c r="S56" s="281"/>
      <c r="T56" s="152"/>
    </row>
    <row r="57" spans="1:20">
      <c r="A57" s="210"/>
      <c r="B57" s="182"/>
      <c r="C57" s="182"/>
      <c r="D57" s="197"/>
      <c r="E57" s="185"/>
      <c r="F57" s="212"/>
      <c r="G57" s="206"/>
      <c r="H57" s="213"/>
      <c r="I57" s="51"/>
      <c r="J57" s="213"/>
      <c r="K57" s="248"/>
      <c r="L57" s="280"/>
      <c r="M57" s="270"/>
      <c r="N57" s="248"/>
      <c r="O57" s="248"/>
      <c r="P57" s="248"/>
      <c r="Q57" s="271"/>
      <c r="R57" s="276"/>
      <c r="S57" s="281"/>
      <c r="T57" s="152"/>
    </row>
    <row r="58" spans="1:20">
      <c r="A58" s="210"/>
      <c r="B58" s="182"/>
      <c r="C58" s="182"/>
      <c r="D58" s="197"/>
      <c r="E58" s="185"/>
      <c r="F58" s="212"/>
      <c r="G58" s="206"/>
      <c r="H58" s="213"/>
      <c r="I58" s="51"/>
      <c r="J58" s="213"/>
      <c r="K58" s="248"/>
      <c r="L58" s="280"/>
      <c r="M58" s="270"/>
      <c r="N58" s="248"/>
      <c r="O58" s="248"/>
      <c r="P58" s="248"/>
      <c r="Q58" s="271"/>
      <c r="R58" s="276"/>
      <c r="S58" s="281"/>
      <c r="T58" s="152"/>
    </row>
    <row r="59" spans="1:20">
      <c r="A59" s="210"/>
      <c r="B59" s="182"/>
      <c r="C59" s="182"/>
      <c r="D59" s="197"/>
      <c r="E59" s="185"/>
      <c r="F59" s="212"/>
      <c r="G59" s="206"/>
      <c r="H59" s="213"/>
      <c r="I59" s="51"/>
      <c r="J59" s="213"/>
      <c r="K59" s="248"/>
      <c r="L59" s="280"/>
      <c r="M59" s="270"/>
      <c r="N59" s="248"/>
      <c r="O59" s="248"/>
      <c r="P59" s="248"/>
      <c r="Q59" s="271"/>
      <c r="R59" s="276"/>
      <c r="S59" s="281"/>
      <c r="T59" s="152"/>
    </row>
    <row r="60" spans="1:20">
      <c r="A60" s="210"/>
      <c r="B60" s="182"/>
      <c r="C60" s="182"/>
      <c r="D60" s="197"/>
      <c r="E60" s="185"/>
      <c r="F60" s="212"/>
      <c r="G60" s="206"/>
      <c r="H60" s="213"/>
      <c r="I60" s="51"/>
      <c r="J60" s="213"/>
      <c r="K60" s="248"/>
      <c r="L60" s="280"/>
      <c r="M60" s="270"/>
      <c r="N60" s="248"/>
      <c r="O60" s="248"/>
      <c r="P60" s="248"/>
      <c r="Q60" s="271"/>
      <c r="R60" s="276"/>
      <c r="S60" s="281"/>
      <c r="T60" s="152"/>
    </row>
    <row r="61" spans="1:20">
      <c r="A61" s="210"/>
      <c r="B61" s="182"/>
      <c r="C61" s="182"/>
      <c r="D61" s="197"/>
      <c r="E61" s="185"/>
      <c r="F61" s="212"/>
      <c r="G61" s="206"/>
      <c r="H61" s="213"/>
      <c r="I61" s="51"/>
      <c r="J61" s="213"/>
      <c r="K61" s="248"/>
      <c r="L61" s="280"/>
      <c r="M61" s="270"/>
      <c r="N61" s="248"/>
      <c r="O61" s="248"/>
      <c r="P61" s="248"/>
      <c r="Q61" s="271"/>
      <c r="R61" s="276"/>
      <c r="S61" s="281"/>
      <c r="T61" s="152"/>
    </row>
    <row r="62" spans="1:20">
      <c r="A62" s="210"/>
      <c r="B62" s="182"/>
      <c r="C62" s="182"/>
      <c r="D62" s="197"/>
      <c r="E62" s="185"/>
      <c r="F62" s="212"/>
      <c r="G62" s="206"/>
      <c r="H62" s="213"/>
      <c r="I62" s="51"/>
      <c r="J62" s="213"/>
      <c r="K62" s="248"/>
      <c r="L62" s="280"/>
      <c r="M62" s="270"/>
      <c r="N62" s="248"/>
      <c r="O62" s="248"/>
      <c r="P62" s="248"/>
      <c r="Q62" s="271"/>
      <c r="R62" s="276"/>
      <c r="S62" s="281"/>
      <c r="T62" s="152"/>
    </row>
    <row r="63" spans="1:20">
      <c r="A63" s="210"/>
      <c r="B63" s="182"/>
      <c r="C63" s="182"/>
      <c r="D63" s="197"/>
      <c r="E63" s="185"/>
      <c r="F63" s="212"/>
      <c r="G63" s="206"/>
      <c r="H63" s="213"/>
      <c r="I63" s="51"/>
      <c r="J63" s="213"/>
      <c r="K63" s="248"/>
      <c r="L63" s="280"/>
      <c r="M63" s="270"/>
      <c r="N63" s="248"/>
      <c r="O63" s="248"/>
      <c r="P63" s="248"/>
      <c r="Q63" s="271"/>
      <c r="R63" s="276"/>
      <c r="S63" s="281"/>
      <c r="T63" s="152"/>
    </row>
    <row r="64" spans="1:20">
      <c r="A64" s="210"/>
      <c r="B64" s="182"/>
      <c r="C64" s="182"/>
      <c r="D64" s="197"/>
      <c r="E64" s="185"/>
      <c r="F64" s="212"/>
      <c r="G64" s="206"/>
      <c r="H64" s="213"/>
      <c r="I64" s="51"/>
      <c r="J64" s="213"/>
      <c r="K64" s="248"/>
      <c r="L64" s="280"/>
      <c r="M64" s="270"/>
      <c r="N64" s="248"/>
      <c r="O64" s="248"/>
      <c r="P64" s="248"/>
      <c r="Q64" s="271"/>
      <c r="R64" s="276"/>
      <c r="S64" s="281"/>
      <c r="T64" s="152"/>
    </row>
    <row r="65" spans="1:20">
      <c r="A65" s="210"/>
      <c r="B65" s="182"/>
      <c r="C65" s="182"/>
      <c r="D65" s="197"/>
      <c r="E65" s="185"/>
      <c r="F65" s="212"/>
      <c r="G65" s="206"/>
      <c r="H65" s="213"/>
      <c r="I65" s="51"/>
      <c r="J65" s="213"/>
      <c r="K65" s="248"/>
      <c r="L65" s="280"/>
      <c r="M65" s="270"/>
      <c r="N65" s="248"/>
      <c r="O65" s="248"/>
      <c r="P65" s="248"/>
      <c r="Q65" s="271"/>
      <c r="R65" s="276"/>
      <c r="S65" s="281"/>
      <c r="T65" s="152"/>
    </row>
    <row r="66" spans="1:20">
      <c r="A66" s="210"/>
      <c r="B66" s="182"/>
      <c r="C66" s="182"/>
      <c r="D66" s="197"/>
      <c r="E66" s="185"/>
      <c r="F66" s="212"/>
      <c r="G66" s="206"/>
      <c r="H66" s="213"/>
      <c r="I66" s="51"/>
      <c r="J66" s="213"/>
      <c r="K66" s="248"/>
      <c r="L66" s="280"/>
      <c r="M66" s="270"/>
      <c r="N66" s="248"/>
      <c r="O66" s="248"/>
      <c r="P66" s="248"/>
      <c r="Q66" s="271"/>
      <c r="R66" s="276"/>
      <c r="S66" s="281"/>
      <c r="T66" s="152"/>
    </row>
    <row r="67" spans="1:20">
      <c r="A67" s="210"/>
      <c r="B67" s="182"/>
      <c r="C67" s="182"/>
      <c r="D67" s="197"/>
      <c r="E67" s="185"/>
      <c r="F67" s="212"/>
      <c r="G67" s="206"/>
      <c r="H67" s="213"/>
      <c r="I67" s="51"/>
      <c r="J67" s="213"/>
      <c r="K67" s="248"/>
      <c r="L67" s="280"/>
      <c r="M67" s="270"/>
      <c r="N67" s="248"/>
      <c r="O67" s="248"/>
      <c r="P67" s="248"/>
      <c r="Q67" s="280"/>
      <c r="R67" s="282"/>
      <c r="S67" s="283"/>
      <c r="T67" s="152"/>
    </row>
    <row r="68" spans="1:20">
      <c r="A68" s="210"/>
      <c r="B68" s="182"/>
      <c r="C68" s="182"/>
      <c r="D68" s="197"/>
      <c r="E68" s="185"/>
      <c r="F68" s="212"/>
      <c r="G68" s="206"/>
      <c r="H68" s="213"/>
      <c r="I68" s="51"/>
      <c r="J68" s="213"/>
      <c r="K68" s="248"/>
      <c r="L68" s="280"/>
      <c r="M68" s="270"/>
      <c r="N68" s="248"/>
      <c r="O68" s="248"/>
      <c r="P68" s="248"/>
      <c r="Q68" s="280"/>
      <c r="R68" s="282"/>
      <c r="S68" s="283"/>
      <c r="T68" s="152"/>
    </row>
    <row r="69" spans="1:20">
      <c r="A69" s="210"/>
      <c r="B69" s="182"/>
      <c r="C69" s="182"/>
      <c r="D69" s="197"/>
      <c r="E69" s="185"/>
      <c r="F69" s="212"/>
      <c r="G69" s="206"/>
      <c r="H69" s="213"/>
      <c r="I69" s="51"/>
      <c r="J69" s="213"/>
      <c r="K69" s="248"/>
      <c r="L69" s="280"/>
      <c r="M69" s="270"/>
      <c r="N69" s="248"/>
      <c r="O69" s="248"/>
      <c r="P69" s="248"/>
      <c r="Q69" s="280"/>
      <c r="R69" s="282"/>
      <c r="S69" s="283"/>
      <c r="T69" s="152"/>
    </row>
    <row r="70" spans="1:20">
      <c r="A70" s="210"/>
      <c r="B70" s="182"/>
      <c r="C70" s="182"/>
      <c r="D70" s="197"/>
      <c r="E70" s="185"/>
      <c r="F70" s="212"/>
      <c r="G70" s="206"/>
      <c r="H70" s="213"/>
      <c r="I70" s="51"/>
      <c r="J70" s="213"/>
      <c r="K70" s="248"/>
      <c r="L70" s="280"/>
      <c r="M70" s="270"/>
      <c r="N70" s="248"/>
      <c r="O70" s="248"/>
      <c r="P70" s="248"/>
      <c r="Q70" s="280"/>
      <c r="R70" s="282"/>
      <c r="S70" s="283"/>
      <c r="T70" s="152"/>
    </row>
    <row r="71" spans="1:20">
      <c r="A71" s="210"/>
      <c r="B71" s="182"/>
      <c r="C71" s="182"/>
      <c r="D71" s="197"/>
      <c r="E71" s="185"/>
      <c r="F71" s="212"/>
      <c r="G71" s="206"/>
      <c r="H71" s="213"/>
      <c r="I71" s="51"/>
      <c r="J71" s="213"/>
      <c r="K71" s="248"/>
      <c r="L71" s="280"/>
      <c r="M71" s="270"/>
      <c r="N71" s="248"/>
      <c r="O71" s="248"/>
      <c r="P71" s="248"/>
      <c r="Q71" s="280"/>
      <c r="R71" s="282"/>
      <c r="S71" s="283"/>
      <c r="T71" s="152"/>
    </row>
    <row r="72" spans="1:20">
      <c r="A72" s="210"/>
      <c r="B72" s="182"/>
      <c r="C72" s="182"/>
      <c r="D72" s="197"/>
      <c r="E72" s="185"/>
      <c r="F72" s="212"/>
      <c r="G72" s="206"/>
      <c r="H72" s="213"/>
      <c r="I72" s="51"/>
      <c r="J72" s="213"/>
      <c r="K72" s="248"/>
      <c r="L72" s="280"/>
      <c r="M72" s="270"/>
      <c r="N72" s="248"/>
      <c r="O72" s="248"/>
      <c r="P72" s="248"/>
      <c r="Q72" s="280"/>
      <c r="R72" s="282"/>
      <c r="S72" s="283"/>
      <c r="T72" s="152"/>
    </row>
    <row r="73" spans="1:20">
      <c r="A73" s="210"/>
      <c r="B73" s="182"/>
      <c r="C73" s="182"/>
      <c r="D73" s="197"/>
      <c r="E73" s="185"/>
      <c r="F73" s="212"/>
      <c r="G73" s="206"/>
      <c r="H73" s="213"/>
      <c r="I73" s="51"/>
      <c r="J73" s="213"/>
      <c r="K73" s="248"/>
      <c r="L73" s="280"/>
      <c r="M73" s="270"/>
      <c r="N73" s="248"/>
      <c r="O73" s="248"/>
      <c r="P73" s="248"/>
      <c r="Q73" s="280"/>
      <c r="R73" s="282"/>
      <c r="S73" s="283"/>
      <c r="T73" s="152"/>
    </row>
    <row r="74" spans="1:20">
      <c r="A74" s="210"/>
      <c r="B74" s="182"/>
      <c r="C74" s="182"/>
      <c r="D74" s="197"/>
      <c r="E74" s="185"/>
      <c r="F74" s="212"/>
      <c r="G74" s="206"/>
      <c r="H74" s="213"/>
      <c r="I74" s="51"/>
      <c r="J74" s="213"/>
      <c r="K74" s="248"/>
      <c r="L74" s="280"/>
      <c r="M74" s="270"/>
      <c r="N74" s="248"/>
      <c r="O74" s="248"/>
      <c r="P74" s="248"/>
      <c r="Q74" s="280"/>
      <c r="R74" s="282"/>
      <c r="S74" s="283"/>
      <c r="T74" s="152"/>
    </row>
    <row r="75" spans="1:20">
      <c r="A75" s="210"/>
      <c r="B75" s="182"/>
      <c r="C75" s="182"/>
      <c r="D75" s="197"/>
      <c r="E75" s="185"/>
      <c r="F75" s="212"/>
      <c r="G75" s="206"/>
      <c r="H75" s="213"/>
      <c r="I75" s="51"/>
      <c r="J75" s="213"/>
      <c r="K75" s="248"/>
      <c r="L75" s="280"/>
      <c r="M75" s="270"/>
      <c r="N75" s="248"/>
      <c r="O75" s="248"/>
      <c r="P75" s="248"/>
      <c r="Q75" s="280"/>
      <c r="R75" s="282"/>
      <c r="S75" s="283"/>
      <c r="T75" s="152"/>
    </row>
    <row r="76" spans="1:20">
      <c r="A76" s="210"/>
      <c r="B76" s="182"/>
      <c r="C76" s="182"/>
      <c r="D76" s="197"/>
      <c r="E76" s="185"/>
      <c r="F76" s="212"/>
      <c r="G76" s="206"/>
      <c r="H76" s="213"/>
      <c r="I76" s="51"/>
      <c r="J76" s="213"/>
      <c r="K76" s="248"/>
      <c r="L76" s="280"/>
      <c r="M76" s="270"/>
      <c r="N76" s="248"/>
      <c r="O76" s="248"/>
      <c r="P76" s="248"/>
      <c r="Q76" s="280"/>
      <c r="R76" s="282"/>
      <c r="S76" s="283"/>
      <c r="T76" s="152"/>
    </row>
    <row r="77" spans="1:20">
      <c r="E77" s="284"/>
      <c r="K77" s="285"/>
      <c r="L77" s="285"/>
      <c r="M77" s="285"/>
      <c r="N77" s="285"/>
      <c r="O77" s="285"/>
      <c r="P77" s="285"/>
      <c r="Q77" s="285"/>
      <c r="R77" s="286"/>
      <c r="S77" s="287"/>
    </row>
    <row r="78" spans="1:20">
      <c r="E78" s="284"/>
      <c r="K78" s="285"/>
      <c r="L78" s="285"/>
      <c r="M78" s="285"/>
      <c r="N78" s="285"/>
      <c r="O78" s="285"/>
      <c r="P78" s="285"/>
      <c r="Q78" s="285"/>
      <c r="R78" s="286"/>
      <c r="S78" s="287"/>
    </row>
    <row r="79" spans="1:20">
      <c r="E79" s="284"/>
      <c r="K79" s="285"/>
      <c r="L79" s="285"/>
      <c r="M79" s="285"/>
      <c r="N79" s="285"/>
      <c r="O79" s="285"/>
      <c r="P79" s="285"/>
      <c r="Q79" s="285"/>
      <c r="R79" s="286"/>
      <c r="S79" s="287"/>
    </row>
    <row r="80" spans="1:20">
      <c r="E80" s="284"/>
      <c r="K80" s="285"/>
      <c r="L80" s="285"/>
      <c r="M80" s="285"/>
      <c r="N80" s="285"/>
      <c r="O80" s="285"/>
      <c r="P80" s="285"/>
      <c r="Q80" s="285"/>
      <c r="R80" s="286"/>
      <c r="S80" s="287"/>
    </row>
    <row r="81" spans="5:19">
      <c r="E81" s="284"/>
      <c r="K81" s="285"/>
      <c r="L81" s="285"/>
      <c r="M81" s="285"/>
      <c r="N81" s="285"/>
      <c r="O81" s="285"/>
      <c r="P81" s="285"/>
      <c r="Q81" s="285"/>
      <c r="R81" s="288"/>
      <c r="S81" s="289"/>
    </row>
    <row r="82" spans="5:19">
      <c r="E82" s="284"/>
      <c r="K82" s="285"/>
      <c r="L82" s="285"/>
      <c r="M82" s="285"/>
      <c r="N82" s="285"/>
      <c r="O82" s="285"/>
      <c r="P82" s="285"/>
      <c r="Q82" s="285"/>
      <c r="R82" s="288"/>
      <c r="S82" s="289"/>
    </row>
    <row r="83" spans="5:19">
      <c r="E83" s="284"/>
      <c r="K83" s="285"/>
      <c r="L83" s="285"/>
      <c r="M83" s="285"/>
      <c r="N83" s="285"/>
      <c r="O83" s="285"/>
      <c r="P83" s="285"/>
      <c r="Q83" s="285"/>
      <c r="R83" s="288"/>
      <c r="S83" s="289"/>
    </row>
    <row r="84" spans="5:19">
      <c r="E84" s="284"/>
      <c r="K84" s="285"/>
      <c r="L84" s="285"/>
      <c r="M84" s="285"/>
      <c r="N84" s="285"/>
      <c r="O84" s="285"/>
      <c r="P84" s="285"/>
      <c r="Q84" s="285"/>
      <c r="R84" s="288"/>
      <c r="S84" s="289"/>
    </row>
    <row r="85" spans="5:19">
      <c r="E85" s="284"/>
      <c r="K85" s="285"/>
      <c r="L85" s="285"/>
      <c r="M85" s="285"/>
      <c r="N85" s="285"/>
      <c r="O85" s="285"/>
      <c r="P85" s="285"/>
      <c r="Q85" s="285"/>
      <c r="R85" s="288"/>
      <c r="S85" s="289"/>
    </row>
    <row r="86" spans="5:19">
      <c r="E86" s="284"/>
      <c r="K86" s="285"/>
      <c r="L86" s="285"/>
      <c r="M86" s="285"/>
      <c r="N86" s="285"/>
      <c r="O86" s="285"/>
      <c r="P86" s="285"/>
      <c r="Q86" s="285"/>
      <c r="R86" s="288"/>
      <c r="S86" s="289"/>
    </row>
    <row r="87" spans="5:19">
      <c r="E87" s="284"/>
      <c r="K87" s="285"/>
      <c r="L87" s="285"/>
      <c r="M87" s="285"/>
      <c r="N87" s="285"/>
      <c r="O87" s="285"/>
      <c r="P87" s="285"/>
      <c r="Q87" s="285"/>
      <c r="R87" s="288"/>
      <c r="S87" s="289"/>
    </row>
    <row r="88" spans="5:19">
      <c r="E88" s="284"/>
      <c r="K88" s="285"/>
      <c r="L88" s="285"/>
      <c r="M88" s="285"/>
      <c r="N88" s="285"/>
      <c r="O88" s="285"/>
      <c r="P88" s="285"/>
      <c r="Q88" s="285"/>
      <c r="R88" s="288"/>
      <c r="S88" s="289"/>
    </row>
    <row r="89" spans="5:19">
      <c r="E89" s="284"/>
      <c r="K89" s="285"/>
      <c r="L89" s="285"/>
      <c r="M89" s="285"/>
      <c r="N89" s="285"/>
      <c r="O89" s="285"/>
      <c r="P89" s="285"/>
      <c r="Q89" s="285"/>
      <c r="R89" s="288"/>
      <c r="S89" s="289"/>
    </row>
    <row r="90" spans="5:19">
      <c r="E90" s="284"/>
      <c r="K90" s="285"/>
      <c r="L90" s="285"/>
      <c r="M90" s="285"/>
      <c r="N90" s="285"/>
      <c r="O90" s="285"/>
      <c r="P90" s="285"/>
      <c r="Q90" s="285"/>
      <c r="R90" s="288"/>
      <c r="S90" s="289"/>
    </row>
    <row r="91" spans="5:19">
      <c r="E91" s="284"/>
      <c r="K91" s="285"/>
      <c r="L91" s="285"/>
      <c r="M91" s="285"/>
      <c r="N91" s="285"/>
      <c r="O91" s="285"/>
      <c r="P91" s="285"/>
      <c r="Q91" s="285"/>
      <c r="R91" s="288"/>
      <c r="S91" s="289"/>
    </row>
    <row r="92" spans="5:19">
      <c r="E92" s="284"/>
      <c r="K92" s="285"/>
      <c r="L92" s="285"/>
      <c r="M92" s="285"/>
      <c r="N92" s="285"/>
      <c r="O92" s="285"/>
      <c r="P92" s="285"/>
      <c r="Q92" s="285"/>
      <c r="R92" s="288"/>
      <c r="S92" s="289"/>
    </row>
    <row r="93" spans="5:19">
      <c r="E93" s="284"/>
      <c r="K93" s="285"/>
      <c r="L93" s="285"/>
      <c r="M93" s="285"/>
      <c r="N93" s="285"/>
      <c r="O93" s="285"/>
      <c r="P93" s="285"/>
      <c r="Q93" s="285"/>
      <c r="R93" s="288"/>
      <c r="S93" s="289"/>
    </row>
    <row r="94" spans="5:19">
      <c r="E94" s="284"/>
      <c r="K94" s="285"/>
      <c r="L94" s="285"/>
      <c r="M94" s="285"/>
      <c r="N94" s="285"/>
      <c r="O94" s="285"/>
      <c r="P94" s="285"/>
      <c r="Q94" s="285"/>
      <c r="R94" s="288"/>
      <c r="S94" s="289"/>
    </row>
    <row r="95" spans="5:19">
      <c r="E95" s="284"/>
      <c r="K95" s="285"/>
      <c r="L95" s="285"/>
      <c r="M95" s="285"/>
      <c r="N95" s="285"/>
      <c r="O95" s="285"/>
      <c r="P95" s="285"/>
      <c r="Q95" s="285"/>
      <c r="R95" s="288"/>
      <c r="S95" s="289"/>
    </row>
    <row r="96" spans="5:19">
      <c r="E96" s="284"/>
      <c r="K96" s="285"/>
      <c r="L96" s="285"/>
      <c r="M96" s="285"/>
      <c r="N96" s="285"/>
      <c r="O96" s="285"/>
      <c r="P96" s="285"/>
      <c r="Q96" s="285"/>
      <c r="R96" s="288"/>
      <c r="S96" s="289"/>
    </row>
    <row r="97" spans="5:19">
      <c r="E97" s="284"/>
      <c r="K97" s="285"/>
      <c r="L97" s="285"/>
      <c r="M97" s="285"/>
      <c r="N97" s="285"/>
      <c r="O97" s="285"/>
      <c r="P97" s="285"/>
      <c r="Q97" s="285"/>
      <c r="R97" s="288"/>
      <c r="S97" s="289"/>
    </row>
    <row r="98" spans="5:19">
      <c r="E98" s="284"/>
      <c r="K98" s="285"/>
      <c r="L98" s="285"/>
      <c r="M98" s="285"/>
      <c r="N98" s="285"/>
      <c r="O98" s="285"/>
      <c r="P98" s="285"/>
      <c r="Q98" s="285"/>
      <c r="R98" s="288"/>
      <c r="S98" s="289"/>
    </row>
    <row r="99" spans="5:19">
      <c r="E99" s="284"/>
      <c r="K99" s="285"/>
      <c r="L99" s="285"/>
      <c r="M99" s="285"/>
      <c r="N99" s="285"/>
      <c r="O99" s="285"/>
      <c r="P99" s="285"/>
      <c r="Q99" s="285"/>
      <c r="R99" s="288"/>
      <c r="S99" s="289"/>
    </row>
    <row r="100" spans="5:19">
      <c r="E100" s="284"/>
      <c r="K100" s="285"/>
      <c r="L100" s="285"/>
      <c r="M100" s="285"/>
      <c r="N100" s="285"/>
      <c r="O100" s="285"/>
      <c r="P100" s="285"/>
      <c r="Q100" s="285"/>
      <c r="R100" s="288"/>
      <c r="S100" s="289"/>
    </row>
    <row r="101" spans="5:19">
      <c r="E101" s="284"/>
      <c r="K101" s="285"/>
      <c r="L101" s="285"/>
      <c r="M101" s="285"/>
      <c r="N101" s="285"/>
      <c r="O101" s="285"/>
      <c r="P101" s="285"/>
      <c r="Q101" s="285"/>
      <c r="R101" s="288"/>
      <c r="S101" s="289"/>
    </row>
    <row r="102" spans="5:19">
      <c r="E102" s="284"/>
      <c r="K102" s="285"/>
      <c r="L102" s="285"/>
      <c r="M102" s="285"/>
      <c r="N102" s="285"/>
      <c r="O102" s="285"/>
      <c r="P102" s="285"/>
      <c r="Q102" s="285"/>
      <c r="R102" s="288"/>
      <c r="S102" s="289"/>
    </row>
    <row r="103" spans="5:19">
      <c r="E103" s="284"/>
      <c r="K103" s="290"/>
      <c r="L103" s="290"/>
      <c r="M103" s="290"/>
      <c r="N103" s="290"/>
      <c r="O103" s="290"/>
      <c r="P103" s="290"/>
      <c r="Q103" s="290"/>
      <c r="R103" s="288"/>
      <c r="S103" s="289"/>
    </row>
    <row r="104" spans="5:19">
      <c r="E104" s="284"/>
      <c r="K104" s="290"/>
      <c r="L104" s="290"/>
      <c r="M104" s="290"/>
      <c r="N104" s="290"/>
      <c r="O104" s="290"/>
      <c r="P104" s="290"/>
      <c r="Q104" s="290"/>
      <c r="R104" s="288"/>
      <c r="S104" s="289"/>
    </row>
    <row r="105" spans="5:19">
      <c r="E105" s="284"/>
      <c r="K105" s="290"/>
      <c r="L105" s="290"/>
      <c r="M105" s="290"/>
      <c r="N105" s="290"/>
      <c r="O105" s="290"/>
      <c r="P105" s="290"/>
      <c r="Q105" s="290"/>
      <c r="R105" s="288"/>
      <c r="S105" s="289"/>
    </row>
    <row r="106" spans="5:19">
      <c r="E106" s="284"/>
      <c r="K106" s="290"/>
      <c r="L106" s="290"/>
      <c r="M106" s="290"/>
      <c r="N106" s="290"/>
      <c r="O106" s="290"/>
      <c r="P106" s="290"/>
      <c r="Q106" s="290"/>
      <c r="R106" s="288"/>
      <c r="S106" s="289"/>
    </row>
    <row r="107" spans="5:19">
      <c r="E107" s="284"/>
      <c r="K107" s="290"/>
      <c r="L107" s="290"/>
      <c r="M107" s="290"/>
      <c r="N107" s="290"/>
      <c r="O107" s="290"/>
      <c r="P107" s="290"/>
      <c r="Q107" s="290"/>
      <c r="R107" s="288"/>
      <c r="S107" s="289"/>
    </row>
    <row r="108" spans="5:19">
      <c r="E108" s="284"/>
      <c r="K108" s="290"/>
      <c r="L108" s="290"/>
      <c r="M108" s="290"/>
      <c r="N108" s="290"/>
      <c r="O108" s="290"/>
      <c r="P108" s="290"/>
      <c r="Q108" s="290"/>
      <c r="R108" s="288"/>
      <c r="S108" s="289"/>
    </row>
    <row r="109" spans="5:19">
      <c r="E109" s="284"/>
      <c r="K109" s="290"/>
      <c r="L109" s="290"/>
      <c r="M109" s="290"/>
      <c r="N109" s="290"/>
      <c r="O109" s="290"/>
      <c r="P109" s="290"/>
      <c r="Q109" s="290"/>
      <c r="R109" s="288"/>
      <c r="S109" s="289"/>
    </row>
    <row r="110" spans="5:19">
      <c r="E110" s="284"/>
      <c r="K110" s="290"/>
      <c r="L110" s="290"/>
      <c r="M110" s="290"/>
      <c r="N110" s="290"/>
      <c r="O110" s="290"/>
      <c r="P110" s="290"/>
      <c r="Q110" s="290"/>
      <c r="R110" s="288"/>
      <c r="S110" s="289"/>
    </row>
    <row r="111" spans="5:19">
      <c r="E111" s="284"/>
      <c r="K111" s="290"/>
      <c r="L111" s="290"/>
      <c r="M111" s="290"/>
      <c r="N111" s="290"/>
      <c r="O111" s="290"/>
      <c r="P111" s="290"/>
      <c r="Q111" s="290"/>
      <c r="R111" s="288"/>
      <c r="S111" s="289"/>
    </row>
    <row r="112" spans="5:19">
      <c r="E112" s="284"/>
      <c r="K112" s="290"/>
      <c r="L112" s="290"/>
      <c r="M112" s="290"/>
      <c r="N112" s="290"/>
      <c r="O112" s="290"/>
      <c r="P112" s="290"/>
      <c r="Q112" s="290"/>
      <c r="R112" s="288"/>
      <c r="S112" s="289"/>
    </row>
    <row r="113" spans="5:19">
      <c r="E113" s="284"/>
      <c r="K113" s="290"/>
      <c r="L113" s="290"/>
      <c r="M113" s="290"/>
      <c r="N113" s="290"/>
      <c r="O113" s="290"/>
      <c r="P113" s="290"/>
      <c r="Q113" s="290"/>
      <c r="R113" s="288"/>
      <c r="S113" s="289"/>
    </row>
    <row r="114" spans="5:19">
      <c r="E114" s="284"/>
      <c r="K114" s="290"/>
      <c r="L114" s="290"/>
      <c r="M114" s="290"/>
      <c r="N114" s="290"/>
      <c r="O114" s="290"/>
      <c r="P114" s="290"/>
      <c r="Q114" s="290"/>
      <c r="R114" s="288"/>
      <c r="S114" s="289"/>
    </row>
    <row r="115" spans="5:19">
      <c r="E115" s="284"/>
      <c r="K115" s="290"/>
      <c r="L115" s="290"/>
      <c r="M115" s="290"/>
      <c r="N115" s="290"/>
      <c r="O115" s="290"/>
      <c r="P115" s="290"/>
      <c r="Q115" s="290"/>
      <c r="R115" s="288"/>
      <c r="S115" s="289"/>
    </row>
    <row r="116" spans="5:19">
      <c r="E116" s="284"/>
      <c r="K116" s="290"/>
      <c r="L116" s="290"/>
      <c r="M116" s="290"/>
      <c r="N116" s="290"/>
      <c r="O116" s="290"/>
      <c r="P116" s="290"/>
      <c r="Q116" s="290"/>
      <c r="R116" s="288"/>
      <c r="S116" s="289"/>
    </row>
    <row r="117" spans="5:19">
      <c r="E117" s="284"/>
      <c r="K117" s="290"/>
      <c r="L117" s="290"/>
      <c r="M117" s="290"/>
      <c r="N117" s="290"/>
      <c r="O117" s="290"/>
      <c r="P117" s="290"/>
      <c r="Q117" s="290"/>
      <c r="R117" s="288"/>
      <c r="S117" s="289"/>
    </row>
    <row r="118" spans="5:19">
      <c r="E118" s="284"/>
      <c r="K118" s="290"/>
      <c r="L118" s="290"/>
      <c r="M118" s="290"/>
      <c r="N118" s="290"/>
      <c r="O118" s="290"/>
      <c r="P118" s="290"/>
      <c r="Q118" s="290"/>
      <c r="R118" s="288"/>
      <c r="S118" s="289"/>
    </row>
    <row r="119" spans="5:19">
      <c r="E119" s="284"/>
      <c r="K119" s="290"/>
      <c r="L119" s="290"/>
      <c r="M119" s="290"/>
      <c r="N119" s="290"/>
      <c r="O119" s="290"/>
      <c r="P119" s="290"/>
      <c r="Q119" s="290"/>
      <c r="R119" s="288"/>
      <c r="S119" s="289"/>
    </row>
    <row r="120" spans="5:19">
      <c r="E120" s="284"/>
      <c r="K120" s="290"/>
      <c r="L120" s="290"/>
      <c r="M120" s="290"/>
      <c r="N120" s="290"/>
      <c r="O120" s="290"/>
      <c r="P120" s="290"/>
      <c r="Q120" s="290"/>
      <c r="R120" s="288"/>
      <c r="S120" s="289"/>
    </row>
    <row r="121" spans="5:19">
      <c r="E121" s="284"/>
      <c r="K121" s="290"/>
      <c r="L121" s="290"/>
      <c r="M121" s="290"/>
      <c r="N121" s="290"/>
      <c r="O121" s="290"/>
      <c r="P121" s="290"/>
      <c r="Q121" s="290"/>
      <c r="R121" s="288"/>
      <c r="S121" s="289"/>
    </row>
    <row r="122" spans="5:19">
      <c r="E122" s="284"/>
      <c r="K122" s="290"/>
      <c r="L122" s="290"/>
      <c r="M122" s="290"/>
      <c r="N122" s="290"/>
      <c r="O122" s="290"/>
      <c r="P122" s="290"/>
      <c r="Q122" s="290"/>
      <c r="R122" s="288"/>
      <c r="S122" s="289"/>
    </row>
    <row r="123" spans="5:19">
      <c r="E123" s="284"/>
      <c r="K123" s="290"/>
      <c r="L123" s="290"/>
      <c r="M123" s="290"/>
      <c r="N123" s="290"/>
      <c r="O123" s="290"/>
      <c r="P123" s="290"/>
      <c r="Q123" s="290"/>
      <c r="R123" s="288"/>
      <c r="S123" s="289"/>
    </row>
    <row r="124" spans="5:19">
      <c r="E124" s="284"/>
      <c r="K124" s="290"/>
      <c r="L124" s="290"/>
      <c r="M124" s="290"/>
      <c r="N124" s="290"/>
      <c r="O124" s="290"/>
      <c r="P124" s="290"/>
      <c r="Q124" s="290"/>
      <c r="R124" s="288"/>
      <c r="S124" s="289"/>
    </row>
    <row r="125" spans="5:19">
      <c r="E125" s="284"/>
      <c r="K125" s="290"/>
      <c r="L125" s="290"/>
      <c r="M125" s="290"/>
      <c r="N125" s="290"/>
      <c r="O125" s="290"/>
      <c r="P125" s="290"/>
      <c r="Q125" s="290"/>
      <c r="R125" s="288"/>
      <c r="S125" s="289"/>
    </row>
    <row r="126" spans="5:19">
      <c r="E126" s="284"/>
      <c r="K126" s="290"/>
      <c r="L126" s="290"/>
      <c r="M126" s="290"/>
      <c r="N126" s="290"/>
      <c r="O126" s="290"/>
      <c r="P126" s="290"/>
      <c r="Q126" s="290"/>
      <c r="R126" s="288"/>
      <c r="S126" s="289"/>
    </row>
    <row r="127" spans="5:19">
      <c r="E127" s="284"/>
      <c r="K127" s="290"/>
      <c r="L127" s="290"/>
      <c r="M127" s="290"/>
      <c r="N127" s="290"/>
      <c r="O127" s="290"/>
      <c r="P127" s="290"/>
      <c r="Q127" s="290"/>
      <c r="R127" s="288"/>
      <c r="S127" s="289"/>
    </row>
    <row r="128" spans="5:19">
      <c r="E128" s="284"/>
      <c r="K128" s="290"/>
      <c r="L128" s="290"/>
      <c r="M128" s="290"/>
      <c r="N128" s="290"/>
      <c r="O128" s="290"/>
      <c r="P128" s="290"/>
      <c r="Q128" s="290"/>
      <c r="R128" s="288"/>
      <c r="S128" s="289"/>
    </row>
    <row r="129" spans="5:19">
      <c r="E129" s="284"/>
      <c r="K129" s="290"/>
      <c r="L129" s="290"/>
      <c r="M129" s="290"/>
      <c r="N129" s="290"/>
      <c r="O129" s="290"/>
      <c r="P129" s="290"/>
      <c r="Q129" s="290"/>
      <c r="R129" s="288"/>
      <c r="S129" s="289"/>
    </row>
    <row r="130" spans="5:19">
      <c r="E130" s="284"/>
      <c r="K130" s="290"/>
      <c r="L130" s="290"/>
      <c r="M130" s="290"/>
      <c r="N130" s="290"/>
      <c r="O130" s="290"/>
      <c r="P130" s="290"/>
      <c r="Q130" s="290"/>
      <c r="R130" s="288"/>
      <c r="S130" s="289"/>
    </row>
    <row r="131" spans="5:19">
      <c r="E131" s="284"/>
      <c r="K131" s="290"/>
      <c r="L131" s="290"/>
      <c r="M131" s="290"/>
      <c r="N131" s="290"/>
      <c r="O131" s="290"/>
      <c r="P131" s="290"/>
      <c r="Q131" s="290"/>
      <c r="R131" s="288"/>
      <c r="S131" s="289"/>
    </row>
    <row r="132" spans="5:19">
      <c r="E132" s="284"/>
      <c r="K132" s="290"/>
      <c r="L132" s="290"/>
      <c r="M132" s="290"/>
      <c r="N132" s="290"/>
      <c r="O132" s="290"/>
      <c r="P132" s="290"/>
      <c r="Q132" s="290"/>
      <c r="R132" s="288"/>
      <c r="S132" s="289"/>
    </row>
    <row r="133" spans="5:19">
      <c r="E133" s="284"/>
      <c r="K133" s="290"/>
      <c r="L133" s="290"/>
      <c r="M133" s="290"/>
      <c r="N133" s="290"/>
      <c r="O133" s="290"/>
      <c r="P133" s="290"/>
      <c r="Q133" s="290"/>
      <c r="R133" s="288"/>
      <c r="S133" s="289"/>
    </row>
    <row r="134" spans="5:19">
      <c r="E134" s="284"/>
      <c r="K134" s="290"/>
      <c r="L134" s="290"/>
      <c r="M134" s="290"/>
      <c r="N134" s="290"/>
      <c r="O134" s="290"/>
      <c r="P134" s="290"/>
      <c r="Q134" s="290"/>
      <c r="R134" s="288"/>
      <c r="S134" s="289"/>
    </row>
    <row r="135" spans="5:19">
      <c r="E135" s="284"/>
      <c r="K135" s="290"/>
      <c r="L135" s="290"/>
      <c r="M135" s="290"/>
      <c r="N135" s="290"/>
      <c r="O135" s="290"/>
      <c r="P135" s="290"/>
      <c r="Q135" s="290"/>
      <c r="R135" s="288"/>
      <c r="S135" s="289"/>
    </row>
    <row r="136" spans="5:19">
      <c r="E136" s="284"/>
      <c r="K136" s="290"/>
      <c r="L136" s="290"/>
      <c r="M136" s="290"/>
      <c r="N136" s="290"/>
      <c r="O136" s="290"/>
      <c r="P136" s="290"/>
      <c r="Q136" s="290"/>
      <c r="R136" s="288"/>
      <c r="S136" s="289"/>
    </row>
    <row r="137" spans="5:19">
      <c r="E137" s="284"/>
      <c r="K137" s="290"/>
      <c r="L137" s="290"/>
      <c r="M137" s="290"/>
      <c r="N137" s="290"/>
      <c r="O137" s="290"/>
      <c r="P137" s="290"/>
      <c r="Q137" s="290"/>
      <c r="R137" s="288"/>
      <c r="S137" s="289"/>
    </row>
    <row r="138" spans="5:19">
      <c r="E138" s="284"/>
      <c r="K138" s="290"/>
      <c r="L138" s="290"/>
      <c r="M138" s="290"/>
      <c r="N138" s="290"/>
      <c r="O138" s="290"/>
      <c r="P138" s="290"/>
      <c r="Q138" s="290"/>
      <c r="R138" s="288"/>
      <c r="S138" s="289"/>
    </row>
    <row r="139" spans="5:19">
      <c r="E139" s="284"/>
      <c r="K139" s="290"/>
      <c r="L139" s="290"/>
      <c r="M139" s="290"/>
      <c r="N139" s="290"/>
      <c r="O139" s="290"/>
      <c r="P139" s="290"/>
      <c r="Q139" s="290"/>
      <c r="R139" s="288"/>
      <c r="S139" s="289"/>
    </row>
    <row r="140" spans="5:19">
      <c r="E140" s="284"/>
      <c r="K140" s="290"/>
      <c r="L140" s="290"/>
      <c r="M140" s="290"/>
      <c r="N140" s="290"/>
      <c r="O140" s="290"/>
      <c r="P140" s="290"/>
      <c r="Q140" s="290"/>
      <c r="R140" s="288"/>
      <c r="S140" s="289"/>
    </row>
    <row r="141" spans="5:19">
      <c r="E141" s="284"/>
      <c r="K141" s="290"/>
      <c r="L141" s="290"/>
      <c r="M141" s="290"/>
      <c r="N141" s="290"/>
      <c r="O141" s="290"/>
      <c r="P141" s="290"/>
      <c r="Q141" s="290"/>
      <c r="R141" s="288"/>
      <c r="S141" s="289"/>
    </row>
    <row r="142" spans="5:19">
      <c r="E142" s="284"/>
      <c r="K142" s="290"/>
      <c r="L142" s="290"/>
      <c r="M142" s="290"/>
      <c r="N142" s="290"/>
      <c r="O142" s="290"/>
      <c r="P142" s="290"/>
      <c r="Q142" s="290"/>
      <c r="R142" s="288"/>
      <c r="S142" s="289"/>
    </row>
    <row r="143" spans="5:19">
      <c r="E143" s="284"/>
      <c r="K143" s="290"/>
      <c r="L143" s="290"/>
      <c r="M143" s="290"/>
      <c r="N143" s="290"/>
      <c r="O143" s="290"/>
      <c r="P143" s="290"/>
      <c r="Q143" s="290"/>
      <c r="R143" s="288"/>
      <c r="S143" s="289"/>
    </row>
    <row r="144" spans="5:19">
      <c r="E144" s="284"/>
      <c r="K144" s="290"/>
      <c r="L144" s="290"/>
      <c r="M144" s="290"/>
      <c r="N144" s="290"/>
      <c r="O144" s="290"/>
      <c r="P144" s="290"/>
      <c r="Q144" s="290"/>
      <c r="R144" s="288"/>
      <c r="S144" s="289"/>
    </row>
    <row r="145" spans="5:19">
      <c r="E145" s="284"/>
      <c r="K145" s="290"/>
      <c r="L145" s="290"/>
      <c r="M145" s="290"/>
      <c r="N145" s="290"/>
      <c r="O145" s="290"/>
      <c r="P145" s="290"/>
      <c r="Q145" s="290"/>
      <c r="R145" s="288"/>
      <c r="S145" s="289"/>
    </row>
    <row r="146" spans="5:19">
      <c r="E146" s="284"/>
      <c r="K146" s="290"/>
      <c r="L146" s="290"/>
      <c r="M146" s="290"/>
      <c r="N146" s="290"/>
      <c r="O146" s="290"/>
      <c r="P146" s="290"/>
      <c r="Q146" s="290"/>
      <c r="R146" s="288"/>
      <c r="S146" s="289"/>
    </row>
    <row r="147" spans="5:19">
      <c r="E147" s="284"/>
      <c r="K147" s="290"/>
      <c r="L147" s="290"/>
      <c r="M147" s="290"/>
      <c r="N147" s="290"/>
      <c r="O147" s="290"/>
      <c r="P147" s="290"/>
      <c r="Q147" s="290"/>
      <c r="R147" s="288"/>
      <c r="S147" s="289"/>
    </row>
    <row r="148" spans="5:19">
      <c r="E148" s="284"/>
      <c r="K148" s="290"/>
      <c r="L148" s="290"/>
      <c r="M148" s="290"/>
      <c r="N148" s="290"/>
      <c r="O148" s="290"/>
      <c r="P148" s="290"/>
      <c r="Q148" s="290"/>
      <c r="R148" s="288"/>
      <c r="S148" s="289"/>
    </row>
    <row r="149" spans="5:19">
      <c r="E149" s="284"/>
      <c r="K149" s="290"/>
      <c r="L149" s="290"/>
      <c r="M149" s="290"/>
      <c r="N149" s="290"/>
      <c r="O149" s="290"/>
      <c r="P149" s="290"/>
      <c r="Q149" s="290"/>
      <c r="R149" s="288"/>
      <c r="S149" s="289"/>
    </row>
    <row r="150" spans="5:19">
      <c r="E150" s="284"/>
      <c r="K150" s="290"/>
      <c r="L150" s="290"/>
      <c r="M150" s="290"/>
      <c r="N150" s="290"/>
      <c r="O150" s="290"/>
      <c r="P150" s="290"/>
      <c r="Q150" s="290"/>
      <c r="R150" s="288"/>
      <c r="S150" s="289"/>
    </row>
    <row r="151" spans="5:19">
      <c r="E151" s="284"/>
      <c r="K151" s="290"/>
      <c r="L151" s="290"/>
      <c r="M151" s="290"/>
      <c r="N151" s="290"/>
      <c r="O151" s="290"/>
      <c r="P151" s="290"/>
      <c r="Q151" s="290"/>
      <c r="R151" s="288"/>
      <c r="S151" s="289"/>
    </row>
    <row r="152" spans="5:19">
      <c r="E152" s="284"/>
      <c r="K152" s="290"/>
      <c r="L152" s="290"/>
      <c r="M152" s="290"/>
      <c r="N152" s="290"/>
      <c r="O152" s="290"/>
      <c r="P152" s="290"/>
      <c r="Q152" s="290"/>
      <c r="R152" s="288"/>
      <c r="S152" s="289"/>
    </row>
    <row r="153" spans="5:19">
      <c r="E153" s="284"/>
      <c r="K153" s="290"/>
      <c r="L153" s="290"/>
      <c r="M153" s="290"/>
      <c r="N153" s="290"/>
      <c r="O153" s="290"/>
      <c r="P153" s="290"/>
      <c r="Q153" s="290"/>
      <c r="R153" s="288"/>
      <c r="S153" s="289"/>
    </row>
    <row r="154" spans="5:19">
      <c r="E154" s="284"/>
      <c r="K154" s="290"/>
      <c r="L154" s="290"/>
      <c r="M154" s="290"/>
      <c r="N154" s="290"/>
      <c r="O154" s="290"/>
      <c r="P154" s="290"/>
      <c r="Q154" s="290"/>
      <c r="R154" s="288"/>
      <c r="S154" s="289"/>
    </row>
    <row r="155" spans="5:19">
      <c r="E155" s="284"/>
      <c r="K155" s="290"/>
      <c r="L155" s="290"/>
      <c r="M155" s="290"/>
      <c r="N155" s="290"/>
      <c r="O155" s="290"/>
      <c r="P155" s="290"/>
      <c r="Q155" s="290"/>
      <c r="R155" s="288"/>
      <c r="S155" s="289"/>
    </row>
    <row r="156" spans="5:19">
      <c r="E156" s="284"/>
      <c r="K156" s="290"/>
      <c r="L156" s="290"/>
      <c r="M156" s="290"/>
      <c r="N156" s="290"/>
      <c r="O156" s="290"/>
      <c r="P156" s="290"/>
      <c r="Q156" s="290"/>
      <c r="R156" s="288"/>
      <c r="S156" s="289"/>
    </row>
    <row r="157" spans="5:19">
      <c r="E157" s="284"/>
      <c r="K157" s="290"/>
      <c r="L157" s="290"/>
      <c r="M157" s="290"/>
      <c r="N157" s="290"/>
      <c r="O157" s="290"/>
      <c r="P157" s="290"/>
      <c r="Q157" s="290"/>
      <c r="R157" s="288"/>
      <c r="S157" s="289"/>
    </row>
    <row r="158" spans="5:19">
      <c r="E158" s="284"/>
      <c r="K158" s="290"/>
      <c r="L158" s="290"/>
      <c r="M158" s="290"/>
      <c r="N158" s="290"/>
      <c r="O158" s="290"/>
      <c r="P158" s="290"/>
      <c r="Q158" s="290"/>
      <c r="R158" s="288"/>
      <c r="S158" s="289"/>
    </row>
    <row r="159" spans="5:19">
      <c r="E159" s="284"/>
      <c r="K159" s="290"/>
      <c r="L159" s="290"/>
      <c r="M159" s="290"/>
      <c r="N159" s="290"/>
      <c r="O159" s="290"/>
      <c r="P159" s="290"/>
      <c r="Q159" s="290"/>
      <c r="R159" s="288"/>
      <c r="S159" s="289"/>
    </row>
    <row r="160" spans="5:19">
      <c r="E160" s="284"/>
      <c r="K160" s="290"/>
      <c r="L160" s="290"/>
      <c r="M160" s="290"/>
      <c r="N160" s="290"/>
      <c r="O160" s="290"/>
      <c r="P160" s="290"/>
      <c r="Q160" s="290"/>
      <c r="R160" s="288"/>
      <c r="S160" s="289"/>
    </row>
    <row r="161" spans="5:19">
      <c r="E161" s="284"/>
      <c r="K161" s="290"/>
      <c r="L161" s="290"/>
      <c r="M161" s="290"/>
      <c r="N161" s="290"/>
      <c r="O161" s="290"/>
      <c r="P161" s="290"/>
      <c r="Q161" s="290"/>
      <c r="R161" s="288"/>
      <c r="S161" s="289"/>
    </row>
    <row r="162" spans="5:19">
      <c r="E162" s="284"/>
      <c r="K162" s="290"/>
      <c r="L162" s="290"/>
      <c r="M162" s="290"/>
      <c r="N162" s="290"/>
      <c r="O162" s="290"/>
      <c r="P162" s="290"/>
      <c r="Q162" s="290"/>
      <c r="R162" s="288"/>
      <c r="S162" s="289"/>
    </row>
    <row r="163" spans="5:19">
      <c r="E163" s="284"/>
      <c r="K163" s="290"/>
      <c r="L163" s="290"/>
      <c r="M163" s="290"/>
      <c r="N163" s="290"/>
      <c r="O163" s="290"/>
      <c r="P163" s="290"/>
      <c r="Q163" s="290"/>
      <c r="R163" s="288"/>
      <c r="S163" s="289"/>
    </row>
    <row r="164" spans="5:19">
      <c r="E164" s="284"/>
      <c r="K164" s="290"/>
      <c r="L164" s="290"/>
      <c r="M164" s="290"/>
      <c r="N164" s="290"/>
      <c r="O164" s="290"/>
      <c r="P164" s="290"/>
      <c r="Q164" s="290"/>
      <c r="R164" s="288"/>
      <c r="S164" s="289"/>
    </row>
    <row r="165" spans="5:19">
      <c r="E165" s="284"/>
      <c r="K165" s="290"/>
      <c r="L165" s="290"/>
      <c r="M165" s="290"/>
      <c r="N165" s="290"/>
      <c r="O165" s="290"/>
      <c r="P165" s="290"/>
      <c r="Q165" s="290"/>
      <c r="R165" s="288"/>
      <c r="S165" s="289"/>
    </row>
    <row r="166" spans="5:19">
      <c r="E166" s="284"/>
      <c r="K166" s="290"/>
      <c r="L166" s="290"/>
      <c r="M166" s="290"/>
      <c r="N166" s="290"/>
      <c r="O166" s="290"/>
      <c r="P166" s="290"/>
      <c r="Q166" s="290"/>
      <c r="R166" s="288"/>
      <c r="S166" s="289"/>
    </row>
    <row r="167" spans="5:19">
      <c r="E167" s="284"/>
      <c r="K167" s="290"/>
      <c r="L167" s="290"/>
      <c r="M167" s="290"/>
      <c r="N167" s="290"/>
      <c r="O167" s="290"/>
      <c r="P167" s="290"/>
      <c r="Q167" s="290"/>
      <c r="R167" s="288"/>
      <c r="S167" s="289"/>
    </row>
    <row r="168" spans="5:19">
      <c r="E168" s="284"/>
      <c r="K168" s="290"/>
      <c r="L168" s="290"/>
      <c r="M168" s="290"/>
      <c r="N168" s="290"/>
      <c r="O168" s="290"/>
      <c r="P168" s="290"/>
      <c r="Q168" s="290"/>
      <c r="R168" s="288"/>
      <c r="S168" s="289"/>
    </row>
    <row r="169" spans="5:19">
      <c r="E169" s="284"/>
      <c r="K169" s="290"/>
      <c r="L169" s="290"/>
      <c r="M169" s="290"/>
      <c r="N169" s="290"/>
      <c r="O169" s="290"/>
      <c r="P169" s="290"/>
      <c r="Q169" s="290"/>
      <c r="R169" s="288"/>
      <c r="S169" s="289"/>
    </row>
    <row r="170" spans="5:19">
      <c r="E170" s="284"/>
      <c r="K170" s="290"/>
      <c r="L170" s="290"/>
      <c r="M170" s="290"/>
      <c r="N170" s="290"/>
      <c r="O170" s="290"/>
      <c r="P170" s="290"/>
      <c r="Q170" s="290"/>
      <c r="R170" s="288"/>
      <c r="S170" s="289"/>
    </row>
    <row r="171" spans="5:19">
      <c r="E171" s="284"/>
      <c r="K171" s="290"/>
      <c r="L171" s="290"/>
      <c r="M171" s="290"/>
      <c r="N171" s="290"/>
      <c r="O171" s="290"/>
      <c r="P171" s="290"/>
      <c r="Q171" s="290"/>
      <c r="R171" s="288"/>
      <c r="S171" s="289"/>
    </row>
    <row r="172" spans="5:19">
      <c r="E172" s="284"/>
      <c r="K172" s="290"/>
      <c r="L172" s="290"/>
      <c r="M172" s="290"/>
      <c r="N172" s="290"/>
      <c r="O172" s="290"/>
      <c r="P172" s="290"/>
      <c r="Q172" s="290"/>
      <c r="R172" s="288"/>
      <c r="S172" s="289"/>
    </row>
    <row r="173" spans="5:19">
      <c r="E173" s="284"/>
      <c r="K173" s="290"/>
      <c r="L173" s="290"/>
      <c r="M173" s="290"/>
      <c r="N173" s="290"/>
      <c r="O173" s="290"/>
      <c r="P173" s="290"/>
      <c r="Q173" s="290"/>
      <c r="R173" s="288"/>
      <c r="S173" s="289"/>
    </row>
    <row r="174" spans="5:19">
      <c r="E174" s="284"/>
      <c r="K174" s="290"/>
      <c r="L174" s="290"/>
      <c r="M174" s="290"/>
      <c r="N174" s="290"/>
      <c r="O174" s="290"/>
      <c r="P174" s="290"/>
      <c r="Q174" s="290"/>
      <c r="R174" s="288"/>
      <c r="S174" s="289"/>
    </row>
    <row r="175" spans="5:19">
      <c r="E175" s="284"/>
      <c r="K175" s="290"/>
      <c r="L175" s="290"/>
      <c r="M175" s="290"/>
      <c r="N175" s="290"/>
      <c r="O175" s="290"/>
      <c r="P175" s="290"/>
      <c r="Q175" s="290"/>
      <c r="R175" s="288"/>
      <c r="S175" s="289"/>
    </row>
    <row r="176" spans="5:19">
      <c r="E176" s="284"/>
      <c r="K176" s="290"/>
      <c r="L176" s="290"/>
      <c r="M176" s="290"/>
      <c r="N176" s="290"/>
      <c r="O176" s="290"/>
      <c r="P176" s="290"/>
      <c r="Q176" s="290"/>
      <c r="R176" s="288"/>
      <c r="S176" s="289"/>
    </row>
    <row r="177" spans="5:19">
      <c r="E177" s="284"/>
      <c r="K177" s="290"/>
      <c r="L177" s="290"/>
      <c r="M177" s="290"/>
      <c r="N177" s="290"/>
      <c r="O177" s="290"/>
      <c r="P177" s="290"/>
      <c r="Q177" s="290"/>
      <c r="R177" s="288"/>
      <c r="S177" s="289"/>
    </row>
    <row r="178" spans="5:19">
      <c r="E178" s="284"/>
      <c r="K178" s="290"/>
      <c r="L178" s="290"/>
      <c r="M178" s="290"/>
      <c r="N178" s="290"/>
      <c r="O178" s="290"/>
      <c r="P178" s="290"/>
      <c r="Q178" s="290"/>
      <c r="R178" s="288"/>
      <c r="S178" s="289"/>
    </row>
    <row r="179" spans="5:19">
      <c r="E179" s="284"/>
      <c r="K179" s="290"/>
      <c r="L179" s="290"/>
      <c r="M179" s="290"/>
      <c r="N179" s="290"/>
      <c r="O179" s="290"/>
      <c r="P179" s="290"/>
      <c r="Q179" s="290"/>
      <c r="R179" s="288"/>
      <c r="S179" s="289"/>
    </row>
    <row r="180" spans="5:19">
      <c r="E180" s="284"/>
      <c r="K180" s="290"/>
      <c r="L180" s="290"/>
      <c r="M180" s="290"/>
      <c r="N180" s="290"/>
      <c r="O180" s="290"/>
      <c r="P180" s="290"/>
      <c r="Q180" s="290"/>
      <c r="R180" s="288"/>
      <c r="S180" s="289"/>
    </row>
    <row r="181" spans="5:19">
      <c r="E181" s="284"/>
      <c r="K181" s="290"/>
      <c r="L181" s="290"/>
      <c r="M181" s="290"/>
      <c r="N181" s="290"/>
      <c r="O181" s="290"/>
      <c r="P181" s="290"/>
      <c r="Q181" s="290"/>
      <c r="R181" s="288"/>
      <c r="S181" s="289"/>
    </row>
    <row r="182" spans="5:19">
      <c r="E182" s="284"/>
      <c r="K182" s="290"/>
      <c r="L182" s="290"/>
      <c r="M182" s="290"/>
      <c r="N182" s="290"/>
      <c r="O182" s="290"/>
      <c r="P182" s="290"/>
      <c r="Q182" s="290"/>
      <c r="R182" s="288"/>
      <c r="S182" s="289"/>
    </row>
    <row r="183" spans="5:19">
      <c r="E183" s="284"/>
      <c r="K183" s="290"/>
      <c r="L183" s="290"/>
      <c r="M183" s="290"/>
      <c r="N183" s="290"/>
      <c r="O183" s="290"/>
      <c r="P183" s="290"/>
      <c r="Q183" s="290"/>
      <c r="R183" s="288"/>
      <c r="S183" s="289"/>
    </row>
    <row r="184" spans="5:19">
      <c r="E184" s="284"/>
      <c r="K184" s="290"/>
      <c r="L184" s="290"/>
      <c r="M184" s="290"/>
      <c r="N184" s="290"/>
      <c r="O184" s="290"/>
      <c r="P184" s="290"/>
      <c r="Q184" s="290"/>
      <c r="R184" s="288"/>
      <c r="S184" s="289"/>
    </row>
    <row r="185" spans="5:19">
      <c r="E185" s="284"/>
      <c r="K185" s="290"/>
      <c r="L185" s="290"/>
      <c r="M185" s="290"/>
      <c r="N185" s="290"/>
      <c r="O185" s="290"/>
      <c r="P185" s="290"/>
      <c r="Q185" s="290"/>
      <c r="R185" s="288"/>
      <c r="S185" s="289"/>
    </row>
    <row r="186" spans="5:19">
      <c r="E186" s="284"/>
      <c r="K186" s="290"/>
      <c r="L186" s="290"/>
      <c r="M186" s="290"/>
      <c r="N186" s="290"/>
      <c r="O186" s="290"/>
      <c r="P186" s="290"/>
      <c r="Q186" s="290"/>
      <c r="R186" s="288"/>
      <c r="S186" s="289"/>
    </row>
    <row r="187" spans="5:19">
      <c r="E187" s="284"/>
      <c r="K187" s="290"/>
      <c r="L187" s="290"/>
      <c r="M187" s="290"/>
      <c r="N187" s="290"/>
      <c r="O187" s="290"/>
      <c r="P187" s="290"/>
      <c r="Q187" s="290"/>
      <c r="R187" s="288"/>
      <c r="S187" s="289"/>
    </row>
    <row r="188" spans="5:19">
      <c r="E188" s="284"/>
      <c r="K188" s="290"/>
      <c r="L188" s="290"/>
      <c r="M188" s="290"/>
      <c r="N188" s="290"/>
      <c r="O188" s="290"/>
      <c r="P188" s="290"/>
      <c r="Q188" s="290"/>
      <c r="R188" s="288"/>
      <c r="S188" s="289"/>
    </row>
    <row r="189" spans="5:19">
      <c r="E189" s="284"/>
      <c r="K189" s="290"/>
      <c r="L189" s="290"/>
      <c r="M189" s="290"/>
      <c r="N189" s="290"/>
      <c r="O189" s="290"/>
      <c r="P189" s="290"/>
      <c r="Q189" s="290"/>
      <c r="R189" s="288"/>
      <c r="S189" s="289"/>
    </row>
    <row r="190" spans="5:19">
      <c r="E190" s="284"/>
      <c r="K190" s="290"/>
      <c r="L190" s="290"/>
      <c r="M190" s="290"/>
      <c r="N190" s="290"/>
      <c r="O190" s="290"/>
      <c r="P190" s="290"/>
      <c r="Q190" s="290"/>
      <c r="R190" s="288"/>
      <c r="S190" s="289"/>
    </row>
    <row r="191" spans="5:19">
      <c r="E191" s="284"/>
      <c r="K191" s="290"/>
      <c r="L191" s="290"/>
      <c r="M191" s="290"/>
      <c r="N191" s="290"/>
      <c r="O191" s="290"/>
      <c r="P191" s="290"/>
      <c r="Q191" s="290"/>
      <c r="R191" s="288"/>
      <c r="S191" s="289"/>
    </row>
    <row r="192" spans="5:19">
      <c r="E192" s="284"/>
      <c r="K192" s="290"/>
      <c r="L192" s="290"/>
      <c r="M192" s="290"/>
      <c r="N192" s="290"/>
      <c r="O192" s="290"/>
      <c r="P192" s="290"/>
      <c r="Q192" s="290"/>
      <c r="R192" s="288"/>
      <c r="S192" s="289"/>
    </row>
    <row r="193" spans="5:19">
      <c r="E193" s="284"/>
      <c r="K193" s="290"/>
      <c r="L193" s="290"/>
      <c r="M193" s="290"/>
      <c r="N193" s="290"/>
      <c r="O193" s="290"/>
      <c r="P193" s="290"/>
      <c r="Q193" s="290"/>
      <c r="R193" s="288"/>
      <c r="S193" s="289"/>
    </row>
    <row r="194" spans="5:19">
      <c r="E194" s="284"/>
      <c r="K194" s="290"/>
      <c r="L194" s="290"/>
      <c r="M194" s="290"/>
      <c r="N194" s="290"/>
      <c r="O194" s="290"/>
      <c r="P194" s="290"/>
      <c r="Q194" s="290"/>
      <c r="R194" s="288"/>
      <c r="S194" s="289"/>
    </row>
    <row r="195" spans="5:19">
      <c r="E195" s="284"/>
      <c r="K195" s="290"/>
      <c r="L195" s="290"/>
      <c r="M195" s="290"/>
      <c r="N195" s="290"/>
      <c r="O195" s="290"/>
      <c r="P195" s="290"/>
      <c r="Q195" s="290"/>
      <c r="R195" s="288"/>
      <c r="S195" s="289"/>
    </row>
    <row r="196" spans="5:19">
      <c r="E196" s="284"/>
      <c r="K196" s="290"/>
      <c r="L196" s="290"/>
      <c r="M196" s="290"/>
      <c r="N196" s="290"/>
      <c r="O196" s="290"/>
      <c r="P196" s="290"/>
      <c r="Q196" s="290"/>
      <c r="R196" s="288"/>
      <c r="S196" s="289"/>
    </row>
    <row r="197" spans="5:19">
      <c r="E197" s="284"/>
      <c r="K197" s="290"/>
      <c r="L197" s="290"/>
      <c r="M197" s="290"/>
      <c r="N197" s="290"/>
      <c r="O197" s="290"/>
      <c r="P197" s="290"/>
      <c r="Q197" s="290"/>
      <c r="R197" s="288"/>
      <c r="S197" s="289"/>
    </row>
    <row r="198" spans="5:19">
      <c r="E198" s="284"/>
      <c r="K198" s="290"/>
      <c r="L198" s="290"/>
      <c r="M198" s="290"/>
      <c r="N198" s="290"/>
      <c r="O198" s="290"/>
      <c r="P198" s="290"/>
      <c r="Q198" s="290"/>
      <c r="R198" s="288"/>
      <c r="S198" s="289"/>
    </row>
    <row r="199" spans="5:19">
      <c r="E199" s="284"/>
      <c r="K199" s="290"/>
      <c r="L199" s="290"/>
      <c r="M199" s="290"/>
      <c r="N199" s="290"/>
      <c r="O199" s="290"/>
      <c r="P199" s="290"/>
      <c r="Q199" s="290"/>
      <c r="R199" s="288"/>
      <c r="S199" s="289"/>
    </row>
    <row r="200" spans="5:19">
      <c r="E200" s="284"/>
      <c r="K200" s="290"/>
      <c r="L200" s="290"/>
      <c r="M200" s="290"/>
      <c r="N200" s="290"/>
      <c r="O200" s="290"/>
      <c r="P200" s="290"/>
      <c r="Q200" s="290"/>
      <c r="R200" s="288"/>
      <c r="S200" s="289"/>
    </row>
    <row r="201" spans="5:19">
      <c r="E201" s="284"/>
      <c r="K201" s="290"/>
      <c r="L201" s="290"/>
      <c r="M201" s="290"/>
      <c r="N201" s="290"/>
      <c r="O201" s="290"/>
      <c r="P201" s="290"/>
      <c r="Q201" s="290"/>
      <c r="R201" s="288"/>
      <c r="S201" s="289"/>
    </row>
    <row r="202" spans="5:19">
      <c r="E202" s="284"/>
      <c r="K202" s="290"/>
      <c r="L202" s="290"/>
      <c r="M202" s="290"/>
      <c r="N202" s="290"/>
      <c r="O202" s="290"/>
      <c r="P202" s="290"/>
      <c r="Q202" s="290"/>
      <c r="R202" s="288"/>
      <c r="S202" s="289"/>
    </row>
    <row r="203" spans="5:19">
      <c r="E203" s="284"/>
      <c r="K203" s="290"/>
      <c r="L203" s="290"/>
      <c r="M203" s="290"/>
      <c r="N203" s="290"/>
      <c r="O203" s="290"/>
      <c r="P203" s="290"/>
      <c r="Q203" s="290"/>
      <c r="R203" s="288"/>
      <c r="S203" s="289"/>
    </row>
    <row r="204" spans="5:19">
      <c r="E204" s="284"/>
      <c r="K204" s="290"/>
      <c r="L204" s="290"/>
      <c r="M204" s="290"/>
      <c r="N204" s="290"/>
      <c r="O204" s="290"/>
      <c r="P204" s="290"/>
      <c r="Q204" s="290"/>
      <c r="R204" s="288"/>
      <c r="S204" s="289"/>
    </row>
    <row r="205" spans="5:19">
      <c r="E205" s="284"/>
      <c r="K205" s="290"/>
      <c r="L205" s="290"/>
      <c r="M205" s="290"/>
      <c r="N205" s="290"/>
      <c r="O205" s="290"/>
      <c r="P205" s="290"/>
      <c r="Q205" s="290"/>
      <c r="R205" s="288"/>
      <c r="S205" s="289"/>
    </row>
    <row r="206" spans="5:19">
      <c r="E206" s="284"/>
      <c r="K206" s="290"/>
      <c r="L206" s="290"/>
      <c r="M206" s="290"/>
      <c r="N206" s="290"/>
      <c r="O206" s="290"/>
      <c r="P206" s="290"/>
      <c r="Q206" s="290"/>
      <c r="R206" s="288"/>
      <c r="S206" s="289"/>
    </row>
    <row r="207" spans="5:19">
      <c r="E207" s="284"/>
      <c r="K207" s="290"/>
      <c r="L207" s="290"/>
      <c r="M207" s="290"/>
      <c r="N207" s="290"/>
      <c r="O207" s="290"/>
      <c r="P207" s="290"/>
      <c r="Q207" s="290"/>
      <c r="R207" s="288"/>
      <c r="S207" s="289"/>
    </row>
    <row r="208" spans="5:19">
      <c r="E208" s="284"/>
      <c r="K208" s="290"/>
      <c r="L208" s="290"/>
      <c r="M208" s="290"/>
      <c r="N208" s="290"/>
      <c r="O208" s="290"/>
      <c r="P208" s="290"/>
      <c r="Q208" s="290"/>
      <c r="R208" s="288"/>
      <c r="S208" s="289"/>
    </row>
    <row r="209" spans="5:19">
      <c r="E209" s="284"/>
      <c r="K209" s="290"/>
      <c r="L209" s="290"/>
      <c r="M209" s="290"/>
      <c r="N209" s="290"/>
      <c r="O209" s="290"/>
      <c r="P209" s="290"/>
      <c r="Q209" s="290"/>
      <c r="R209" s="288"/>
      <c r="S209" s="289"/>
    </row>
    <row r="210" spans="5:19">
      <c r="E210" s="284"/>
      <c r="K210" s="290"/>
      <c r="L210" s="290"/>
      <c r="M210" s="290"/>
      <c r="N210" s="290"/>
      <c r="O210" s="290"/>
      <c r="P210" s="290"/>
      <c r="Q210" s="290"/>
      <c r="R210" s="288"/>
      <c r="S210" s="289"/>
    </row>
    <row r="211" spans="5:19">
      <c r="E211" s="284"/>
      <c r="K211" s="290"/>
      <c r="L211" s="290"/>
      <c r="M211" s="290"/>
      <c r="N211" s="290"/>
      <c r="O211" s="290"/>
      <c r="P211" s="290"/>
      <c r="Q211" s="290"/>
      <c r="R211" s="288"/>
      <c r="S211" s="289"/>
    </row>
    <row r="212" spans="5:19">
      <c r="E212" s="284"/>
      <c r="K212" s="290"/>
      <c r="L212" s="290"/>
      <c r="M212" s="290"/>
      <c r="N212" s="290"/>
      <c r="O212" s="290"/>
      <c r="P212" s="290"/>
      <c r="Q212" s="290"/>
      <c r="R212" s="288"/>
      <c r="S212" s="289"/>
    </row>
    <row r="213" spans="5:19">
      <c r="E213" s="284"/>
      <c r="K213" s="290"/>
      <c r="L213" s="290"/>
      <c r="M213" s="290"/>
      <c r="N213" s="290"/>
      <c r="O213" s="290"/>
      <c r="P213" s="290"/>
      <c r="Q213" s="290"/>
      <c r="R213" s="288"/>
      <c r="S213" s="289"/>
    </row>
    <row r="214" spans="5:19">
      <c r="E214" s="284"/>
      <c r="K214" s="290"/>
      <c r="L214" s="290"/>
      <c r="M214" s="290"/>
      <c r="N214" s="290"/>
      <c r="O214" s="290"/>
      <c r="P214" s="290"/>
      <c r="Q214" s="290"/>
      <c r="R214" s="288"/>
      <c r="S214" s="289"/>
    </row>
    <row r="215" spans="5:19">
      <c r="E215" s="284"/>
      <c r="K215" s="290"/>
      <c r="L215" s="290"/>
      <c r="M215" s="290"/>
      <c r="N215" s="290"/>
      <c r="O215" s="290"/>
      <c r="P215" s="290"/>
      <c r="Q215" s="290"/>
      <c r="R215" s="288"/>
      <c r="S215" s="289"/>
    </row>
    <row r="216" spans="5:19">
      <c r="E216" s="284"/>
      <c r="K216" s="290"/>
      <c r="L216" s="290"/>
      <c r="M216" s="290"/>
      <c r="N216" s="290"/>
      <c r="O216" s="290"/>
      <c r="P216" s="290"/>
      <c r="Q216" s="290"/>
      <c r="R216" s="288"/>
      <c r="S216" s="289"/>
    </row>
    <row r="217" spans="5:19">
      <c r="E217" s="284"/>
      <c r="K217" s="290"/>
      <c r="L217" s="290"/>
      <c r="M217" s="290"/>
      <c r="N217" s="290"/>
      <c r="O217" s="290"/>
      <c r="P217" s="290"/>
      <c r="Q217" s="290"/>
      <c r="R217" s="288"/>
      <c r="S217" s="289"/>
    </row>
    <row r="218" spans="5:19">
      <c r="E218" s="284"/>
      <c r="K218" s="290"/>
      <c r="L218" s="290"/>
      <c r="M218" s="290"/>
      <c r="N218" s="290"/>
      <c r="O218" s="290"/>
      <c r="P218" s="290"/>
      <c r="Q218" s="290"/>
      <c r="R218" s="288"/>
      <c r="S218" s="289"/>
    </row>
    <row r="219" spans="5:19">
      <c r="E219" s="284"/>
      <c r="K219" s="290"/>
      <c r="L219" s="290"/>
      <c r="M219" s="290"/>
      <c r="N219" s="290"/>
      <c r="O219" s="290"/>
      <c r="P219" s="290"/>
      <c r="Q219" s="290"/>
      <c r="R219" s="288"/>
      <c r="S219" s="289"/>
    </row>
    <row r="220" spans="5:19">
      <c r="E220" s="284"/>
      <c r="K220" s="290"/>
      <c r="L220" s="290"/>
      <c r="M220" s="290"/>
      <c r="N220" s="290"/>
      <c r="O220" s="290"/>
      <c r="P220" s="290"/>
      <c r="Q220" s="290"/>
      <c r="R220" s="288"/>
      <c r="S220" s="289"/>
    </row>
    <row r="221" spans="5:19">
      <c r="E221" s="284"/>
      <c r="K221" s="290"/>
      <c r="L221" s="290"/>
      <c r="M221" s="290"/>
      <c r="N221" s="290"/>
      <c r="O221" s="290"/>
      <c r="P221" s="290"/>
      <c r="Q221" s="290"/>
      <c r="R221" s="288"/>
      <c r="S221" s="289"/>
    </row>
    <row r="222" spans="5:19">
      <c r="E222" s="284"/>
      <c r="K222" s="290"/>
      <c r="L222" s="290"/>
      <c r="M222" s="290"/>
      <c r="N222" s="290"/>
      <c r="O222" s="290"/>
      <c r="P222" s="290"/>
      <c r="Q222" s="290"/>
      <c r="R222" s="288"/>
      <c r="S222" s="289"/>
    </row>
    <row r="223" spans="5:19">
      <c r="E223" s="284"/>
      <c r="K223" s="290"/>
      <c r="L223" s="290"/>
      <c r="M223" s="290"/>
      <c r="N223" s="290"/>
      <c r="O223" s="290"/>
      <c r="P223" s="290"/>
      <c r="Q223" s="290"/>
      <c r="R223" s="288"/>
      <c r="S223" s="289"/>
    </row>
    <row r="224" spans="5:19">
      <c r="E224" s="284"/>
      <c r="K224" s="290"/>
      <c r="L224" s="290"/>
      <c r="M224" s="290"/>
      <c r="N224" s="290"/>
      <c r="O224" s="290"/>
      <c r="P224" s="290"/>
      <c r="Q224" s="290"/>
      <c r="R224" s="288"/>
      <c r="S224" s="289"/>
    </row>
    <row r="225" spans="5:19">
      <c r="E225" s="284"/>
      <c r="K225" s="290"/>
      <c r="L225" s="290"/>
      <c r="M225" s="290"/>
      <c r="N225" s="290"/>
      <c r="O225" s="290"/>
      <c r="P225" s="290"/>
      <c r="Q225" s="290"/>
      <c r="R225" s="288"/>
      <c r="S225" s="289"/>
    </row>
    <row r="226" spans="5:19">
      <c r="E226" s="284"/>
      <c r="K226" s="290"/>
      <c r="L226" s="290"/>
      <c r="M226" s="290"/>
      <c r="N226" s="290"/>
      <c r="O226" s="290"/>
      <c r="P226" s="290"/>
      <c r="Q226" s="290"/>
      <c r="R226" s="288"/>
      <c r="S226" s="289"/>
    </row>
    <row r="227" spans="5:19">
      <c r="E227" s="284"/>
      <c r="K227" s="290"/>
      <c r="L227" s="290"/>
      <c r="M227" s="290"/>
      <c r="N227" s="290"/>
      <c r="O227" s="290"/>
      <c r="P227" s="290"/>
      <c r="Q227" s="290"/>
      <c r="R227" s="288"/>
      <c r="S227" s="289"/>
    </row>
    <row r="228" spans="5:19">
      <c r="E228" s="284"/>
      <c r="K228" s="290"/>
      <c r="L228" s="290"/>
      <c r="M228" s="290"/>
      <c r="N228" s="290"/>
      <c r="O228" s="290"/>
      <c r="P228" s="290"/>
      <c r="Q228" s="290"/>
      <c r="R228" s="288"/>
      <c r="S228" s="289"/>
    </row>
    <row r="229" spans="5:19">
      <c r="E229" s="284"/>
      <c r="K229" s="290"/>
      <c r="L229" s="290"/>
      <c r="M229" s="290"/>
      <c r="N229" s="290"/>
      <c r="O229" s="290"/>
      <c r="P229" s="290"/>
      <c r="Q229" s="290"/>
      <c r="R229" s="288"/>
      <c r="S229" s="289"/>
    </row>
    <row r="230" spans="5:19">
      <c r="E230" s="284"/>
      <c r="K230" s="290"/>
      <c r="L230" s="290"/>
      <c r="M230" s="290"/>
      <c r="N230" s="290"/>
      <c r="O230" s="290"/>
      <c r="P230" s="290"/>
      <c r="Q230" s="290"/>
      <c r="R230" s="288"/>
      <c r="S230" s="289"/>
    </row>
    <row r="231" spans="5:19">
      <c r="E231" s="284"/>
      <c r="K231" s="290"/>
      <c r="L231" s="290"/>
      <c r="M231" s="290"/>
      <c r="N231" s="290"/>
      <c r="O231" s="290"/>
      <c r="P231" s="290"/>
      <c r="Q231" s="290"/>
      <c r="R231" s="288"/>
      <c r="S231" s="289"/>
    </row>
    <row r="232" spans="5:19">
      <c r="E232" s="284"/>
      <c r="K232" s="290"/>
      <c r="L232" s="290"/>
      <c r="M232" s="290"/>
      <c r="N232" s="290"/>
      <c r="O232" s="290"/>
      <c r="P232" s="290"/>
      <c r="Q232" s="290"/>
      <c r="R232" s="288"/>
      <c r="S232" s="289"/>
    </row>
    <row r="233" spans="5:19">
      <c r="E233" s="284"/>
      <c r="K233" s="290"/>
      <c r="L233" s="290"/>
      <c r="M233" s="290"/>
      <c r="N233" s="290"/>
      <c r="O233" s="290"/>
      <c r="P233" s="290"/>
      <c r="Q233" s="290"/>
      <c r="R233" s="288"/>
      <c r="S233" s="289"/>
    </row>
    <row r="234" spans="5:19">
      <c r="E234" s="284"/>
      <c r="K234" s="290"/>
      <c r="L234" s="290"/>
      <c r="M234" s="290"/>
      <c r="N234" s="290"/>
      <c r="O234" s="290"/>
      <c r="P234" s="290"/>
      <c r="Q234" s="290"/>
      <c r="R234" s="288"/>
      <c r="S234" s="289"/>
    </row>
    <row r="235" spans="5:19">
      <c r="E235" s="284"/>
      <c r="K235" s="290"/>
      <c r="L235" s="290"/>
      <c r="M235" s="290"/>
      <c r="N235" s="290"/>
      <c r="O235" s="290"/>
      <c r="P235" s="290"/>
      <c r="Q235" s="290"/>
      <c r="R235" s="288"/>
      <c r="S235" s="289"/>
    </row>
    <row r="236" spans="5:19">
      <c r="E236" s="284"/>
      <c r="K236" s="290"/>
      <c r="L236" s="290"/>
      <c r="M236" s="290"/>
      <c r="N236" s="290"/>
      <c r="O236" s="290"/>
      <c r="P236" s="290"/>
      <c r="Q236" s="290"/>
      <c r="R236" s="288"/>
      <c r="S236" s="289"/>
    </row>
    <row r="237" spans="5:19">
      <c r="E237" s="284"/>
      <c r="K237" s="290"/>
      <c r="L237" s="290"/>
      <c r="M237" s="290"/>
      <c r="N237" s="290"/>
      <c r="O237" s="290"/>
      <c r="P237" s="290"/>
      <c r="Q237" s="290"/>
      <c r="R237" s="288"/>
      <c r="S237" s="289"/>
    </row>
    <row r="238" spans="5:19">
      <c r="E238" s="284"/>
      <c r="K238" s="290"/>
      <c r="L238" s="290"/>
      <c r="M238" s="290"/>
      <c r="N238" s="290"/>
      <c r="O238" s="290"/>
      <c r="P238" s="290"/>
      <c r="Q238" s="290"/>
      <c r="R238" s="288"/>
      <c r="S238" s="289"/>
    </row>
    <row r="239" spans="5:19">
      <c r="E239" s="284"/>
      <c r="K239" s="290"/>
      <c r="L239" s="290"/>
      <c r="M239" s="290"/>
      <c r="N239" s="290"/>
      <c r="O239" s="290"/>
      <c r="P239" s="290"/>
      <c r="Q239" s="290"/>
      <c r="R239" s="288"/>
      <c r="S239" s="289"/>
    </row>
    <row r="240" spans="5:19">
      <c r="E240" s="284"/>
      <c r="K240" s="290"/>
      <c r="L240" s="290"/>
      <c r="M240" s="290"/>
      <c r="N240" s="290"/>
      <c r="O240" s="290"/>
      <c r="P240" s="290"/>
      <c r="Q240" s="290"/>
      <c r="R240" s="288"/>
      <c r="S240" s="289"/>
    </row>
    <row r="241" spans="5:19">
      <c r="E241" s="284"/>
      <c r="K241" s="290"/>
      <c r="L241" s="290"/>
      <c r="M241" s="290"/>
      <c r="N241" s="290"/>
      <c r="O241" s="290"/>
      <c r="P241" s="290"/>
      <c r="Q241" s="290"/>
      <c r="R241" s="288"/>
      <c r="S241" s="289"/>
    </row>
    <row r="242" spans="5:19">
      <c r="E242" s="284"/>
      <c r="K242" s="290"/>
      <c r="L242" s="290"/>
      <c r="M242" s="290"/>
      <c r="N242" s="290"/>
      <c r="O242" s="290"/>
      <c r="P242" s="290"/>
      <c r="Q242" s="290"/>
      <c r="R242" s="288"/>
      <c r="S242" s="289"/>
    </row>
    <row r="243" spans="5:19">
      <c r="E243" s="284"/>
      <c r="K243" s="290"/>
      <c r="L243" s="290"/>
      <c r="M243" s="290"/>
      <c r="N243" s="290"/>
      <c r="O243" s="290"/>
      <c r="P243" s="290"/>
      <c r="Q243" s="290"/>
      <c r="R243" s="288"/>
      <c r="S243" s="289"/>
    </row>
    <row r="244" spans="5:19">
      <c r="E244" s="284"/>
      <c r="K244" s="290"/>
      <c r="L244" s="290"/>
      <c r="M244" s="290"/>
      <c r="N244" s="290"/>
      <c r="O244" s="290"/>
      <c r="P244" s="290"/>
      <c r="Q244" s="290"/>
      <c r="R244" s="288"/>
      <c r="S244" s="289"/>
    </row>
    <row r="245" spans="5:19">
      <c r="E245" s="284"/>
      <c r="K245" s="290"/>
      <c r="L245" s="290"/>
      <c r="M245" s="290"/>
      <c r="N245" s="290"/>
      <c r="O245" s="290"/>
      <c r="P245" s="290"/>
      <c r="Q245" s="290"/>
      <c r="R245" s="288"/>
      <c r="S245" s="289"/>
    </row>
    <row r="246" spans="5:19">
      <c r="E246" s="284"/>
      <c r="K246" s="290"/>
      <c r="L246" s="290"/>
      <c r="M246" s="290"/>
      <c r="N246" s="290"/>
      <c r="O246" s="290"/>
      <c r="P246" s="290"/>
      <c r="Q246" s="290"/>
      <c r="R246" s="288"/>
      <c r="S246" s="289"/>
    </row>
    <row r="247" spans="5:19">
      <c r="E247" s="284"/>
      <c r="K247" s="290"/>
      <c r="L247" s="290"/>
      <c r="M247" s="290"/>
      <c r="N247" s="290"/>
      <c r="O247" s="290"/>
      <c r="P247" s="290"/>
      <c r="Q247" s="290"/>
      <c r="R247" s="288"/>
      <c r="S247" s="289"/>
    </row>
    <row r="248" spans="5:19">
      <c r="E248" s="284"/>
      <c r="K248" s="290"/>
      <c r="L248" s="290"/>
      <c r="M248" s="290"/>
      <c r="N248" s="290"/>
      <c r="O248" s="290"/>
      <c r="P248" s="290"/>
      <c r="Q248" s="290"/>
      <c r="R248" s="288"/>
      <c r="S248" s="289"/>
    </row>
    <row r="249" spans="5:19">
      <c r="E249" s="284"/>
      <c r="K249" s="290"/>
      <c r="L249" s="290"/>
      <c r="M249" s="290"/>
      <c r="N249" s="290"/>
      <c r="O249" s="290"/>
      <c r="P249" s="290"/>
      <c r="Q249" s="290"/>
      <c r="R249" s="288"/>
      <c r="S249" s="289"/>
    </row>
    <row r="250" spans="5:19">
      <c r="E250" s="284"/>
      <c r="K250" s="290"/>
      <c r="L250" s="290"/>
      <c r="M250" s="290"/>
      <c r="N250" s="290"/>
      <c r="O250" s="290"/>
      <c r="P250" s="290"/>
      <c r="Q250" s="290"/>
      <c r="R250" s="288"/>
      <c r="S250" s="289"/>
    </row>
    <row r="251" spans="5:19">
      <c r="E251" s="284"/>
      <c r="K251" s="290"/>
      <c r="L251" s="290"/>
      <c r="M251" s="290"/>
      <c r="N251" s="290"/>
      <c r="O251" s="290"/>
      <c r="P251" s="290"/>
      <c r="Q251" s="290"/>
      <c r="R251" s="288"/>
      <c r="S251" s="289"/>
    </row>
    <row r="252" spans="5:19">
      <c r="E252" s="284"/>
      <c r="K252" s="290"/>
      <c r="L252" s="290"/>
      <c r="M252" s="290"/>
      <c r="N252" s="290"/>
      <c r="O252" s="290"/>
      <c r="P252" s="290"/>
      <c r="Q252" s="290"/>
      <c r="R252" s="288"/>
      <c r="S252" s="289"/>
    </row>
    <row r="253" spans="5:19">
      <c r="E253" s="284"/>
      <c r="K253" s="290"/>
      <c r="L253" s="290"/>
      <c r="M253" s="290"/>
      <c r="N253" s="290"/>
      <c r="O253" s="290"/>
      <c r="P253" s="290"/>
      <c r="Q253" s="290"/>
      <c r="R253" s="288"/>
      <c r="S253" s="289"/>
    </row>
    <row r="254" spans="5:19">
      <c r="E254" s="284"/>
      <c r="K254" s="290"/>
      <c r="L254" s="290"/>
      <c r="M254" s="290"/>
      <c r="N254" s="290"/>
      <c r="O254" s="290"/>
      <c r="P254" s="290"/>
      <c r="Q254" s="290"/>
      <c r="R254" s="288"/>
      <c r="S254" s="289"/>
    </row>
    <row r="255" spans="5:19">
      <c r="E255" s="284"/>
      <c r="K255" s="290"/>
      <c r="L255" s="290"/>
      <c r="M255" s="290"/>
      <c r="N255" s="290"/>
      <c r="O255" s="290"/>
      <c r="P255" s="290"/>
      <c r="Q255" s="290"/>
      <c r="R255" s="288"/>
      <c r="S255" s="289"/>
    </row>
    <row r="256" spans="5:19">
      <c r="E256" s="284"/>
      <c r="K256" s="290"/>
      <c r="L256" s="290"/>
      <c r="M256" s="290"/>
      <c r="N256" s="290"/>
      <c r="O256" s="290"/>
      <c r="P256" s="290"/>
      <c r="Q256" s="290"/>
      <c r="R256" s="288"/>
      <c r="S256" s="289"/>
    </row>
    <row r="257" spans="5:19">
      <c r="E257" s="284"/>
      <c r="K257" s="290"/>
      <c r="L257" s="290"/>
      <c r="M257" s="290"/>
      <c r="N257" s="290"/>
      <c r="O257" s="290"/>
      <c r="P257" s="290"/>
      <c r="Q257" s="290"/>
      <c r="R257" s="288"/>
      <c r="S257" s="289"/>
    </row>
    <row r="258" spans="5:19">
      <c r="E258" s="284"/>
      <c r="K258" s="290"/>
      <c r="L258" s="290"/>
      <c r="M258" s="290"/>
      <c r="N258" s="290"/>
      <c r="O258" s="290"/>
      <c r="P258" s="290"/>
      <c r="Q258" s="290"/>
      <c r="R258" s="288"/>
      <c r="S258" s="289"/>
    </row>
    <row r="259" spans="5:19">
      <c r="E259" s="284"/>
      <c r="K259" s="290"/>
      <c r="L259" s="290"/>
      <c r="M259" s="290"/>
      <c r="N259" s="290"/>
      <c r="O259" s="290"/>
      <c r="P259" s="290"/>
      <c r="Q259" s="290"/>
      <c r="R259" s="288"/>
      <c r="S259" s="289"/>
    </row>
    <row r="260" spans="5:19">
      <c r="E260" s="284"/>
      <c r="K260" s="290"/>
      <c r="L260" s="290"/>
      <c r="M260" s="290"/>
      <c r="N260" s="290"/>
      <c r="O260" s="290"/>
      <c r="P260" s="290"/>
      <c r="Q260" s="290"/>
      <c r="R260" s="288"/>
      <c r="S260" s="289"/>
    </row>
    <row r="261" spans="5:19">
      <c r="E261" s="284"/>
      <c r="K261" s="290"/>
      <c r="L261" s="290"/>
      <c r="M261" s="290"/>
      <c r="N261" s="290"/>
      <c r="O261" s="290"/>
      <c r="P261" s="290"/>
      <c r="Q261" s="290"/>
      <c r="R261" s="288"/>
      <c r="S261" s="289"/>
    </row>
    <row r="262" spans="5:19">
      <c r="E262" s="284"/>
      <c r="K262" s="290"/>
      <c r="L262" s="290"/>
      <c r="M262" s="290"/>
      <c r="N262" s="290"/>
      <c r="O262" s="290"/>
      <c r="P262" s="290"/>
      <c r="Q262" s="290"/>
      <c r="R262" s="288"/>
      <c r="S262" s="289"/>
    </row>
    <row r="263" spans="5:19">
      <c r="E263" s="284"/>
      <c r="K263" s="290"/>
      <c r="L263" s="290"/>
      <c r="M263" s="290"/>
      <c r="N263" s="290"/>
      <c r="O263" s="290"/>
      <c r="P263" s="290"/>
      <c r="Q263" s="290"/>
      <c r="R263" s="288"/>
      <c r="S263" s="289"/>
    </row>
    <row r="264" spans="5:19">
      <c r="E264" s="284"/>
      <c r="K264" s="290"/>
      <c r="L264" s="290"/>
      <c r="M264" s="290"/>
      <c r="N264" s="290"/>
      <c r="O264" s="290"/>
      <c r="P264" s="290"/>
      <c r="Q264" s="290"/>
      <c r="R264" s="288"/>
      <c r="S264" s="289"/>
    </row>
    <row r="265" spans="5:19">
      <c r="E265" s="284"/>
      <c r="K265" s="290"/>
      <c r="L265" s="290"/>
      <c r="M265" s="290"/>
      <c r="N265" s="290"/>
      <c r="O265" s="290"/>
      <c r="P265" s="290"/>
      <c r="Q265" s="290"/>
      <c r="R265" s="288"/>
      <c r="S265" s="289"/>
    </row>
    <row r="266" spans="5:19">
      <c r="E266" s="284"/>
      <c r="K266" s="290"/>
      <c r="L266" s="290"/>
      <c r="M266" s="290"/>
      <c r="N266" s="290"/>
      <c r="O266" s="290"/>
      <c r="P266" s="290"/>
      <c r="Q266" s="290"/>
      <c r="R266" s="288"/>
      <c r="S266" s="289"/>
    </row>
    <row r="267" spans="5:19">
      <c r="E267" s="284"/>
      <c r="K267" s="290"/>
      <c r="L267" s="290"/>
      <c r="M267" s="290"/>
      <c r="N267" s="290"/>
      <c r="O267" s="290"/>
      <c r="P267" s="290"/>
      <c r="Q267" s="290"/>
      <c r="R267" s="288"/>
      <c r="S267" s="289"/>
    </row>
    <row r="268" spans="5:19">
      <c r="E268" s="284"/>
      <c r="K268" s="290"/>
      <c r="L268" s="290"/>
      <c r="M268" s="290"/>
      <c r="N268" s="290"/>
      <c r="O268" s="290"/>
      <c r="P268" s="290"/>
      <c r="Q268" s="290"/>
      <c r="R268" s="288"/>
      <c r="S268" s="289"/>
    </row>
    <row r="269" spans="5:19">
      <c r="E269" s="284"/>
      <c r="K269" s="290"/>
      <c r="L269" s="290"/>
      <c r="M269" s="290"/>
      <c r="N269" s="290"/>
      <c r="O269" s="290"/>
      <c r="P269" s="290"/>
      <c r="Q269" s="290"/>
      <c r="R269" s="288"/>
      <c r="S269" s="289"/>
    </row>
    <row r="270" spans="5:19">
      <c r="E270" s="284"/>
      <c r="K270" s="290"/>
      <c r="L270" s="290"/>
      <c r="M270" s="290"/>
      <c r="N270" s="290"/>
      <c r="O270" s="290"/>
      <c r="P270" s="290"/>
      <c r="Q270" s="290"/>
      <c r="R270" s="288"/>
      <c r="S270" s="289"/>
    </row>
    <row r="271" spans="5:19">
      <c r="E271" s="284"/>
      <c r="K271" s="290"/>
      <c r="L271" s="290"/>
      <c r="M271" s="290"/>
      <c r="N271" s="290"/>
      <c r="O271" s="290"/>
      <c r="P271" s="290"/>
      <c r="Q271" s="290"/>
      <c r="R271" s="288"/>
      <c r="S271" s="289"/>
    </row>
    <row r="272" spans="5:19">
      <c r="E272" s="284"/>
      <c r="K272" s="290"/>
      <c r="L272" s="290"/>
      <c r="M272" s="290"/>
      <c r="N272" s="290"/>
      <c r="O272" s="290"/>
      <c r="P272" s="290"/>
      <c r="Q272" s="290"/>
      <c r="R272" s="288"/>
      <c r="S272" s="289"/>
    </row>
    <row r="273" spans="5:19">
      <c r="E273" s="284"/>
      <c r="K273" s="290"/>
      <c r="L273" s="290"/>
      <c r="M273" s="290"/>
      <c r="N273" s="290"/>
      <c r="O273" s="290"/>
      <c r="P273" s="290"/>
      <c r="Q273" s="290"/>
      <c r="R273" s="288"/>
      <c r="S273" s="289"/>
    </row>
    <row r="274" spans="5:19">
      <c r="E274" s="284"/>
      <c r="K274" s="290"/>
      <c r="L274" s="290"/>
      <c r="M274" s="290"/>
      <c r="N274" s="290"/>
      <c r="O274" s="290"/>
      <c r="P274" s="290"/>
      <c r="Q274" s="290"/>
      <c r="R274" s="288"/>
      <c r="S274" s="289"/>
    </row>
    <row r="275" spans="5:19">
      <c r="E275" s="284"/>
      <c r="K275" s="290"/>
      <c r="L275" s="290"/>
      <c r="M275" s="290"/>
      <c r="N275" s="290"/>
      <c r="O275" s="290"/>
      <c r="P275" s="290"/>
      <c r="Q275" s="290"/>
      <c r="R275" s="288"/>
      <c r="S275" s="289"/>
    </row>
    <row r="276" spans="5:19">
      <c r="E276" s="284"/>
      <c r="K276" s="290"/>
      <c r="L276" s="290"/>
      <c r="M276" s="290"/>
      <c r="N276" s="290"/>
      <c r="O276" s="290"/>
      <c r="P276" s="290"/>
      <c r="Q276" s="290"/>
      <c r="R276" s="288"/>
      <c r="S276" s="289"/>
    </row>
    <row r="277" spans="5:19">
      <c r="E277" s="284"/>
      <c r="K277" s="290"/>
      <c r="L277" s="290"/>
      <c r="M277" s="290"/>
      <c r="N277" s="290"/>
      <c r="O277" s="290"/>
      <c r="P277" s="290"/>
      <c r="Q277" s="290"/>
      <c r="R277" s="288"/>
      <c r="S277" s="289"/>
    </row>
    <row r="278" spans="5:19">
      <c r="E278" s="284"/>
      <c r="K278" s="290"/>
      <c r="L278" s="290"/>
      <c r="M278" s="290"/>
      <c r="N278" s="290"/>
      <c r="O278" s="290"/>
      <c r="P278" s="290"/>
      <c r="Q278" s="290"/>
      <c r="R278" s="288"/>
      <c r="S278" s="289"/>
    </row>
    <row r="279" spans="5:19">
      <c r="E279" s="284"/>
      <c r="K279" s="290"/>
      <c r="L279" s="290"/>
      <c r="M279" s="290"/>
      <c r="N279" s="290"/>
      <c r="O279" s="290"/>
      <c r="P279" s="290"/>
      <c r="Q279" s="290"/>
      <c r="R279" s="288"/>
      <c r="S279" s="289"/>
    </row>
    <row r="280" spans="5:19">
      <c r="E280" s="284"/>
      <c r="K280" s="290"/>
      <c r="L280" s="290"/>
      <c r="M280" s="290"/>
      <c r="N280" s="290"/>
      <c r="O280" s="290"/>
      <c r="P280" s="290"/>
      <c r="Q280" s="290"/>
      <c r="R280" s="288"/>
      <c r="S280" s="289"/>
    </row>
    <row r="281" spans="5:19">
      <c r="E281" s="284"/>
      <c r="K281" s="290"/>
      <c r="L281" s="290"/>
      <c r="M281" s="290"/>
      <c r="N281" s="290"/>
      <c r="O281" s="290"/>
      <c r="P281" s="290"/>
      <c r="Q281" s="290"/>
      <c r="R281" s="288"/>
      <c r="S281" s="289"/>
    </row>
    <row r="282" spans="5:19">
      <c r="E282" s="284"/>
      <c r="K282" s="290"/>
      <c r="L282" s="290"/>
      <c r="M282" s="290"/>
      <c r="N282" s="290"/>
      <c r="O282" s="290"/>
      <c r="P282" s="290"/>
      <c r="Q282" s="290"/>
      <c r="R282" s="288"/>
      <c r="S282" s="289"/>
    </row>
    <row r="283" spans="5:19">
      <c r="E283" s="284"/>
      <c r="K283" s="290"/>
      <c r="L283" s="290"/>
      <c r="M283" s="290"/>
      <c r="N283" s="290"/>
      <c r="O283" s="290"/>
      <c r="P283" s="290"/>
      <c r="Q283" s="290"/>
      <c r="R283" s="288"/>
      <c r="S283" s="289"/>
    </row>
    <row r="284" spans="5:19">
      <c r="E284" s="284"/>
      <c r="K284" s="290"/>
      <c r="L284" s="290"/>
      <c r="M284" s="290"/>
      <c r="N284" s="290"/>
      <c r="O284" s="290"/>
      <c r="P284" s="290"/>
      <c r="Q284" s="290"/>
      <c r="R284" s="288"/>
      <c r="S284" s="289"/>
    </row>
    <row r="285" spans="5:19">
      <c r="E285" s="284"/>
      <c r="K285" s="290"/>
      <c r="L285" s="290"/>
      <c r="M285" s="290"/>
      <c r="N285" s="290"/>
      <c r="O285" s="290"/>
      <c r="P285" s="290"/>
      <c r="Q285" s="290"/>
      <c r="R285" s="288"/>
      <c r="S285" s="289"/>
    </row>
    <row r="286" spans="5:19">
      <c r="E286" s="284"/>
      <c r="K286" s="290"/>
      <c r="L286" s="290"/>
      <c r="M286" s="290"/>
      <c r="N286" s="290"/>
      <c r="O286" s="290"/>
      <c r="P286" s="290"/>
      <c r="Q286" s="290"/>
      <c r="R286" s="288"/>
      <c r="S286" s="289"/>
    </row>
    <row r="287" spans="5:19">
      <c r="E287" s="284"/>
      <c r="K287" s="290"/>
      <c r="L287" s="290"/>
      <c r="M287" s="290"/>
      <c r="N287" s="290"/>
      <c r="O287" s="290"/>
      <c r="P287" s="290"/>
      <c r="Q287" s="290"/>
      <c r="R287" s="288"/>
      <c r="S287" s="289"/>
    </row>
    <row r="288" spans="5:19">
      <c r="E288" s="284"/>
      <c r="K288" s="290"/>
      <c r="L288" s="290"/>
      <c r="M288" s="290"/>
      <c r="N288" s="290"/>
      <c r="O288" s="290"/>
      <c r="P288" s="290"/>
      <c r="Q288" s="290"/>
      <c r="R288" s="288"/>
      <c r="S288" s="289"/>
    </row>
    <row r="289" spans="5:19">
      <c r="E289" s="284"/>
      <c r="K289" s="290"/>
      <c r="L289" s="290"/>
      <c r="M289" s="290"/>
      <c r="N289" s="290"/>
      <c r="O289" s="290"/>
      <c r="P289" s="290"/>
      <c r="Q289" s="290"/>
      <c r="R289" s="288"/>
      <c r="S289" s="289"/>
    </row>
    <row r="290" spans="5:19">
      <c r="E290" s="284"/>
      <c r="K290" s="290"/>
      <c r="L290" s="290"/>
      <c r="M290" s="290"/>
      <c r="N290" s="290"/>
      <c r="O290" s="290"/>
      <c r="P290" s="290"/>
      <c r="Q290" s="290"/>
      <c r="R290" s="288"/>
      <c r="S290" s="289"/>
    </row>
    <row r="291" spans="5:19">
      <c r="E291" s="284"/>
      <c r="K291" s="290"/>
      <c r="L291" s="290"/>
      <c r="M291" s="290"/>
      <c r="N291" s="290"/>
      <c r="O291" s="290"/>
      <c r="P291" s="290"/>
      <c r="Q291" s="290"/>
      <c r="R291" s="288"/>
      <c r="S291" s="289"/>
    </row>
    <row r="292" spans="5:19">
      <c r="E292" s="284"/>
      <c r="K292" s="290"/>
      <c r="L292" s="290"/>
      <c r="M292" s="290"/>
      <c r="N292" s="290"/>
      <c r="O292" s="290"/>
      <c r="P292" s="290"/>
      <c r="Q292" s="290"/>
      <c r="R292" s="288"/>
      <c r="S292" s="289"/>
    </row>
    <row r="293" spans="5:19">
      <c r="E293" s="284"/>
      <c r="K293" s="290"/>
      <c r="L293" s="290"/>
      <c r="M293" s="290"/>
      <c r="N293" s="290"/>
      <c r="O293" s="290"/>
      <c r="P293" s="290"/>
      <c r="Q293" s="290"/>
      <c r="R293" s="288"/>
      <c r="S293" s="289"/>
    </row>
    <row r="294" spans="5:19">
      <c r="E294" s="284"/>
      <c r="K294" s="290"/>
      <c r="L294" s="290"/>
      <c r="M294" s="290"/>
      <c r="N294" s="290"/>
      <c r="O294" s="290"/>
      <c r="P294" s="290"/>
      <c r="Q294" s="290"/>
      <c r="R294" s="288"/>
      <c r="S294" s="289"/>
    </row>
    <row r="295" spans="5:19">
      <c r="E295" s="284"/>
      <c r="K295" s="290"/>
      <c r="L295" s="290"/>
      <c r="M295" s="290"/>
      <c r="N295" s="290"/>
      <c r="O295" s="290"/>
      <c r="P295" s="290"/>
      <c r="Q295" s="290"/>
      <c r="R295" s="288"/>
      <c r="S295" s="289"/>
    </row>
    <row r="296" spans="5:19">
      <c r="E296" s="284"/>
      <c r="K296" s="290"/>
      <c r="L296" s="290"/>
      <c r="M296" s="290"/>
      <c r="N296" s="290"/>
      <c r="O296" s="290"/>
      <c r="P296" s="290"/>
      <c r="Q296" s="290"/>
      <c r="R296" s="288"/>
      <c r="S296" s="289"/>
    </row>
    <row r="297" spans="5:19">
      <c r="E297" s="284"/>
      <c r="K297" s="290"/>
      <c r="L297" s="290"/>
      <c r="M297" s="290"/>
      <c r="N297" s="290"/>
      <c r="O297" s="290"/>
      <c r="P297" s="290"/>
      <c r="Q297" s="290"/>
      <c r="R297" s="288"/>
      <c r="S297" s="289"/>
    </row>
    <row r="298" spans="5:19">
      <c r="E298" s="284"/>
      <c r="K298" s="290"/>
      <c r="L298" s="290"/>
      <c r="M298" s="290"/>
      <c r="N298" s="290"/>
      <c r="O298" s="290"/>
      <c r="P298" s="290"/>
      <c r="Q298" s="290"/>
      <c r="R298" s="288"/>
      <c r="S298" s="289"/>
    </row>
    <row r="299" spans="5:19">
      <c r="E299" s="284"/>
      <c r="K299" s="290"/>
      <c r="L299" s="290"/>
      <c r="M299" s="290"/>
      <c r="N299" s="290"/>
      <c r="O299" s="290"/>
      <c r="P299" s="290"/>
      <c r="Q299" s="290"/>
      <c r="R299" s="288"/>
      <c r="S299" s="289"/>
    </row>
    <row r="300" spans="5:19">
      <c r="E300" s="284"/>
      <c r="K300" s="290"/>
      <c r="L300" s="290"/>
      <c r="M300" s="290"/>
      <c r="N300" s="290"/>
      <c r="O300" s="290"/>
      <c r="P300" s="290"/>
      <c r="Q300" s="290"/>
      <c r="R300" s="288"/>
      <c r="S300" s="289"/>
    </row>
    <row r="301" spans="5:19">
      <c r="E301" s="284"/>
      <c r="K301" s="290"/>
      <c r="L301" s="290"/>
      <c r="M301" s="290"/>
      <c r="N301" s="290"/>
      <c r="O301" s="290"/>
      <c r="P301" s="290"/>
      <c r="Q301" s="290"/>
      <c r="R301" s="288"/>
      <c r="S301" s="289"/>
    </row>
    <row r="302" spans="5:19">
      <c r="E302" s="284"/>
      <c r="K302" s="290"/>
      <c r="L302" s="290"/>
      <c r="M302" s="290"/>
      <c r="N302" s="290"/>
      <c r="O302" s="290"/>
      <c r="P302" s="290"/>
      <c r="Q302" s="290"/>
      <c r="R302" s="288"/>
      <c r="S302" s="289"/>
    </row>
    <row r="303" spans="5:19">
      <c r="E303" s="284"/>
      <c r="K303" s="290"/>
      <c r="L303" s="290"/>
      <c r="M303" s="290"/>
      <c r="N303" s="290"/>
      <c r="O303" s="290"/>
      <c r="P303" s="290"/>
      <c r="Q303" s="290"/>
      <c r="R303" s="288"/>
      <c r="S303" s="289"/>
    </row>
    <row r="304" spans="5:19">
      <c r="E304" s="284"/>
      <c r="K304" s="290"/>
      <c r="L304" s="290"/>
      <c r="M304" s="290"/>
      <c r="N304" s="290"/>
      <c r="O304" s="290"/>
      <c r="P304" s="290"/>
      <c r="Q304" s="290"/>
      <c r="R304" s="288"/>
      <c r="S304" s="289"/>
    </row>
    <row r="305" spans="5:19">
      <c r="E305" s="284"/>
      <c r="K305" s="290"/>
      <c r="L305" s="290"/>
      <c r="M305" s="290"/>
      <c r="N305" s="290"/>
      <c r="O305" s="290"/>
      <c r="P305" s="290"/>
      <c r="Q305" s="290"/>
      <c r="R305" s="288"/>
      <c r="S305" s="289"/>
    </row>
    <row r="306" spans="5:19">
      <c r="E306" s="284"/>
      <c r="K306" s="290"/>
      <c r="L306" s="290"/>
      <c r="M306" s="290"/>
      <c r="N306" s="290"/>
      <c r="O306" s="290"/>
      <c r="P306" s="290"/>
      <c r="Q306" s="290"/>
      <c r="R306" s="288"/>
      <c r="S306" s="289"/>
    </row>
    <row r="307" spans="5:19">
      <c r="E307" s="284"/>
      <c r="K307" s="290"/>
      <c r="L307" s="290"/>
      <c r="M307" s="290"/>
      <c r="N307" s="290"/>
      <c r="O307" s="290"/>
      <c r="P307" s="290"/>
      <c r="Q307" s="290"/>
      <c r="R307" s="288"/>
      <c r="S307" s="289"/>
    </row>
    <row r="308" spans="5:19">
      <c r="E308" s="284"/>
      <c r="K308" s="290"/>
      <c r="L308" s="290"/>
      <c r="M308" s="290"/>
      <c r="N308" s="290"/>
      <c r="O308" s="290"/>
      <c r="P308" s="290"/>
      <c r="Q308" s="290"/>
      <c r="R308" s="288"/>
      <c r="S308" s="289"/>
    </row>
    <row r="309" spans="5:19">
      <c r="E309" s="284"/>
      <c r="K309" s="290"/>
      <c r="L309" s="290"/>
      <c r="M309" s="290"/>
      <c r="N309" s="290"/>
      <c r="O309" s="290"/>
      <c r="P309" s="290"/>
      <c r="Q309" s="290"/>
      <c r="R309" s="288"/>
      <c r="S309" s="289"/>
    </row>
    <row r="310" spans="5:19">
      <c r="E310" s="284"/>
      <c r="K310" s="290"/>
      <c r="L310" s="290"/>
      <c r="M310" s="290"/>
      <c r="N310" s="290"/>
      <c r="O310" s="290"/>
      <c r="P310" s="290"/>
      <c r="Q310" s="290"/>
      <c r="R310" s="288"/>
      <c r="S310" s="289"/>
    </row>
    <row r="311" spans="5:19">
      <c r="E311" s="284"/>
      <c r="K311" s="290"/>
      <c r="L311" s="290"/>
      <c r="M311" s="290"/>
      <c r="N311" s="290"/>
      <c r="O311" s="290"/>
      <c r="P311" s="290"/>
      <c r="Q311" s="290"/>
      <c r="R311" s="288"/>
      <c r="S311" s="289"/>
    </row>
    <row r="312" spans="5:19">
      <c r="E312" s="284"/>
      <c r="K312" s="290"/>
      <c r="L312" s="290"/>
      <c r="M312" s="290"/>
      <c r="N312" s="290"/>
      <c r="O312" s="290"/>
      <c r="P312" s="290"/>
      <c r="Q312" s="290"/>
      <c r="R312" s="288"/>
      <c r="S312" s="289"/>
    </row>
    <row r="313" spans="5:19">
      <c r="E313" s="284"/>
      <c r="K313" s="290"/>
      <c r="L313" s="290"/>
      <c r="M313" s="290"/>
      <c r="N313" s="290"/>
      <c r="O313" s="290"/>
      <c r="P313" s="290"/>
      <c r="Q313" s="290"/>
      <c r="R313" s="288"/>
      <c r="S313" s="289"/>
    </row>
    <row r="314" spans="5:19">
      <c r="E314" s="284"/>
      <c r="K314" s="290"/>
      <c r="L314" s="290"/>
      <c r="M314" s="290"/>
      <c r="N314" s="290"/>
      <c r="O314" s="290"/>
      <c r="P314" s="290"/>
      <c r="Q314" s="290"/>
      <c r="R314" s="288"/>
      <c r="S314" s="289"/>
    </row>
    <row r="315" spans="5:19">
      <c r="E315" s="284"/>
      <c r="K315" s="290"/>
      <c r="L315" s="290"/>
      <c r="M315" s="290"/>
      <c r="N315" s="290"/>
      <c r="O315" s="290"/>
      <c r="P315" s="290"/>
      <c r="Q315" s="290"/>
      <c r="R315" s="288"/>
      <c r="S315" s="289"/>
    </row>
    <row r="316" spans="5:19">
      <c r="E316" s="284"/>
      <c r="K316" s="290"/>
      <c r="L316" s="290"/>
      <c r="M316" s="290"/>
      <c r="N316" s="290"/>
      <c r="O316" s="290"/>
      <c r="P316" s="290"/>
      <c r="Q316" s="290"/>
      <c r="R316" s="288"/>
      <c r="S316" s="289"/>
    </row>
    <row r="317" spans="5:19">
      <c r="E317" s="284"/>
      <c r="K317" s="290"/>
      <c r="L317" s="290"/>
      <c r="M317" s="290"/>
      <c r="N317" s="290"/>
      <c r="O317" s="290"/>
      <c r="P317" s="290"/>
      <c r="Q317" s="290"/>
      <c r="R317" s="288"/>
      <c r="S317" s="289"/>
    </row>
    <row r="318" spans="5:19">
      <c r="E318" s="284"/>
      <c r="K318" s="290"/>
      <c r="L318" s="290"/>
      <c r="M318" s="290"/>
      <c r="N318" s="290"/>
      <c r="O318" s="290"/>
      <c r="P318" s="290"/>
      <c r="Q318" s="290"/>
      <c r="R318" s="288"/>
      <c r="S318" s="289"/>
    </row>
    <row r="319" spans="5:19">
      <c r="E319" s="284"/>
      <c r="K319" s="290"/>
      <c r="L319" s="290"/>
      <c r="M319" s="290"/>
      <c r="N319" s="290"/>
      <c r="O319" s="290"/>
      <c r="P319" s="290"/>
      <c r="Q319" s="290"/>
      <c r="R319" s="288"/>
      <c r="S319" s="289"/>
    </row>
    <row r="320" spans="5:19">
      <c r="E320" s="284"/>
      <c r="K320" s="290"/>
      <c r="L320" s="290"/>
      <c r="M320" s="290"/>
      <c r="N320" s="290"/>
      <c r="O320" s="290"/>
      <c r="P320" s="290"/>
      <c r="Q320" s="290"/>
      <c r="R320" s="288"/>
      <c r="S320" s="289"/>
    </row>
    <row r="321" spans="5:19">
      <c r="E321" s="284"/>
      <c r="K321" s="290"/>
      <c r="L321" s="290"/>
      <c r="M321" s="290"/>
      <c r="N321" s="290"/>
      <c r="O321" s="290"/>
      <c r="P321" s="290"/>
      <c r="Q321" s="290"/>
      <c r="R321" s="288"/>
      <c r="S321" s="289"/>
    </row>
    <row r="322" spans="5:19">
      <c r="E322" s="284"/>
      <c r="K322" s="290"/>
      <c r="L322" s="290"/>
      <c r="M322" s="290"/>
      <c r="N322" s="290"/>
      <c r="O322" s="290"/>
      <c r="P322" s="290"/>
      <c r="Q322" s="290"/>
      <c r="R322" s="288"/>
      <c r="S322" s="289"/>
    </row>
    <row r="323" spans="5:19">
      <c r="E323" s="284"/>
      <c r="K323" s="290"/>
      <c r="L323" s="290"/>
      <c r="M323" s="290"/>
      <c r="N323" s="290"/>
      <c r="O323" s="290"/>
      <c r="P323" s="290"/>
      <c r="Q323" s="290"/>
      <c r="R323" s="288"/>
      <c r="S323" s="289"/>
    </row>
    <row r="324" spans="5:19">
      <c r="E324" s="284"/>
      <c r="K324" s="290"/>
      <c r="L324" s="290"/>
      <c r="M324" s="290"/>
      <c r="N324" s="290"/>
      <c r="O324" s="290"/>
      <c r="P324" s="290"/>
      <c r="Q324" s="290"/>
      <c r="R324" s="288"/>
      <c r="S324" s="289"/>
    </row>
    <row r="325" spans="5:19">
      <c r="E325" s="284"/>
      <c r="K325" s="290"/>
      <c r="L325" s="290"/>
      <c r="M325" s="290"/>
      <c r="N325" s="290"/>
      <c r="O325" s="290"/>
      <c r="P325" s="290"/>
      <c r="Q325" s="290"/>
      <c r="R325" s="288"/>
      <c r="S325" s="289"/>
    </row>
    <row r="326" spans="5:19">
      <c r="E326" s="284"/>
      <c r="K326" s="290"/>
      <c r="L326" s="290"/>
      <c r="M326" s="290"/>
      <c r="N326" s="290"/>
      <c r="O326" s="290"/>
      <c r="P326" s="290"/>
      <c r="Q326" s="290"/>
      <c r="R326" s="288"/>
      <c r="S326" s="289"/>
    </row>
    <row r="327" spans="5:19">
      <c r="E327" s="284"/>
      <c r="K327" s="290"/>
      <c r="L327" s="290"/>
      <c r="M327" s="290"/>
      <c r="N327" s="290"/>
      <c r="O327" s="290"/>
      <c r="P327" s="290"/>
      <c r="Q327" s="290"/>
      <c r="R327" s="288"/>
      <c r="S327" s="289"/>
    </row>
    <row r="328" spans="5:19">
      <c r="E328" s="284"/>
      <c r="K328" s="290"/>
      <c r="L328" s="290"/>
      <c r="M328" s="290"/>
      <c r="N328" s="290"/>
      <c r="O328" s="290"/>
      <c r="P328" s="290"/>
      <c r="Q328" s="290"/>
      <c r="R328" s="288"/>
      <c r="S328" s="289"/>
    </row>
    <row r="329" spans="5:19">
      <c r="E329" s="284"/>
      <c r="K329" s="290"/>
      <c r="L329" s="290"/>
      <c r="M329" s="290"/>
      <c r="N329" s="290"/>
      <c r="O329" s="290"/>
      <c r="P329" s="290"/>
      <c r="Q329" s="290"/>
      <c r="R329" s="288"/>
      <c r="S329" s="289"/>
    </row>
    <row r="330" spans="5:19">
      <c r="E330" s="284"/>
      <c r="K330" s="290"/>
      <c r="L330" s="290"/>
      <c r="M330" s="290"/>
      <c r="N330" s="290"/>
      <c r="O330" s="290"/>
      <c r="P330" s="290"/>
      <c r="Q330" s="290"/>
      <c r="R330" s="288"/>
      <c r="S330" s="289"/>
    </row>
    <row r="331" spans="5:19">
      <c r="E331" s="284"/>
      <c r="K331" s="290"/>
      <c r="L331" s="290"/>
      <c r="M331" s="290"/>
      <c r="N331" s="290"/>
      <c r="O331" s="290"/>
      <c r="P331" s="290"/>
      <c r="Q331" s="290"/>
      <c r="R331" s="288"/>
      <c r="S331" s="289"/>
    </row>
    <row r="332" spans="5:19">
      <c r="E332" s="284"/>
      <c r="K332" s="290"/>
      <c r="L332" s="290"/>
      <c r="M332" s="290"/>
      <c r="N332" s="290"/>
      <c r="O332" s="290"/>
      <c r="P332" s="290"/>
      <c r="Q332" s="290"/>
      <c r="R332" s="288"/>
      <c r="S332" s="289"/>
    </row>
    <row r="333" spans="5:19">
      <c r="E333" s="284"/>
      <c r="K333" s="290"/>
      <c r="L333" s="290"/>
      <c r="M333" s="290"/>
      <c r="N333" s="290"/>
      <c r="O333" s="290"/>
      <c r="P333" s="290"/>
      <c r="Q333" s="290"/>
      <c r="R333" s="288"/>
      <c r="S333" s="289"/>
    </row>
    <row r="334" spans="5:19">
      <c r="E334" s="284"/>
      <c r="K334" s="290"/>
      <c r="L334" s="290"/>
      <c r="M334" s="290"/>
      <c r="N334" s="290"/>
      <c r="O334" s="290"/>
      <c r="P334" s="290"/>
      <c r="Q334" s="290"/>
      <c r="R334" s="288"/>
      <c r="S334" s="289"/>
    </row>
    <row r="335" spans="5:19">
      <c r="E335" s="284"/>
      <c r="K335" s="290"/>
      <c r="L335" s="290"/>
      <c r="M335" s="290"/>
      <c r="N335" s="290"/>
      <c r="O335" s="290"/>
      <c r="P335" s="290"/>
      <c r="Q335" s="290"/>
      <c r="R335" s="288"/>
      <c r="S335" s="289"/>
    </row>
    <row r="336" spans="5:19">
      <c r="E336" s="284"/>
      <c r="K336" s="290"/>
      <c r="L336" s="290"/>
      <c r="M336" s="290"/>
      <c r="N336" s="290"/>
      <c r="O336" s="290"/>
      <c r="P336" s="290"/>
      <c r="Q336" s="290"/>
      <c r="R336" s="288"/>
      <c r="S336" s="289"/>
    </row>
    <row r="337" spans="5:19">
      <c r="E337" s="284"/>
      <c r="K337" s="290"/>
      <c r="L337" s="290"/>
      <c r="M337" s="290"/>
      <c r="N337" s="290"/>
      <c r="O337" s="290"/>
      <c r="P337" s="290"/>
      <c r="Q337" s="290"/>
      <c r="R337" s="288"/>
      <c r="S337" s="289"/>
    </row>
    <row r="338" spans="5:19">
      <c r="E338" s="284"/>
      <c r="K338" s="290"/>
      <c r="L338" s="290"/>
      <c r="M338" s="290"/>
      <c r="N338" s="290"/>
      <c r="O338" s="290"/>
      <c r="P338" s="290"/>
      <c r="Q338" s="290"/>
      <c r="R338" s="288"/>
      <c r="S338" s="289"/>
    </row>
    <row r="339" spans="5:19">
      <c r="E339" s="284"/>
      <c r="K339" s="290"/>
      <c r="L339" s="290"/>
      <c r="M339" s="290"/>
      <c r="N339" s="290"/>
      <c r="O339" s="290"/>
      <c r="P339" s="290"/>
      <c r="Q339" s="290"/>
      <c r="R339" s="288"/>
      <c r="S339" s="289"/>
    </row>
    <row r="340" spans="5:19">
      <c r="E340" s="284"/>
      <c r="K340" s="290"/>
      <c r="L340" s="290"/>
      <c r="M340" s="290"/>
      <c r="N340" s="290"/>
      <c r="O340" s="290"/>
      <c r="P340" s="290"/>
      <c r="Q340" s="290"/>
      <c r="R340" s="288"/>
      <c r="S340" s="289"/>
    </row>
    <row r="341" spans="5:19">
      <c r="E341" s="284"/>
      <c r="K341" s="290"/>
      <c r="L341" s="290"/>
      <c r="M341" s="290"/>
      <c r="N341" s="290"/>
      <c r="O341" s="290"/>
      <c r="P341" s="290"/>
      <c r="Q341" s="290"/>
      <c r="R341" s="288"/>
      <c r="S341" s="289"/>
    </row>
    <row r="342" spans="5:19">
      <c r="E342" s="284"/>
      <c r="K342" s="290"/>
      <c r="L342" s="290"/>
      <c r="M342" s="290"/>
      <c r="N342" s="290"/>
      <c r="O342" s="290"/>
      <c r="P342" s="290"/>
      <c r="Q342" s="290"/>
      <c r="R342" s="288"/>
      <c r="S342" s="289"/>
    </row>
    <row r="343" spans="5:19">
      <c r="E343" s="284"/>
      <c r="K343" s="290"/>
      <c r="L343" s="290"/>
      <c r="M343" s="290"/>
      <c r="N343" s="290"/>
      <c r="O343" s="290"/>
      <c r="P343" s="290"/>
      <c r="Q343" s="290"/>
      <c r="R343" s="288"/>
      <c r="S343" s="289"/>
    </row>
    <row r="344" spans="5:19">
      <c r="E344" s="284"/>
      <c r="K344" s="290"/>
      <c r="L344" s="290"/>
      <c r="M344" s="290"/>
      <c r="N344" s="290"/>
      <c r="O344" s="290"/>
      <c r="P344" s="290"/>
      <c r="Q344" s="290"/>
      <c r="R344" s="288"/>
      <c r="S344" s="289"/>
    </row>
    <row r="345" spans="5:19">
      <c r="E345" s="284"/>
      <c r="K345" s="290"/>
      <c r="L345" s="290"/>
      <c r="M345" s="290"/>
      <c r="N345" s="290"/>
      <c r="O345" s="290"/>
      <c r="P345" s="290"/>
      <c r="Q345" s="290"/>
      <c r="R345" s="288"/>
      <c r="S345" s="289"/>
    </row>
    <row r="346" spans="5:19">
      <c r="E346" s="284"/>
      <c r="K346" s="290"/>
      <c r="L346" s="290"/>
      <c r="M346" s="290"/>
      <c r="N346" s="290"/>
      <c r="O346" s="290"/>
      <c r="P346" s="290"/>
      <c r="Q346" s="290"/>
      <c r="R346" s="288"/>
      <c r="S346" s="289"/>
    </row>
    <row r="347" spans="5:19">
      <c r="E347" s="284"/>
      <c r="K347" s="290"/>
      <c r="L347" s="290"/>
      <c r="M347" s="290"/>
      <c r="N347" s="290"/>
      <c r="O347" s="290"/>
      <c r="P347" s="290"/>
      <c r="Q347" s="290"/>
      <c r="R347" s="288"/>
      <c r="S347" s="289"/>
    </row>
    <row r="348" spans="5:19">
      <c r="E348" s="284"/>
      <c r="K348" s="290"/>
      <c r="L348" s="290"/>
      <c r="M348" s="290"/>
      <c r="N348" s="290"/>
      <c r="O348" s="290"/>
      <c r="P348" s="290"/>
      <c r="Q348" s="290"/>
      <c r="R348" s="288"/>
      <c r="S348" s="289"/>
    </row>
    <row r="349" spans="5:19">
      <c r="E349" s="284"/>
      <c r="K349" s="290"/>
      <c r="L349" s="290"/>
      <c r="M349" s="290"/>
      <c r="N349" s="290"/>
      <c r="O349" s="290"/>
      <c r="P349" s="290"/>
      <c r="Q349" s="290"/>
      <c r="R349" s="288"/>
      <c r="S349" s="289"/>
    </row>
    <row r="350" spans="5:19">
      <c r="E350" s="284"/>
      <c r="K350" s="290"/>
      <c r="L350" s="290"/>
      <c r="M350" s="290"/>
      <c r="N350" s="290"/>
      <c r="O350" s="290"/>
      <c r="P350" s="290"/>
      <c r="Q350" s="290"/>
      <c r="R350" s="288"/>
      <c r="S350" s="289"/>
    </row>
    <row r="351" spans="5:19">
      <c r="E351" s="284"/>
      <c r="K351" s="290"/>
      <c r="L351" s="290"/>
      <c r="M351" s="290"/>
      <c r="N351" s="290"/>
      <c r="O351" s="290"/>
      <c r="P351" s="290"/>
      <c r="Q351" s="290"/>
      <c r="R351" s="288"/>
      <c r="S351" s="289"/>
    </row>
    <row r="352" spans="5:19">
      <c r="E352" s="284"/>
      <c r="K352" s="290"/>
      <c r="L352" s="290"/>
      <c r="M352" s="290"/>
      <c r="N352" s="290"/>
      <c r="O352" s="290"/>
      <c r="P352" s="290"/>
      <c r="Q352" s="290"/>
      <c r="R352" s="288"/>
      <c r="S352" s="289"/>
    </row>
    <row r="353" spans="5:19">
      <c r="E353" s="284"/>
      <c r="K353" s="290"/>
      <c r="L353" s="290"/>
      <c r="M353" s="290"/>
      <c r="N353" s="290"/>
      <c r="O353" s="290"/>
      <c r="P353" s="290"/>
      <c r="Q353" s="290"/>
      <c r="R353" s="288"/>
      <c r="S353" s="289"/>
    </row>
    <row r="354" spans="5:19">
      <c r="E354" s="284"/>
      <c r="K354" s="290"/>
      <c r="L354" s="290"/>
      <c r="M354" s="290"/>
      <c r="N354" s="290"/>
      <c r="O354" s="290"/>
      <c r="P354" s="290"/>
      <c r="Q354" s="290"/>
      <c r="R354" s="288"/>
      <c r="S354" s="289"/>
    </row>
    <row r="355" spans="5:19">
      <c r="E355" s="284"/>
      <c r="K355" s="290"/>
      <c r="L355" s="290"/>
      <c r="M355" s="290"/>
      <c r="N355" s="290"/>
      <c r="O355" s="290"/>
      <c r="P355" s="290"/>
      <c r="Q355" s="290"/>
      <c r="R355" s="288"/>
      <c r="S355" s="289"/>
    </row>
    <row r="356" spans="5:19">
      <c r="E356" s="284"/>
      <c r="K356" s="290"/>
      <c r="L356" s="290"/>
      <c r="M356" s="290"/>
      <c r="N356" s="290"/>
      <c r="O356" s="290"/>
      <c r="P356" s="290"/>
      <c r="Q356" s="290"/>
      <c r="R356" s="288"/>
      <c r="S356" s="289"/>
    </row>
    <row r="357" spans="5:19">
      <c r="E357" s="284"/>
      <c r="K357" s="290"/>
      <c r="L357" s="290"/>
      <c r="M357" s="290"/>
      <c r="N357" s="290"/>
      <c r="O357" s="290"/>
      <c r="P357" s="290"/>
      <c r="Q357" s="290"/>
      <c r="R357" s="288"/>
      <c r="S357" s="289"/>
    </row>
    <row r="358" spans="5:19">
      <c r="E358" s="284"/>
      <c r="K358" s="290"/>
      <c r="L358" s="290"/>
      <c r="M358" s="290"/>
      <c r="N358" s="290"/>
      <c r="O358" s="290"/>
      <c r="P358" s="290"/>
      <c r="Q358" s="290"/>
      <c r="R358" s="288"/>
      <c r="S358" s="289"/>
    </row>
    <row r="359" spans="5:19">
      <c r="E359" s="284"/>
      <c r="K359" s="290"/>
      <c r="L359" s="290"/>
      <c r="M359" s="290"/>
      <c r="N359" s="290"/>
      <c r="O359" s="290"/>
      <c r="P359" s="290"/>
      <c r="Q359" s="290"/>
      <c r="R359" s="288"/>
      <c r="S359" s="289"/>
    </row>
    <row r="360" spans="5:19">
      <c r="E360" s="284"/>
      <c r="K360" s="290"/>
      <c r="L360" s="290"/>
      <c r="M360" s="290"/>
      <c r="N360" s="290"/>
      <c r="O360" s="290"/>
      <c r="P360" s="290"/>
      <c r="Q360" s="290"/>
      <c r="R360" s="288"/>
      <c r="S360" s="289"/>
    </row>
    <row r="361" spans="5:19">
      <c r="E361" s="284"/>
      <c r="K361" s="290"/>
      <c r="L361" s="290"/>
      <c r="M361" s="290"/>
      <c r="N361" s="290"/>
      <c r="O361" s="290"/>
      <c r="P361" s="290"/>
      <c r="Q361" s="290"/>
      <c r="R361" s="288"/>
      <c r="S361" s="289"/>
    </row>
    <row r="362" spans="5:19">
      <c r="E362" s="284"/>
      <c r="K362" s="290"/>
      <c r="L362" s="290"/>
      <c r="M362" s="290"/>
      <c r="N362" s="290"/>
      <c r="O362" s="290"/>
      <c r="P362" s="290"/>
      <c r="Q362" s="290"/>
      <c r="R362" s="288"/>
      <c r="S362" s="289"/>
    </row>
    <row r="363" spans="5:19">
      <c r="E363" s="284"/>
      <c r="K363" s="290"/>
      <c r="L363" s="290"/>
      <c r="M363" s="290"/>
      <c r="N363" s="290"/>
      <c r="O363" s="290"/>
      <c r="P363" s="290"/>
      <c r="Q363" s="290"/>
      <c r="R363" s="288"/>
      <c r="S363" s="289"/>
    </row>
    <row r="364" spans="5:19">
      <c r="E364" s="284"/>
      <c r="K364" s="290"/>
      <c r="L364" s="290"/>
      <c r="M364" s="290"/>
      <c r="N364" s="290"/>
      <c r="O364" s="290"/>
      <c r="P364" s="290"/>
      <c r="Q364" s="290"/>
      <c r="R364" s="288"/>
      <c r="S364" s="289"/>
    </row>
    <row r="365" spans="5:19">
      <c r="E365" s="284"/>
      <c r="K365" s="290"/>
      <c r="L365" s="290"/>
      <c r="M365" s="290"/>
      <c r="N365" s="290"/>
      <c r="O365" s="290"/>
      <c r="P365" s="290"/>
      <c r="Q365" s="290"/>
      <c r="R365" s="288"/>
      <c r="S365" s="289"/>
    </row>
    <row r="366" spans="5:19">
      <c r="E366" s="284"/>
      <c r="K366" s="290"/>
      <c r="L366" s="290"/>
      <c r="M366" s="290"/>
      <c r="N366" s="290"/>
      <c r="O366" s="290"/>
      <c r="P366" s="290"/>
      <c r="Q366" s="290"/>
      <c r="R366" s="288"/>
      <c r="S366" s="289"/>
    </row>
    <row r="367" spans="5:19">
      <c r="E367" s="284"/>
      <c r="K367" s="290"/>
      <c r="L367" s="290"/>
      <c r="M367" s="290"/>
      <c r="N367" s="290"/>
      <c r="O367" s="290"/>
      <c r="P367" s="290"/>
      <c r="Q367" s="290"/>
      <c r="R367" s="288"/>
      <c r="S367" s="289"/>
    </row>
    <row r="368" spans="5:19">
      <c r="E368" s="284"/>
      <c r="K368" s="290"/>
      <c r="L368" s="290"/>
      <c r="M368" s="290"/>
      <c r="N368" s="290"/>
      <c r="O368" s="290"/>
      <c r="P368" s="290"/>
      <c r="Q368" s="290"/>
      <c r="R368" s="288"/>
      <c r="S368" s="289"/>
    </row>
    <row r="369" spans="5:19">
      <c r="E369" s="284"/>
      <c r="K369" s="290"/>
      <c r="L369" s="290"/>
      <c r="M369" s="290"/>
      <c r="N369" s="290"/>
      <c r="O369" s="290"/>
      <c r="P369" s="290"/>
      <c r="Q369" s="290"/>
      <c r="R369" s="288"/>
      <c r="S369" s="289"/>
    </row>
    <row r="370" spans="5:19">
      <c r="E370" s="284"/>
      <c r="K370" s="290"/>
      <c r="L370" s="290"/>
      <c r="M370" s="290"/>
      <c r="N370" s="290"/>
      <c r="O370" s="290"/>
      <c r="P370" s="290"/>
      <c r="Q370" s="290"/>
      <c r="R370" s="288"/>
      <c r="S370" s="289"/>
    </row>
    <row r="371" spans="5:19">
      <c r="E371" s="284"/>
      <c r="K371" s="290"/>
      <c r="L371" s="290"/>
      <c r="M371" s="290"/>
      <c r="N371" s="290"/>
      <c r="O371" s="290"/>
      <c r="P371" s="290"/>
      <c r="Q371" s="290"/>
      <c r="R371" s="288"/>
      <c r="S371" s="289"/>
    </row>
    <row r="372" spans="5:19">
      <c r="E372" s="284"/>
      <c r="K372" s="290"/>
      <c r="L372" s="290"/>
      <c r="M372" s="290"/>
      <c r="N372" s="290"/>
      <c r="O372" s="290"/>
      <c r="P372" s="290"/>
      <c r="Q372" s="290"/>
      <c r="R372" s="288"/>
      <c r="S372" s="289"/>
    </row>
    <row r="373" spans="5:19">
      <c r="E373" s="284"/>
      <c r="K373" s="290"/>
      <c r="L373" s="290"/>
      <c r="M373" s="290"/>
      <c r="N373" s="290"/>
      <c r="O373" s="290"/>
      <c r="P373" s="290"/>
      <c r="Q373" s="290"/>
      <c r="R373" s="288"/>
      <c r="S373" s="289"/>
    </row>
    <row r="374" spans="5:19">
      <c r="E374" s="284"/>
      <c r="K374" s="290"/>
      <c r="L374" s="290"/>
      <c r="M374" s="290"/>
      <c r="N374" s="290"/>
      <c r="O374" s="290"/>
      <c r="P374" s="290"/>
      <c r="Q374" s="290"/>
      <c r="R374" s="288"/>
      <c r="S374" s="289"/>
    </row>
    <row r="375" spans="5:19">
      <c r="E375" s="284"/>
      <c r="K375" s="290"/>
      <c r="L375" s="290"/>
      <c r="M375" s="290"/>
      <c r="N375" s="290"/>
      <c r="O375" s="290"/>
      <c r="P375" s="290"/>
      <c r="Q375" s="290"/>
      <c r="R375" s="288"/>
      <c r="S375" s="289"/>
    </row>
    <row r="376" spans="5:19">
      <c r="E376" s="284"/>
      <c r="K376" s="290"/>
      <c r="L376" s="290"/>
      <c r="M376" s="290"/>
      <c r="N376" s="290"/>
      <c r="O376" s="290"/>
      <c r="P376" s="290"/>
      <c r="Q376" s="290"/>
      <c r="R376" s="288"/>
      <c r="S376" s="289"/>
    </row>
    <row r="377" spans="5:19">
      <c r="E377" s="284"/>
      <c r="K377" s="290"/>
      <c r="L377" s="290"/>
      <c r="M377" s="290"/>
      <c r="N377" s="290"/>
      <c r="O377" s="290"/>
      <c r="P377" s="290"/>
      <c r="Q377" s="290"/>
      <c r="R377" s="288"/>
      <c r="S377" s="289"/>
    </row>
    <row r="378" spans="5:19">
      <c r="E378" s="284"/>
      <c r="K378" s="290"/>
      <c r="L378" s="290"/>
      <c r="M378" s="290"/>
      <c r="N378" s="290"/>
      <c r="O378" s="290"/>
      <c r="P378" s="290"/>
      <c r="Q378" s="290"/>
      <c r="R378" s="288"/>
      <c r="S378" s="289"/>
    </row>
    <row r="379" spans="5:19">
      <c r="E379" s="284"/>
      <c r="K379" s="290"/>
      <c r="L379" s="290"/>
      <c r="M379" s="290"/>
      <c r="N379" s="290"/>
      <c r="O379" s="290"/>
      <c r="P379" s="290"/>
      <c r="Q379" s="290"/>
      <c r="R379" s="288"/>
      <c r="S379" s="289"/>
    </row>
    <row r="380" spans="5:19">
      <c r="E380" s="284"/>
      <c r="K380" s="290"/>
      <c r="L380" s="290"/>
      <c r="M380" s="290"/>
      <c r="N380" s="290"/>
      <c r="O380" s="290"/>
      <c r="P380" s="290"/>
      <c r="Q380" s="290"/>
      <c r="R380" s="288"/>
      <c r="S380" s="289"/>
    </row>
    <row r="381" spans="5:19">
      <c r="E381" s="284"/>
      <c r="K381" s="290"/>
      <c r="L381" s="290"/>
      <c r="M381" s="290"/>
      <c r="N381" s="290"/>
      <c r="O381" s="290"/>
      <c r="P381" s="290"/>
      <c r="Q381" s="290"/>
      <c r="R381" s="288"/>
      <c r="S381" s="289"/>
    </row>
    <row r="382" spans="5:19">
      <c r="E382" s="284"/>
      <c r="K382" s="290"/>
      <c r="L382" s="290"/>
      <c r="M382" s="290"/>
      <c r="N382" s="290"/>
      <c r="O382" s="290"/>
      <c r="P382" s="290"/>
      <c r="Q382" s="290"/>
      <c r="R382" s="288"/>
      <c r="S382" s="289"/>
    </row>
    <row r="383" spans="5:19">
      <c r="E383" s="284"/>
      <c r="K383" s="290"/>
      <c r="L383" s="290"/>
      <c r="M383" s="290"/>
      <c r="N383" s="290"/>
      <c r="O383" s="290"/>
      <c r="P383" s="290"/>
      <c r="Q383" s="290"/>
      <c r="R383" s="288"/>
      <c r="S383" s="289"/>
    </row>
    <row r="384" spans="5:19">
      <c r="E384" s="284"/>
      <c r="K384" s="290"/>
      <c r="L384" s="290"/>
      <c r="M384" s="290"/>
      <c r="N384" s="290"/>
      <c r="O384" s="290"/>
      <c r="P384" s="290"/>
      <c r="Q384" s="290"/>
      <c r="R384" s="288"/>
      <c r="S384" s="289"/>
    </row>
    <row r="385" spans="5:19">
      <c r="E385" s="284"/>
      <c r="K385" s="290"/>
      <c r="L385" s="290"/>
      <c r="M385" s="290"/>
      <c r="N385" s="290"/>
      <c r="O385" s="290"/>
      <c r="P385" s="290"/>
      <c r="Q385" s="290"/>
      <c r="R385" s="288"/>
      <c r="S385" s="289"/>
    </row>
    <row r="386" spans="5:19">
      <c r="E386" s="284"/>
      <c r="K386" s="290"/>
      <c r="L386" s="290"/>
      <c r="M386" s="290"/>
      <c r="N386" s="290"/>
      <c r="O386" s="290"/>
      <c r="P386" s="290"/>
      <c r="Q386" s="290"/>
      <c r="R386" s="288"/>
      <c r="S386" s="289"/>
    </row>
    <row r="387" spans="5:19">
      <c r="E387" s="284"/>
      <c r="K387" s="290"/>
      <c r="L387" s="290"/>
      <c r="M387" s="290"/>
      <c r="N387" s="290"/>
      <c r="O387" s="290"/>
      <c r="P387" s="290"/>
      <c r="Q387" s="290"/>
      <c r="R387" s="288"/>
      <c r="S387" s="289"/>
    </row>
    <row r="388" spans="5:19">
      <c r="E388" s="284"/>
      <c r="K388" s="290"/>
      <c r="L388" s="290"/>
      <c r="M388" s="290"/>
      <c r="N388" s="290"/>
      <c r="O388" s="290"/>
      <c r="P388" s="290"/>
      <c r="Q388" s="290"/>
      <c r="R388" s="288"/>
      <c r="S388" s="289"/>
    </row>
    <row r="389" spans="5:19">
      <c r="E389" s="284"/>
      <c r="K389" s="290"/>
      <c r="L389" s="290"/>
      <c r="M389" s="290"/>
      <c r="N389" s="290"/>
      <c r="O389" s="290"/>
      <c r="P389" s="290"/>
      <c r="Q389" s="290"/>
      <c r="R389" s="288"/>
      <c r="S389" s="289"/>
    </row>
    <row r="390" spans="5:19">
      <c r="E390" s="284"/>
      <c r="K390" s="290"/>
      <c r="L390" s="290"/>
      <c r="M390" s="290"/>
      <c r="N390" s="290"/>
      <c r="O390" s="290"/>
      <c r="P390" s="290"/>
      <c r="Q390" s="290"/>
      <c r="R390" s="288"/>
      <c r="S390" s="289"/>
    </row>
    <row r="391" spans="5:19">
      <c r="E391" s="284"/>
      <c r="K391" s="290"/>
      <c r="L391" s="290"/>
      <c r="M391" s="290"/>
      <c r="N391" s="290"/>
      <c r="O391" s="290"/>
      <c r="P391" s="290"/>
      <c r="Q391" s="290"/>
      <c r="R391" s="288"/>
      <c r="S391" s="289"/>
    </row>
    <row r="392" spans="5:19">
      <c r="E392" s="284"/>
      <c r="K392" s="290"/>
      <c r="L392" s="290"/>
      <c r="M392" s="290"/>
      <c r="N392" s="290"/>
      <c r="O392" s="290"/>
      <c r="P392" s="290"/>
      <c r="Q392" s="290"/>
      <c r="R392" s="288"/>
      <c r="S392" s="289"/>
    </row>
    <row r="393" spans="5:19">
      <c r="E393" s="284"/>
      <c r="K393" s="290"/>
      <c r="L393" s="290"/>
      <c r="M393" s="290"/>
      <c r="N393" s="290"/>
      <c r="O393" s="290"/>
      <c r="P393" s="290"/>
      <c r="Q393" s="290"/>
      <c r="R393" s="288"/>
      <c r="S393" s="289"/>
    </row>
    <row r="394" spans="5:19">
      <c r="E394" s="284"/>
      <c r="K394" s="290"/>
      <c r="L394" s="290"/>
      <c r="M394" s="290"/>
      <c r="N394" s="290"/>
      <c r="O394" s="290"/>
      <c r="P394" s="290"/>
      <c r="Q394" s="290"/>
      <c r="R394" s="288"/>
      <c r="S394" s="289"/>
    </row>
    <row r="395" spans="5:19">
      <c r="E395" s="284"/>
      <c r="K395" s="290"/>
      <c r="L395" s="290"/>
      <c r="M395" s="290"/>
      <c r="N395" s="290"/>
      <c r="O395" s="290"/>
      <c r="P395" s="290"/>
      <c r="Q395" s="290"/>
      <c r="R395" s="288"/>
      <c r="S395" s="289"/>
    </row>
    <row r="396" spans="5:19">
      <c r="E396" s="284"/>
      <c r="K396" s="290"/>
      <c r="L396" s="290"/>
      <c r="M396" s="290"/>
      <c r="N396" s="290"/>
      <c r="O396" s="290"/>
      <c r="P396" s="290"/>
      <c r="Q396" s="290"/>
      <c r="R396" s="288"/>
      <c r="S396" s="289"/>
    </row>
    <row r="397" spans="5:19">
      <c r="E397" s="284"/>
      <c r="K397" s="290"/>
      <c r="L397" s="290"/>
      <c r="M397" s="290"/>
      <c r="N397" s="290"/>
      <c r="O397" s="290"/>
      <c r="P397" s="290"/>
      <c r="Q397" s="290"/>
      <c r="R397" s="288"/>
      <c r="S397" s="289"/>
    </row>
    <row r="398" spans="5:19">
      <c r="E398" s="284"/>
      <c r="K398" s="290"/>
      <c r="L398" s="290"/>
      <c r="M398" s="290"/>
      <c r="N398" s="290"/>
      <c r="O398" s="290"/>
      <c r="P398" s="290"/>
      <c r="Q398" s="290"/>
      <c r="R398" s="288"/>
      <c r="S398" s="289"/>
    </row>
    <row r="399" spans="5:19">
      <c r="E399" s="284"/>
      <c r="K399" s="290"/>
      <c r="L399" s="290"/>
      <c r="M399" s="290"/>
      <c r="N399" s="290"/>
      <c r="O399" s="290"/>
      <c r="P399" s="290"/>
      <c r="Q399" s="290"/>
      <c r="R399" s="288"/>
      <c r="S399" s="289"/>
    </row>
    <row r="400" spans="5:19">
      <c r="E400" s="284"/>
      <c r="K400" s="290"/>
      <c r="L400" s="290"/>
      <c r="M400" s="290"/>
      <c r="N400" s="290"/>
      <c r="O400" s="290"/>
      <c r="P400" s="290"/>
      <c r="Q400" s="290"/>
      <c r="R400" s="288"/>
      <c r="S400" s="289"/>
    </row>
    <row r="401" spans="5:19">
      <c r="E401" s="284"/>
      <c r="K401" s="290"/>
      <c r="L401" s="290"/>
      <c r="M401" s="290"/>
      <c r="N401" s="290"/>
      <c r="O401" s="290"/>
      <c r="P401" s="290"/>
      <c r="Q401" s="290"/>
      <c r="R401" s="288"/>
      <c r="S401" s="289"/>
    </row>
    <row r="402" spans="5:19">
      <c r="E402" s="284"/>
      <c r="K402" s="290"/>
      <c r="L402" s="290"/>
      <c r="M402" s="290"/>
      <c r="N402" s="290"/>
      <c r="O402" s="290"/>
      <c r="P402" s="290"/>
      <c r="Q402" s="290"/>
      <c r="R402" s="288"/>
      <c r="S402" s="289"/>
    </row>
    <row r="403" spans="5:19">
      <c r="E403" s="284"/>
      <c r="K403" s="290"/>
      <c r="L403" s="290"/>
      <c r="M403" s="290"/>
      <c r="N403" s="290"/>
      <c r="O403" s="290"/>
      <c r="P403" s="290"/>
      <c r="Q403" s="290"/>
      <c r="R403" s="288"/>
      <c r="S403" s="289"/>
    </row>
    <row r="404" spans="5:19">
      <c r="E404" s="284"/>
      <c r="K404" s="290"/>
      <c r="L404" s="290"/>
      <c r="M404" s="290"/>
      <c r="N404" s="290"/>
      <c r="O404" s="290"/>
      <c r="P404" s="290"/>
      <c r="Q404" s="290"/>
      <c r="R404" s="288"/>
      <c r="S404" s="289"/>
    </row>
    <row r="405" spans="5:19">
      <c r="E405" s="284"/>
      <c r="K405" s="290"/>
      <c r="L405" s="290"/>
      <c r="M405" s="290"/>
      <c r="N405" s="290"/>
      <c r="O405" s="290"/>
      <c r="P405" s="290"/>
      <c r="Q405" s="290"/>
      <c r="R405" s="288"/>
      <c r="S405" s="289"/>
    </row>
    <row r="406" spans="5:19">
      <c r="E406" s="284"/>
      <c r="K406" s="290"/>
      <c r="L406" s="290"/>
      <c r="M406" s="290"/>
      <c r="N406" s="290"/>
      <c r="O406" s="290"/>
      <c r="P406" s="290"/>
      <c r="Q406" s="290"/>
      <c r="R406" s="288"/>
      <c r="S406" s="289"/>
    </row>
    <row r="407" spans="5:19">
      <c r="E407" s="284"/>
      <c r="K407" s="290"/>
      <c r="L407" s="290"/>
      <c r="M407" s="290"/>
      <c r="N407" s="290"/>
      <c r="O407" s="290"/>
      <c r="P407" s="290"/>
      <c r="Q407" s="290"/>
      <c r="R407" s="288"/>
      <c r="S407" s="289"/>
    </row>
    <row r="408" spans="5:19">
      <c r="E408" s="284"/>
      <c r="K408" s="290"/>
      <c r="L408" s="290"/>
      <c r="M408" s="290"/>
      <c r="N408" s="290"/>
      <c r="O408" s="290"/>
      <c r="P408" s="290"/>
      <c r="Q408" s="290"/>
      <c r="R408" s="288"/>
      <c r="S408" s="289"/>
    </row>
    <row r="409" spans="5:19">
      <c r="E409" s="284"/>
      <c r="K409" s="290"/>
      <c r="L409" s="290"/>
      <c r="M409" s="290"/>
      <c r="N409" s="290"/>
      <c r="O409" s="290"/>
      <c r="P409" s="290"/>
      <c r="Q409" s="290"/>
      <c r="R409" s="288"/>
      <c r="S409" s="289"/>
    </row>
    <row r="410" spans="5:19">
      <c r="E410" s="284"/>
      <c r="K410" s="290"/>
      <c r="L410" s="290"/>
      <c r="M410" s="290"/>
      <c r="N410" s="290"/>
      <c r="O410" s="290"/>
      <c r="P410" s="290"/>
      <c r="Q410" s="290"/>
      <c r="R410" s="288"/>
      <c r="S410" s="289"/>
    </row>
    <row r="411" spans="5:19">
      <c r="E411" s="284"/>
      <c r="K411" s="290"/>
      <c r="L411" s="290"/>
      <c r="M411" s="290"/>
      <c r="N411" s="290"/>
      <c r="O411" s="290"/>
      <c r="P411" s="290"/>
      <c r="Q411" s="290"/>
      <c r="R411" s="288"/>
      <c r="S411" s="289"/>
    </row>
    <row r="412" spans="5:19">
      <c r="E412" s="284"/>
      <c r="K412" s="290"/>
      <c r="L412" s="290"/>
      <c r="M412" s="290"/>
      <c r="N412" s="290"/>
      <c r="O412" s="290"/>
      <c r="P412" s="290"/>
      <c r="Q412" s="290"/>
      <c r="R412" s="288"/>
      <c r="S412" s="289"/>
    </row>
    <row r="413" spans="5:19">
      <c r="E413" s="284"/>
      <c r="K413" s="290"/>
      <c r="L413" s="290"/>
      <c r="M413" s="290"/>
      <c r="N413" s="290"/>
      <c r="O413" s="290"/>
      <c r="P413" s="290"/>
      <c r="Q413" s="290"/>
      <c r="R413" s="288"/>
      <c r="S413" s="289"/>
    </row>
    <row r="414" spans="5:19">
      <c r="E414" s="284"/>
      <c r="K414" s="290"/>
      <c r="L414" s="290"/>
      <c r="M414" s="290"/>
      <c r="N414" s="290"/>
      <c r="O414" s="290"/>
      <c r="P414" s="290"/>
      <c r="Q414" s="290"/>
      <c r="R414" s="288"/>
      <c r="S414" s="289"/>
    </row>
    <row r="415" spans="5:19">
      <c r="E415" s="284"/>
      <c r="K415" s="290"/>
      <c r="L415" s="290"/>
      <c r="M415" s="290"/>
      <c r="N415" s="290"/>
      <c r="O415" s="290"/>
      <c r="P415" s="290"/>
      <c r="Q415" s="290"/>
      <c r="R415" s="288"/>
      <c r="S415" s="289"/>
    </row>
    <row r="416" spans="5:19">
      <c r="E416" s="284"/>
      <c r="K416" s="290"/>
      <c r="L416" s="290"/>
      <c r="M416" s="290"/>
      <c r="N416" s="290"/>
      <c r="O416" s="290"/>
      <c r="P416" s="290"/>
      <c r="Q416" s="290"/>
      <c r="R416" s="288"/>
      <c r="S416" s="289"/>
    </row>
    <row r="417" spans="5:19">
      <c r="E417" s="284"/>
      <c r="K417" s="290"/>
      <c r="L417" s="290"/>
      <c r="M417" s="290"/>
      <c r="N417" s="290"/>
      <c r="O417" s="290"/>
      <c r="P417" s="290"/>
      <c r="Q417" s="290"/>
      <c r="R417" s="288"/>
      <c r="S417" s="289"/>
    </row>
    <row r="418" spans="5:19">
      <c r="E418" s="284"/>
      <c r="K418" s="290"/>
      <c r="L418" s="290"/>
      <c r="M418" s="290"/>
      <c r="N418" s="290"/>
      <c r="O418" s="290"/>
      <c r="P418" s="290"/>
      <c r="Q418" s="290"/>
      <c r="R418" s="288"/>
      <c r="S418" s="289"/>
    </row>
    <row r="419" spans="5:19">
      <c r="E419" s="284"/>
      <c r="K419" s="290"/>
      <c r="L419" s="290"/>
      <c r="M419" s="290"/>
      <c r="N419" s="290"/>
      <c r="O419" s="290"/>
      <c r="P419" s="290"/>
      <c r="Q419" s="290"/>
      <c r="R419" s="288"/>
      <c r="S419" s="289"/>
    </row>
    <row r="420" spans="5:19">
      <c r="E420" s="284"/>
      <c r="K420" s="290"/>
      <c r="L420" s="290"/>
      <c r="M420" s="290"/>
      <c r="N420" s="290"/>
      <c r="O420" s="290"/>
      <c r="P420" s="290"/>
      <c r="Q420" s="290"/>
      <c r="R420" s="288"/>
      <c r="S420" s="289"/>
    </row>
    <row r="421" spans="5:19">
      <c r="E421" s="284"/>
      <c r="K421" s="290"/>
      <c r="L421" s="290"/>
      <c r="M421" s="290"/>
      <c r="N421" s="290"/>
      <c r="O421" s="290"/>
      <c r="P421" s="290"/>
      <c r="Q421" s="290"/>
      <c r="R421" s="288"/>
      <c r="S421" s="289"/>
    </row>
    <row r="422" spans="5:19">
      <c r="E422" s="284"/>
      <c r="K422" s="290"/>
      <c r="L422" s="290"/>
      <c r="M422" s="290"/>
      <c r="N422" s="290"/>
      <c r="O422" s="290"/>
      <c r="P422" s="290"/>
      <c r="Q422" s="290"/>
      <c r="R422" s="288"/>
      <c r="S422" s="289"/>
    </row>
    <row r="423" spans="5:19">
      <c r="E423" s="284"/>
      <c r="K423" s="290"/>
      <c r="L423" s="290"/>
      <c r="M423" s="290"/>
      <c r="N423" s="290"/>
      <c r="O423" s="290"/>
      <c r="P423" s="290"/>
      <c r="Q423" s="290"/>
      <c r="R423" s="288"/>
      <c r="S423" s="289"/>
    </row>
    <row r="424" spans="5:19">
      <c r="E424" s="284"/>
      <c r="K424" s="290"/>
      <c r="L424" s="290"/>
      <c r="M424" s="290"/>
      <c r="N424" s="290"/>
      <c r="O424" s="290"/>
      <c r="P424" s="290"/>
      <c r="Q424" s="290"/>
      <c r="R424" s="288"/>
      <c r="S424" s="289"/>
    </row>
    <row r="425" spans="5:19">
      <c r="E425" s="284"/>
      <c r="K425" s="290"/>
      <c r="L425" s="290"/>
      <c r="M425" s="290"/>
      <c r="N425" s="290"/>
      <c r="O425" s="290"/>
      <c r="P425" s="290"/>
      <c r="Q425" s="290"/>
      <c r="R425" s="288"/>
      <c r="S425" s="289"/>
    </row>
    <row r="426" spans="5:19">
      <c r="E426" s="284"/>
      <c r="K426" s="290"/>
      <c r="L426" s="290"/>
      <c r="M426" s="290"/>
      <c r="N426" s="290"/>
      <c r="O426" s="290"/>
      <c r="P426" s="290"/>
      <c r="Q426" s="290"/>
      <c r="R426" s="288"/>
      <c r="S426" s="289"/>
    </row>
    <row r="427" spans="5:19">
      <c r="E427" s="284"/>
      <c r="K427" s="290"/>
      <c r="L427" s="290"/>
      <c r="M427" s="290"/>
      <c r="N427" s="290"/>
      <c r="O427" s="290"/>
      <c r="P427" s="290"/>
      <c r="Q427" s="290"/>
      <c r="R427" s="288"/>
      <c r="S427" s="289"/>
    </row>
    <row r="428" spans="5:19">
      <c r="E428" s="284"/>
      <c r="K428" s="290"/>
      <c r="L428" s="290"/>
      <c r="M428" s="290"/>
      <c r="N428" s="290"/>
      <c r="O428" s="290"/>
      <c r="P428" s="290"/>
      <c r="Q428" s="290"/>
      <c r="R428" s="288"/>
      <c r="S428" s="289"/>
    </row>
    <row r="429" spans="5:19">
      <c r="E429" s="284"/>
      <c r="K429" s="290"/>
      <c r="L429" s="290"/>
      <c r="M429" s="290"/>
      <c r="N429" s="290"/>
      <c r="O429" s="290"/>
      <c r="P429" s="290"/>
      <c r="Q429" s="290"/>
      <c r="R429" s="288"/>
      <c r="S429" s="289"/>
    </row>
    <row r="430" spans="5:19">
      <c r="E430" s="284"/>
      <c r="K430" s="290"/>
      <c r="L430" s="290"/>
      <c r="M430" s="290"/>
      <c r="N430" s="290"/>
      <c r="O430" s="290"/>
      <c r="P430" s="290"/>
      <c r="Q430" s="290"/>
      <c r="R430" s="288"/>
      <c r="S430" s="289"/>
    </row>
    <row r="431" spans="5:19">
      <c r="E431" s="284"/>
      <c r="K431" s="290"/>
      <c r="L431" s="290"/>
      <c r="M431" s="290"/>
      <c r="N431" s="290"/>
      <c r="O431" s="290"/>
      <c r="P431" s="290"/>
      <c r="Q431" s="290"/>
      <c r="R431" s="288"/>
      <c r="S431" s="289"/>
    </row>
    <row r="432" spans="5:19">
      <c r="E432" s="284"/>
      <c r="K432" s="290"/>
      <c r="L432" s="290"/>
      <c r="M432" s="290"/>
      <c r="N432" s="290"/>
      <c r="O432" s="290"/>
      <c r="P432" s="290"/>
      <c r="Q432" s="290"/>
      <c r="R432" s="288"/>
      <c r="S432" s="289"/>
    </row>
    <row r="433" spans="5:19">
      <c r="E433" s="284"/>
      <c r="K433" s="290"/>
      <c r="L433" s="290"/>
      <c r="M433" s="290"/>
      <c r="N433" s="290"/>
      <c r="O433" s="290"/>
      <c r="P433" s="290"/>
      <c r="Q433" s="290"/>
      <c r="R433" s="288"/>
      <c r="S433" s="289"/>
    </row>
    <row r="434" spans="5:19">
      <c r="E434" s="284"/>
      <c r="K434" s="290"/>
      <c r="L434" s="290"/>
      <c r="M434" s="290"/>
      <c r="N434" s="290"/>
      <c r="O434" s="290"/>
      <c r="P434" s="290"/>
      <c r="Q434" s="290"/>
      <c r="R434" s="288"/>
      <c r="S434" s="289"/>
    </row>
    <row r="435" spans="5:19">
      <c r="E435" s="284"/>
      <c r="K435" s="290"/>
      <c r="L435" s="290"/>
      <c r="M435" s="290"/>
      <c r="N435" s="290"/>
      <c r="O435" s="290"/>
      <c r="P435" s="290"/>
      <c r="Q435" s="290"/>
      <c r="R435" s="288"/>
      <c r="S435" s="289"/>
    </row>
    <row r="436" spans="5:19">
      <c r="E436" s="284"/>
      <c r="K436" s="290"/>
      <c r="L436" s="290"/>
      <c r="M436" s="290"/>
      <c r="N436" s="290"/>
      <c r="O436" s="290"/>
      <c r="P436" s="290"/>
      <c r="Q436" s="290"/>
      <c r="R436" s="288"/>
      <c r="S436" s="289"/>
    </row>
    <row r="437" spans="5:19">
      <c r="E437" s="284"/>
      <c r="K437" s="290"/>
      <c r="L437" s="290"/>
      <c r="M437" s="290"/>
      <c r="N437" s="290"/>
      <c r="O437" s="290"/>
      <c r="P437" s="290"/>
      <c r="Q437" s="290"/>
      <c r="R437" s="288"/>
      <c r="S437" s="289"/>
    </row>
    <row r="438" spans="5:19">
      <c r="E438" s="284"/>
      <c r="K438" s="290"/>
      <c r="L438" s="290"/>
      <c r="M438" s="290"/>
      <c r="N438" s="290"/>
      <c r="O438" s="290"/>
      <c r="P438" s="290"/>
      <c r="Q438" s="290"/>
      <c r="R438" s="288"/>
      <c r="S438" s="289"/>
    </row>
    <row r="439" spans="5:19">
      <c r="E439" s="284"/>
      <c r="K439" s="290"/>
      <c r="L439" s="290"/>
      <c r="M439" s="290"/>
      <c r="N439" s="290"/>
      <c r="O439" s="290"/>
      <c r="P439" s="290"/>
      <c r="Q439" s="290"/>
      <c r="R439" s="288"/>
      <c r="S439" s="289"/>
    </row>
    <row r="440" spans="5:19">
      <c r="E440" s="284"/>
      <c r="K440" s="290"/>
      <c r="L440" s="290"/>
      <c r="M440" s="290"/>
      <c r="N440" s="290"/>
      <c r="O440" s="290"/>
      <c r="P440" s="290"/>
      <c r="Q440" s="290"/>
      <c r="R440" s="288"/>
      <c r="S440" s="289"/>
    </row>
    <row r="441" spans="5:19">
      <c r="E441" s="284"/>
      <c r="K441" s="290"/>
      <c r="L441" s="290"/>
      <c r="M441" s="290"/>
      <c r="N441" s="290"/>
      <c r="O441" s="290"/>
      <c r="P441" s="290"/>
      <c r="Q441" s="290"/>
      <c r="R441" s="288"/>
      <c r="S441" s="289"/>
    </row>
    <row r="442" spans="5:19">
      <c r="E442" s="284"/>
      <c r="K442" s="290"/>
      <c r="L442" s="290"/>
      <c r="M442" s="290"/>
      <c r="N442" s="290"/>
      <c r="O442" s="290"/>
      <c r="P442" s="290"/>
      <c r="Q442" s="290"/>
      <c r="R442" s="288"/>
      <c r="S442" s="289"/>
    </row>
    <row r="443" spans="5:19">
      <c r="E443" s="284"/>
      <c r="K443" s="290"/>
      <c r="L443" s="290"/>
      <c r="M443" s="290"/>
      <c r="N443" s="290"/>
      <c r="O443" s="290"/>
      <c r="P443" s="290"/>
      <c r="Q443" s="290"/>
      <c r="R443" s="288"/>
      <c r="S443" s="289"/>
    </row>
    <row r="444" spans="5:19">
      <c r="E444" s="284"/>
      <c r="K444" s="290"/>
      <c r="L444" s="290"/>
      <c r="M444" s="290"/>
      <c r="N444" s="290"/>
      <c r="O444" s="290"/>
      <c r="P444" s="290"/>
      <c r="Q444" s="290"/>
      <c r="R444" s="288"/>
      <c r="S444" s="289"/>
    </row>
    <row r="445" spans="5:19">
      <c r="E445" s="284"/>
      <c r="K445" s="290"/>
      <c r="L445" s="290"/>
      <c r="M445" s="290"/>
      <c r="N445" s="290"/>
      <c r="O445" s="290"/>
      <c r="P445" s="290"/>
      <c r="Q445" s="290"/>
      <c r="R445" s="288"/>
      <c r="S445" s="289"/>
    </row>
    <row r="446" spans="5:19">
      <c r="E446" s="284"/>
      <c r="K446" s="290"/>
      <c r="L446" s="290"/>
      <c r="M446" s="290"/>
      <c r="N446" s="290"/>
      <c r="O446" s="290"/>
      <c r="P446" s="290"/>
      <c r="Q446" s="290"/>
      <c r="R446" s="288"/>
      <c r="S446" s="289"/>
    </row>
    <row r="447" spans="5:19">
      <c r="E447" s="284"/>
      <c r="K447" s="290"/>
      <c r="L447" s="290"/>
      <c r="M447" s="290"/>
      <c r="N447" s="290"/>
      <c r="O447" s="290"/>
      <c r="P447" s="290"/>
      <c r="Q447" s="290"/>
      <c r="R447" s="288"/>
      <c r="S447" s="289"/>
    </row>
    <row r="448" spans="5:19">
      <c r="E448" s="284"/>
      <c r="K448" s="290"/>
      <c r="L448" s="290"/>
      <c r="M448" s="290"/>
      <c r="N448" s="290"/>
      <c r="O448" s="290"/>
      <c r="P448" s="290"/>
      <c r="Q448" s="290"/>
      <c r="R448" s="288"/>
      <c r="S448" s="289"/>
    </row>
    <row r="449" spans="5:19">
      <c r="E449" s="284"/>
      <c r="K449" s="290"/>
      <c r="L449" s="290"/>
      <c r="M449" s="290"/>
      <c r="N449" s="290"/>
      <c r="O449" s="290"/>
      <c r="P449" s="290"/>
      <c r="Q449" s="290"/>
      <c r="R449" s="288"/>
      <c r="S449" s="289"/>
    </row>
    <row r="450" spans="5:19">
      <c r="E450" s="284"/>
      <c r="K450" s="290"/>
      <c r="L450" s="290"/>
      <c r="M450" s="290"/>
      <c r="N450" s="290"/>
      <c r="O450" s="290"/>
      <c r="P450" s="290"/>
      <c r="Q450" s="290"/>
      <c r="R450" s="288"/>
      <c r="S450" s="289"/>
    </row>
    <row r="451" spans="5:19">
      <c r="E451" s="284"/>
      <c r="K451" s="290"/>
      <c r="L451" s="290"/>
      <c r="M451" s="290"/>
      <c r="N451" s="290"/>
      <c r="O451" s="290"/>
      <c r="P451" s="290"/>
      <c r="Q451" s="290"/>
      <c r="R451" s="288"/>
      <c r="S451" s="289"/>
    </row>
    <row r="452" spans="5:19">
      <c r="E452" s="284"/>
      <c r="K452" s="290"/>
      <c r="L452" s="290"/>
      <c r="M452" s="290"/>
      <c r="N452" s="290"/>
      <c r="O452" s="290"/>
      <c r="P452" s="290"/>
      <c r="Q452" s="290"/>
      <c r="R452" s="288"/>
      <c r="S452" s="289"/>
    </row>
    <row r="453" spans="5:19">
      <c r="E453" s="284"/>
      <c r="K453" s="290"/>
      <c r="L453" s="290"/>
      <c r="M453" s="290"/>
      <c r="N453" s="290"/>
      <c r="O453" s="290"/>
      <c r="P453" s="290"/>
      <c r="Q453" s="290"/>
      <c r="R453" s="288"/>
      <c r="S453" s="289"/>
    </row>
    <row r="454" spans="5:19">
      <c r="E454" s="284"/>
      <c r="K454" s="290"/>
      <c r="L454" s="290"/>
      <c r="M454" s="290"/>
      <c r="N454" s="290"/>
      <c r="O454" s="290"/>
      <c r="P454" s="290"/>
      <c r="Q454" s="290"/>
      <c r="R454" s="288"/>
      <c r="S454" s="289"/>
    </row>
    <row r="455" spans="5:19">
      <c r="E455" s="284"/>
      <c r="K455" s="290"/>
      <c r="L455" s="290"/>
      <c r="M455" s="290"/>
      <c r="N455" s="290"/>
      <c r="O455" s="290"/>
      <c r="P455" s="290"/>
      <c r="Q455" s="290"/>
      <c r="R455" s="288"/>
      <c r="S455" s="289"/>
    </row>
    <row r="456" spans="5:19">
      <c r="E456" s="284"/>
      <c r="K456" s="290"/>
      <c r="L456" s="290"/>
      <c r="M456" s="290"/>
      <c r="N456" s="290"/>
      <c r="O456" s="290"/>
      <c r="P456" s="290"/>
      <c r="Q456" s="290"/>
      <c r="R456" s="288"/>
      <c r="S456" s="289"/>
    </row>
    <row r="457" spans="5:19">
      <c r="E457" s="284"/>
      <c r="K457" s="290"/>
      <c r="L457" s="290"/>
      <c r="M457" s="290"/>
      <c r="N457" s="290"/>
      <c r="O457" s="290"/>
      <c r="P457" s="290"/>
      <c r="Q457" s="290"/>
      <c r="R457" s="288"/>
      <c r="S457" s="289"/>
    </row>
    <row r="458" spans="5:19">
      <c r="E458" s="284"/>
      <c r="K458" s="290"/>
      <c r="L458" s="290"/>
      <c r="M458" s="290"/>
      <c r="N458" s="290"/>
      <c r="O458" s="290"/>
      <c r="P458" s="290"/>
      <c r="Q458" s="290"/>
      <c r="R458" s="288"/>
      <c r="S458" s="289"/>
    </row>
    <row r="459" spans="5:19">
      <c r="E459" s="284"/>
      <c r="K459" s="290"/>
      <c r="L459" s="290"/>
      <c r="M459" s="290"/>
      <c r="N459" s="290"/>
      <c r="O459" s="290"/>
      <c r="P459" s="290"/>
      <c r="Q459" s="290"/>
      <c r="R459" s="288"/>
      <c r="S459" s="289"/>
    </row>
    <row r="460" spans="5:19">
      <c r="E460" s="284"/>
      <c r="K460" s="290"/>
      <c r="L460" s="290"/>
      <c r="M460" s="290"/>
      <c r="N460" s="290"/>
      <c r="O460" s="290"/>
      <c r="P460" s="290"/>
      <c r="Q460" s="290"/>
      <c r="R460" s="288"/>
      <c r="S460" s="289"/>
    </row>
    <row r="461" spans="5:19">
      <c r="E461" s="284"/>
      <c r="K461" s="290"/>
      <c r="L461" s="290"/>
      <c r="M461" s="290"/>
      <c r="N461" s="290"/>
      <c r="O461" s="290"/>
      <c r="P461" s="290"/>
      <c r="Q461" s="290"/>
      <c r="R461" s="288"/>
      <c r="S461" s="289"/>
    </row>
    <row r="462" spans="5:19">
      <c r="E462" s="284"/>
      <c r="K462" s="290"/>
      <c r="L462" s="290"/>
      <c r="M462" s="290"/>
      <c r="N462" s="290"/>
      <c r="O462" s="290"/>
      <c r="P462" s="290"/>
      <c r="Q462" s="290"/>
      <c r="R462" s="288"/>
      <c r="S462" s="289"/>
    </row>
    <row r="463" spans="5:19">
      <c r="E463" s="284"/>
      <c r="K463" s="290"/>
      <c r="L463" s="290"/>
      <c r="M463" s="290"/>
      <c r="N463" s="290"/>
      <c r="O463" s="290"/>
      <c r="P463" s="290"/>
      <c r="Q463" s="290"/>
      <c r="R463" s="288"/>
      <c r="S463" s="289"/>
    </row>
    <row r="464" spans="5:19">
      <c r="E464" s="284"/>
      <c r="K464" s="290"/>
      <c r="L464" s="290"/>
      <c r="M464" s="290"/>
      <c r="N464" s="290"/>
      <c r="O464" s="290"/>
      <c r="P464" s="290"/>
      <c r="Q464" s="290"/>
      <c r="R464" s="288"/>
      <c r="S464" s="289"/>
    </row>
    <row r="465" spans="5:19">
      <c r="E465" s="284"/>
      <c r="K465" s="290"/>
      <c r="L465" s="290"/>
      <c r="M465" s="290"/>
      <c r="N465" s="290"/>
      <c r="O465" s="290"/>
      <c r="P465" s="290"/>
      <c r="Q465" s="290"/>
      <c r="R465" s="288"/>
      <c r="S465" s="289"/>
    </row>
    <row r="466" spans="5:19">
      <c r="E466" s="284"/>
      <c r="K466" s="290"/>
      <c r="L466" s="290"/>
      <c r="M466" s="290"/>
      <c r="N466" s="290"/>
      <c r="O466" s="290"/>
      <c r="P466" s="290"/>
      <c r="Q466" s="290"/>
      <c r="R466" s="288"/>
      <c r="S466" s="289"/>
    </row>
    <row r="467" spans="5:19">
      <c r="E467" s="284"/>
      <c r="K467" s="290"/>
      <c r="L467" s="290"/>
      <c r="M467" s="290"/>
      <c r="N467" s="290"/>
      <c r="O467" s="290"/>
      <c r="P467" s="290"/>
      <c r="Q467" s="290"/>
      <c r="R467" s="288"/>
      <c r="S467" s="289"/>
    </row>
    <row r="468" spans="5:19">
      <c r="E468" s="284"/>
      <c r="K468" s="290"/>
      <c r="L468" s="290"/>
      <c r="M468" s="290"/>
      <c r="N468" s="290"/>
      <c r="O468" s="290"/>
      <c r="P468" s="290"/>
      <c r="Q468" s="290"/>
      <c r="R468" s="288"/>
      <c r="S468" s="289"/>
    </row>
    <row r="469" spans="5:19">
      <c r="E469" s="284"/>
      <c r="K469" s="290"/>
      <c r="L469" s="290"/>
      <c r="M469" s="290"/>
      <c r="N469" s="290"/>
      <c r="O469" s="290"/>
      <c r="P469" s="290"/>
      <c r="Q469" s="290"/>
      <c r="R469" s="288"/>
      <c r="S469" s="289"/>
    </row>
    <row r="470" spans="5:19">
      <c r="E470" s="284"/>
      <c r="K470" s="290"/>
      <c r="L470" s="290"/>
      <c r="M470" s="290"/>
      <c r="N470" s="290"/>
      <c r="O470" s="290"/>
      <c r="P470" s="290"/>
      <c r="Q470" s="290"/>
      <c r="R470" s="288"/>
      <c r="S470" s="289"/>
    </row>
    <row r="471" spans="5:19">
      <c r="E471" s="284"/>
      <c r="K471" s="290"/>
      <c r="L471" s="290"/>
      <c r="M471" s="290"/>
      <c r="N471" s="290"/>
      <c r="O471" s="290"/>
      <c r="P471" s="290"/>
      <c r="Q471" s="290"/>
      <c r="R471" s="288"/>
      <c r="S471" s="289"/>
    </row>
    <row r="472" spans="5:19">
      <c r="E472" s="284"/>
      <c r="K472" s="290"/>
      <c r="L472" s="290"/>
      <c r="M472" s="290"/>
      <c r="N472" s="290"/>
      <c r="O472" s="290"/>
      <c r="P472" s="290"/>
      <c r="Q472" s="290"/>
      <c r="R472" s="288"/>
      <c r="S472" s="289"/>
    </row>
    <row r="473" spans="5:19">
      <c r="E473" s="284"/>
      <c r="K473" s="290"/>
      <c r="L473" s="290"/>
      <c r="M473" s="290"/>
      <c r="N473" s="290"/>
      <c r="O473" s="290"/>
      <c r="P473" s="290"/>
      <c r="Q473" s="290"/>
      <c r="R473" s="288"/>
      <c r="S473" s="289"/>
    </row>
    <row r="474" spans="5:19">
      <c r="E474" s="284"/>
      <c r="K474" s="290"/>
      <c r="L474" s="290"/>
      <c r="M474" s="290"/>
      <c r="N474" s="290"/>
      <c r="O474" s="290"/>
      <c r="P474" s="290"/>
      <c r="Q474" s="290"/>
      <c r="R474" s="288"/>
      <c r="S474" s="289"/>
    </row>
    <row r="475" spans="5:19">
      <c r="E475" s="284"/>
      <c r="K475" s="290"/>
      <c r="L475" s="290"/>
      <c r="M475" s="290"/>
      <c r="N475" s="290"/>
      <c r="O475" s="290"/>
      <c r="P475" s="290"/>
      <c r="Q475" s="290"/>
      <c r="R475" s="288"/>
      <c r="S475" s="289"/>
    </row>
    <row r="476" spans="5:19">
      <c r="E476" s="284"/>
      <c r="K476" s="290"/>
      <c r="L476" s="290"/>
      <c r="M476" s="290"/>
      <c r="N476" s="290"/>
      <c r="O476" s="290"/>
      <c r="P476" s="290"/>
      <c r="Q476" s="290"/>
      <c r="R476" s="288"/>
      <c r="S476" s="289"/>
    </row>
    <row r="477" spans="5:19">
      <c r="E477" s="284"/>
      <c r="K477" s="290"/>
      <c r="L477" s="290"/>
      <c r="M477" s="290"/>
      <c r="N477" s="290"/>
      <c r="O477" s="290"/>
      <c r="P477" s="290"/>
      <c r="Q477" s="290"/>
      <c r="R477" s="288"/>
      <c r="S477" s="289"/>
    </row>
    <row r="478" spans="5:19">
      <c r="E478" s="284"/>
      <c r="K478" s="290"/>
      <c r="L478" s="290"/>
      <c r="M478" s="290"/>
      <c r="N478" s="290"/>
      <c r="O478" s="290"/>
      <c r="P478" s="290"/>
      <c r="Q478" s="290"/>
      <c r="R478" s="288"/>
      <c r="S478" s="289"/>
    </row>
    <row r="479" spans="5:19">
      <c r="E479" s="284"/>
      <c r="K479" s="290"/>
      <c r="L479" s="290"/>
      <c r="M479" s="290"/>
      <c r="N479" s="290"/>
      <c r="O479" s="290"/>
      <c r="P479" s="290"/>
      <c r="Q479" s="290"/>
      <c r="R479" s="288"/>
      <c r="S479" s="289"/>
    </row>
    <row r="480" spans="5:19">
      <c r="E480" s="284"/>
      <c r="K480" s="290"/>
      <c r="L480" s="290"/>
      <c r="M480" s="290"/>
      <c r="N480" s="290"/>
      <c r="O480" s="290"/>
      <c r="P480" s="290"/>
      <c r="Q480" s="290"/>
      <c r="R480" s="288"/>
      <c r="S480" s="289"/>
    </row>
    <row r="481" spans="5:19">
      <c r="E481" s="284"/>
      <c r="K481" s="290"/>
      <c r="L481" s="290"/>
      <c r="M481" s="290"/>
      <c r="N481" s="290"/>
      <c r="O481" s="290"/>
      <c r="P481" s="290"/>
      <c r="Q481" s="290"/>
      <c r="R481" s="288"/>
      <c r="S481" s="289"/>
    </row>
    <row r="482" spans="5:19">
      <c r="E482" s="284"/>
      <c r="K482" s="290"/>
      <c r="L482" s="290"/>
      <c r="M482" s="290"/>
      <c r="N482" s="290"/>
      <c r="O482" s="290"/>
      <c r="P482" s="290"/>
      <c r="Q482" s="290"/>
      <c r="R482" s="288"/>
      <c r="S482" s="289"/>
    </row>
    <row r="483" spans="5:19">
      <c r="E483" s="284"/>
      <c r="K483" s="290"/>
      <c r="L483" s="290"/>
      <c r="M483" s="290"/>
      <c r="N483" s="290"/>
      <c r="O483" s="290"/>
      <c r="P483" s="290"/>
      <c r="Q483" s="290"/>
      <c r="R483" s="288"/>
      <c r="S483" s="289"/>
    </row>
    <row r="484" spans="5:19">
      <c r="E484" s="284"/>
      <c r="K484" s="290"/>
      <c r="L484" s="290"/>
      <c r="M484" s="290"/>
      <c r="N484" s="290"/>
      <c r="O484" s="290"/>
      <c r="P484" s="290"/>
      <c r="Q484" s="290"/>
      <c r="R484" s="288"/>
      <c r="S484" s="289"/>
    </row>
    <row r="485" spans="5:19">
      <c r="E485" s="284"/>
      <c r="K485" s="290"/>
      <c r="L485" s="290"/>
      <c r="M485" s="290"/>
      <c r="N485" s="290"/>
      <c r="O485" s="290"/>
      <c r="P485" s="290"/>
      <c r="Q485" s="290"/>
      <c r="R485" s="288"/>
      <c r="S485" s="289"/>
    </row>
    <row r="486" spans="5:19">
      <c r="E486" s="284"/>
      <c r="K486" s="290"/>
      <c r="L486" s="290"/>
      <c r="M486" s="290"/>
      <c r="N486" s="290"/>
      <c r="O486" s="290"/>
      <c r="P486" s="290"/>
      <c r="Q486" s="290"/>
      <c r="R486" s="288"/>
      <c r="S486" s="289"/>
    </row>
    <row r="487" spans="5:19">
      <c r="E487" s="284"/>
      <c r="K487" s="290"/>
      <c r="L487" s="290"/>
      <c r="M487" s="290"/>
      <c r="N487" s="290"/>
      <c r="O487" s="290"/>
      <c r="P487" s="290"/>
      <c r="Q487" s="290"/>
      <c r="R487" s="288"/>
      <c r="S487" s="289"/>
    </row>
    <row r="488" spans="5:19">
      <c r="E488" s="284"/>
      <c r="K488" s="290"/>
      <c r="L488" s="290"/>
      <c r="M488" s="290"/>
      <c r="N488" s="290"/>
      <c r="O488" s="290"/>
      <c r="P488" s="290"/>
      <c r="Q488" s="290"/>
      <c r="R488" s="288"/>
      <c r="S488" s="289"/>
    </row>
    <row r="489" spans="5:19">
      <c r="E489" s="284"/>
      <c r="K489" s="290"/>
      <c r="L489" s="290"/>
      <c r="M489" s="290"/>
      <c r="N489" s="290"/>
      <c r="O489" s="290"/>
      <c r="P489" s="290"/>
      <c r="Q489" s="290"/>
      <c r="R489" s="288"/>
      <c r="S489" s="289"/>
    </row>
    <row r="490" spans="5:19">
      <c r="E490" s="284"/>
      <c r="K490" s="290"/>
      <c r="L490" s="290"/>
      <c r="M490" s="290"/>
      <c r="N490" s="290"/>
      <c r="O490" s="290"/>
      <c r="P490" s="290"/>
      <c r="Q490" s="290"/>
      <c r="R490" s="288"/>
      <c r="S490" s="289"/>
    </row>
    <row r="491" spans="5:19">
      <c r="E491" s="284"/>
      <c r="K491" s="290"/>
      <c r="L491" s="290"/>
      <c r="M491" s="290"/>
      <c r="N491" s="290"/>
      <c r="O491" s="290"/>
      <c r="P491" s="290"/>
      <c r="Q491" s="290"/>
      <c r="R491" s="288"/>
      <c r="S491" s="289"/>
    </row>
    <row r="492" spans="5:19">
      <c r="E492" s="284"/>
      <c r="K492" s="290"/>
      <c r="L492" s="290"/>
      <c r="M492" s="290"/>
      <c r="N492" s="290"/>
      <c r="O492" s="290"/>
      <c r="P492" s="290"/>
      <c r="Q492" s="290"/>
      <c r="R492" s="288"/>
      <c r="S492" s="289"/>
    </row>
    <row r="493" spans="5:19">
      <c r="E493" s="284"/>
      <c r="K493" s="290"/>
      <c r="L493" s="290"/>
      <c r="M493" s="290"/>
      <c r="N493" s="290"/>
      <c r="O493" s="290"/>
      <c r="P493" s="290"/>
      <c r="Q493" s="290"/>
      <c r="R493" s="288"/>
      <c r="S493" s="289"/>
    </row>
    <row r="494" spans="5:19">
      <c r="E494" s="284"/>
      <c r="K494" s="290"/>
      <c r="L494" s="290"/>
      <c r="M494" s="290"/>
      <c r="N494" s="290"/>
      <c r="O494" s="290"/>
      <c r="P494" s="290"/>
      <c r="Q494" s="290"/>
      <c r="R494" s="288"/>
      <c r="S494" s="289"/>
    </row>
    <row r="495" spans="5:19">
      <c r="E495" s="284"/>
      <c r="K495" s="290"/>
      <c r="L495" s="290"/>
      <c r="M495" s="290"/>
      <c r="N495" s="290"/>
      <c r="O495" s="290"/>
      <c r="P495" s="290"/>
      <c r="Q495" s="290"/>
      <c r="R495" s="288"/>
      <c r="S495" s="289"/>
    </row>
    <row r="496" spans="5:19">
      <c r="E496" s="284"/>
      <c r="K496" s="290"/>
      <c r="L496" s="290"/>
      <c r="M496" s="290"/>
      <c r="N496" s="290"/>
      <c r="O496" s="290"/>
      <c r="P496" s="290"/>
      <c r="Q496" s="290"/>
      <c r="R496" s="288"/>
      <c r="S496" s="289"/>
    </row>
    <row r="497" spans="5:19">
      <c r="E497" s="284"/>
      <c r="K497" s="290"/>
      <c r="L497" s="290"/>
      <c r="M497" s="290"/>
      <c r="N497" s="290"/>
      <c r="O497" s="290"/>
      <c r="P497" s="290"/>
      <c r="Q497" s="290"/>
      <c r="R497" s="288"/>
      <c r="S497" s="289"/>
    </row>
    <row r="498" spans="5:19">
      <c r="E498" s="284"/>
      <c r="K498" s="290"/>
      <c r="L498" s="290"/>
      <c r="M498" s="290"/>
      <c r="N498" s="290"/>
      <c r="O498" s="290"/>
      <c r="P498" s="290"/>
      <c r="Q498" s="290"/>
      <c r="R498" s="288"/>
      <c r="S498" s="289"/>
    </row>
    <row r="499" spans="5:19">
      <c r="E499" s="284"/>
      <c r="K499" s="290"/>
      <c r="L499" s="290"/>
      <c r="M499" s="290"/>
      <c r="N499" s="290"/>
      <c r="O499" s="290"/>
      <c r="P499" s="290"/>
      <c r="Q499" s="290"/>
      <c r="R499" s="288"/>
      <c r="S499" s="289"/>
    </row>
    <row r="500" spans="5:19">
      <c r="E500" s="284"/>
      <c r="K500" s="290"/>
      <c r="L500" s="290"/>
      <c r="M500" s="290"/>
      <c r="N500" s="290"/>
      <c r="O500" s="290"/>
      <c r="P500" s="290"/>
      <c r="Q500" s="290"/>
      <c r="R500" s="288"/>
      <c r="S500" s="289"/>
    </row>
    <row r="501" spans="5:19">
      <c r="E501" s="284"/>
      <c r="K501" s="290"/>
      <c r="L501" s="290"/>
      <c r="M501" s="290"/>
      <c r="N501" s="290"/>
      <c r="O501" s="290"/>
      <c r="P501" s="290"/>
      <c r="Q501" s="290"/>
      <c r="R501" s="288"/>
      <c r="S501" s="289"/>
    </row>
    <row r="502" spans="5:19">
      <c r="E502" s="284"/>
      <c r="K502" s="290"/>
      <c r="L502" s="290"/>
      <c r="M502" s="290"/>
      <c r="N502" s="290"/>
      <c r="O502" s="290"/>
      <c r="P502" s="290"/>
      <c r="Q502" s="290"/>
      <c r="R502" s="288"/>
      <c r="S502" s="289"/>
    </row>
    <row r="503" spans="5:19">
      <c r="E503" s="284"/>
      <c r="K503" s="290"/>
      <c r="L503" s="290"/>
      <c r="M503" s="290"/>
      <c r="N503" s="290"/>
      <c r="O503" s="290"/>
      <c r="P503" s="290"/>
      <c r="Q503" s="290"/>
      <c r="R503" s="288"/>
      <c r="S503" s="289"/>
    </row>
    <row r="504" spans="5:19">
      <c r="E504" s="284"/>
      <c r="K504" s="290"/>
      <c r="L504" s="290"/>
      <c r="M504" s="290"/>
      <c r="N504" s="290"/>
      <c r="O504" s="290"/>
      <c r="P504" s="290"/>
      <c r="Q504" s="290"/>
      <c r="R504" s="288"/>
      <c r="S504" s="289"/>
    </row>
    <row r="505" spans="5:19">
      <c r="E505" s="284"/>
      <c r="K505" s="290"/>
      <c r="L505" s="290"/>
      <c r="M505" s="290"/>
      <c r="N505" s="290"/>
      <c r="O505" s="290"/>
      <c r="P505" s="290"/>
      <c r="Q505" s="290"/>
      <c r="R505" s="288"/>
      <c r="S505" s="289"/>
    </row>
    <row r="506" spans="5:19">
      <c r="E506" s="284"/>
      <c r="K506" s="290"/>
      <c r="L506" s="290"/>
      <c r="M506" s="290"/>
      <c r="N506" s="290"/>
      <c r="O506" s="290"/>
      <c r="P506" s="290"/>
      <c r="Q506" s="290"/>
      <c r="R506" s="288"/>
      <c r="S506" s="289"/>
    </row>
    <row r="507" spans="5:19">
      <c r="E507" s="284"/>
      <c r="K507" s="290"/>
      <c r="L507" s="290"/>
      <c r="M507" s="290"/>
      <c r="N507" s="290"/>
      <c r="O507" s="290"/>
      <c r="P507" s="290"/>
      <c r="Q507" s="290"/>
      <c r="R507" s="288"/>
      <c r="S507" s="289"/>
    </row>
    <row r="508" spans="5:19">
      <c r="E508" s="284"/>
      <c r="K508" s="290"/>
      <c r="L508" s="290"/>
      <c r="M508" s="290"/>
      <c r="N508" s="290"/>
      <c r="O508" s="290"/>
      <c r="P508" s="290"/>
      <c r="Q508" s="290"/>
      <c r="R508" s="288"/>
      <c r="S508" s="289"/>
    </row>
    <row r="509" spans="5:19">
      <c r="E509" s="284"/>
      <c r="K509" s="290"/>
      <c r="L509" s="290"/>
      <c r="M509" s="290"/>
      <c r="N509" s="290"/>
      <c r="O509" s="290"/>
      <c r="P509" s="290"/>
      <c r="Q509" s="290"/>
      <c r="R509" s="288"/>
      <c r="S509" s="289"/>
    </row>
    <row r="510" spans="5:19">
      <c r="E510" s="284"/>
      <c r="K510" s="290"/>
      <c r="L510" s="290"/>
      <c r="M510" s="290"/>
      <c r="N510" s="290"/>
      <c r="O510" s="290"/>
      <c r="P510" s="290"/>
      <c r="Q510" s="290"/>
      <c r="R510" s="288"/>
      <c r="S510" s="289"/>
    </row>
    <row r="511" spans="5:19">
      <c r="E511" s="284"/>
      <c r="K511" s="290"/>
      <c r="L511" s="290"/>
      <c r="M511" s="290"/>
      <c r="N511" s="290"/>
      <c r="O511" s="290"/>
      <c r="P511" s="290"/>
      <c r="Q511" s="290"/>
      <c r="R511" s="288"/>
      <c r="S511" s="289"/>
    </row>
    <row r="512" spans="5:19">
      <c r="E512" s="284"/>
      <c r="K512" s="290"/>
      <c r="L512" s="290"/>
      <c r="M512" s="290"/>
      <c r="N512" s="290"/>
      <c r="O512" s="290"/>
      <c r="P512" s="290"/>
      <c r="Q512" s="290"/>
      <c r="R512" s="288"/>
      <c r="S512" s="289"/>
    </row>
    <row r="513" spans="5:19">
      <c r="E513" s="284"/>
      <c r="K513" s="290"/>
      <c r="L513" s="290"/>
      <c r="M513" s="290"/>
      <c r="N513" s="290"/>
      <c r="O513" s="290"/>
      <c r="P513" s="290"/>
      <c r="Q513" s="290"/>
      <c r="R513" s="288"/>
      <c r="S513" s="289"/>
    </row>
    <row r="514" spans="5:19">
      <c r="E514" s="284"/>
      <c r="K514" s="290"/>
      <c r="L514" s="290"/>
      <c r="M514" s="290"/>
      <c r="N514" s="290"/>
      <c r="O514" s="290"/>
      <c r="P514" s="290"/>
      <c r="Q514" s="290"/>
      <c r="R514" s="288"/>
      <c r="S514" s="289"/>
    </row>
    <row r="515" spans="5:19">
      <c r="E515" s="284"/>
      <c r="K515" s="290"/>
      <c r="L515" s="290"/>
      <c r="M515" s="290"/>
      <c r="N515" s="290"/>
      <c r="O515" s="290"/>
      <c r="P515" s="290"/>
      <c r="Q515" s="290"/>
      <c r="R515" s="288"/>
      <c r="S515" s="289"/>
    </row>
    <row r="516" spans="5:19">
      <c r="E516" s="284"/>
      <c r="K516" s="290"/>
      <c r="L516" s="290"/>
      <c r="M516" s="290"/>
      <c r="N516" s="290"/>
      <c r="O516" s="290"/>
      <c r="P516" s="290"/>
      <c r="Q516" s="290"/>
      <c r="R516" s="288"/>
      <c r="S516" s="289"/>
    </row>
    <row r="517" spans="5:19">
      <c r="E517" s="284"/>
      <c r="K517" s="290"/>
      <c r="L517" s="290"/>
      <c r="M517" s="290"/>
      <c r="N517" s="290"/>
      <c r="O517" s="290"/>
      <c r="P517" s="290"/>
      <c r="Q517" s="290"/>
      <c r="R517" s="288"/>
      <c r="S517" s="289"/>
    </row>
    <row r="518" spans="5:19">
      <c r="E518" s="284"/>
      <c r="K518" s="290"/>
      <c r="L518" s="290"/>
      <c r="M518" s="290"/>
      <c r="N518" s="290"/>
      <c r="O518" s="290"/>
      <c r="P518" s="290"/>
      <c r="Q518" s="290"/>
      <c r="R518" s="288"/>
      <c r="S518" s="289"/>
    </row>
    <row r="519" spans="5:19">
      <c r="E519" s="284"/>
      <c r="K519" s="290"/>
      <c r="L519" s="290"/>
      <c r="M519" s="290"/>
      <c r="N519" s="290"/>
      <c r="O519" s="290"/>
      <c r="P519" s="290"/>
      <c r="Q519" s="290"/>
      <c r="R519" s="288"/>
      <c r="S519" s="289"/>
    </row>
    <row r="520" spans="5:19">
      <c r="E520" s="284"/>
      <c r="K520" s="290"/>
      <c r="L520" s="290"/>
      <c r="M520" s="290"/>
      <c r="N520" s="290"/>
      <c r="O520" s="290"/>
      <c r="P520" s="290"/>
      <c r="Q520" s="290"/>
      <c r="R520" s="288"/>
      <c r="S520" s="289"/>
    </row>
    <row r="521" spans="5:19">
      <c r="E521" s="284"/>
      <c r="K521" s="290"/>
      <c r="L521" s="290"/>
      <c r="M521" s="290"/>
      <c r="N521" s="290"/>
      <c r="O521" s="290"/>
      <c r="P521" s="290"/>
      <c r="Q521" s="290"/>
      <c r="R521" s="288"/>
      <c r="S521" s="289"/>
    </row>
    <row r="522" spans="5:19">
      <c r="E522" s="284"/>
      <c r="K522" s="290"/>
      <c r="L522" s="290"/>
      <c r="M522" s="290"/>
      <c r="N522" s="290"/>
      <c r="O522" s="290"/>
      <c r="P522" s="290"/>
      <c r="Q522" s="290"/>
      <c r="R522" s="288"/>
      <c r="S522" s="289"/>
    </row>
    <row r="523" spans="5:19">
      <c r="E523" s="284"/>
      <c r="K523" s="290"/>
      <c r="L523" s="290"/>
      <c r="M523" s="290"/>
      <c r="N523" s="290"/>
      <c r="O523" s="290"/>
      <c r="P523" s="290"/>
      <c r="Q523" s="290"/>
      <c r="R523" s="288"/>
      <c r="S523" s="289"/>
    </row>
    <row r="524" spans="5:19">
      <c r="E524" s="284"/>
      <c r="K524" s="290"/>
      <c r="L524" s="290"/>
      <c r="M524" s="290"/>
      <c r="N524" s="290"/>
      <c r="O524" s="290"/>
      <c r="P524" s="290"/>
      <c r="Q524" s="290"/>
      <c r="R524" s="288"/>
      <c r="S524" s="289"/>
    </row>
    <row r="525" spans="5:19">
      <c r="E525" s="284"/>
      <c r="K525" s="290"/>
      <c r="L525" s="290"/>
      <c r="M525" s="290"/>
      <c r="N525" s="290"/>
      <c r="O525" s="290"/>
      <c r="P525" s="290"/>
      <c r="Q525" s="290"/>
      <c r="R525" s="288"/>
      <c r="S525" s="289"/>
    </row>
    <row r="526" spans="5:19">
      <c r="E526" s="284"/>
      <c r="K526" s="290"/>
      <c r="L526" s="290"/>
      <c r="M526" s="290"/>
      <c r="N526" s="290"/>
      <c r="O526" s="290"/>
      <c r="P526" s="290"/>
      <c r="Q526" s="290"/>
      <c r="R526" s="288"/>
      <c r="S526" s="289"/>
    </row>
    <row r="527" spans="5:19">
      <c r="E527" s="284"/>
      <c r="K527" s="290"/>
      <c r="L527" s="290"/>
      <c r="M527" s="290"/>
      <c r="N527" s="290"/>
      <c r="O527" s="290"/>
      <c r="P527" s="290"/>
      <c r="Q527" s="290"/>
      <c r="R527" s="288"/>
      <c r="S527" s="289"/>
    </row>
    <row r="528" spans="5:19">
      <c r="E528" s="284"/>
      <c r="K528" s="290"/>
      <c r="L528" s="290"/>
      <c r="M528" s="290"/>
      <c r="N528" s="290"/>
      <c r="O528" s="290"/>
      <c r="P528" s="290"/>
      <c r="Q528" s="290"/>
      <c r="R528" s="288"/>
      <c r="S528" s="289"/>
    </row>
    <row r="529" spans="5:19">
      <c r="E529" s="284"/>
      <c r="K529" s="290"/>
      <c r="L529" s="290"/>
      <c r="M529" s="290"/>
      <c r="N529" s="290"/>
      <c r="O529" s="290"/>
      <c r="P529" s="290"/>
      <c r="Q529" s="290"/>
      <c r="R529" s="288"/>
      <c r="S529" s="289"/>
    </row>
    <row r="530" spans="5:19">
      <c r="E530" s="284"/>
      <c r="K530" s="290"/>
      <c r="L530" s="290"/>
      <c r="M530" s="290"/>
      <c r="N530" s="290"/>
      <c r="O530" s="290"/>
      <c r="P530" s="290"/>
      <c r="Q530" s="290"/>
      <c r="R530" s="288"/>
      <c r="S530" s="289"/>
    </row>
    <row r="531" spans="5:19">
      <c r="E531" s="284"/>
      <c r="K531" s="290"/>
      <c r="L531" s="290"/>
      <c r="M531" s="290"/>
      <c r="N531" s="290"/>
      <c r="O531" s="290"/>
      <c r="P531" s="290"/>
      <c r="Q531" s="290"/>
      <c r="R531" s="288"/>
      <c r="S531" s="289"/>
    </row>
    <row r="532" spans="5:19">
      <c r="E532" s="284"/>
      <c r="K532" s="290"/>
      <c r="L532" s="290"/>
      <c r="M532" s="290"/>
      <c r="N532" s="290"/>
      <c r="O532" s="290"/>
      <c r="P532" s="290"/>
      <c r="Q532" s="290"/>
      <c r="R532" s="288"/>
      <c r="S532" s="289"/>
    </row>
    <row r="533" spans="5:19">
      <c r="E533" s="284"/>
      <c r="K533" s="290"/>
      <c r="L533" s="290"/>
      <c r="M533" s="290"/>
      <c r="N533" s="290"/>
      <c r="O533" s="290"/>
      <c r="P533" s="290"/>
      <c r="Q533" s="290"/>
      <c r="R533" s="288"/>
      <c r="S533" s="289"/>
    </row>
    <row r="534" spans="5:19">
      <c r="E534" s="284"/>
      <c r="K534" s="290"/>
      <c r="L534" s="290"/>
      <c r="M534" s="290"/>
      <c r="N534" s="290"/>
      <c r="O534" s="290"/>
      <c r="P534" s="290"/>
      <c r="Q534" s="290"/>
      <c r="R534" s="288"/>
      <c r="S534" s="289"/>
    </row>
    <row r="535" spans="5:19">
      <c r="E535" s="284"/>
      <c r="K535" s="290"/>
      <c r="L535" s="290"/>
      <c r="M535" s="290"/>
      <c r="N535" s="290"/>
      <c r="O535" s="290"/>
      <c r="P535" s="290"/>
      <c r="Q535" s="290"/>
      <c r="R535" s="288"/>
      <c r="S535" s="289"/>
    </row>
    <row r="536" spans="5:19">
      <c r="E536" s="284"/>
      <c r="K536" s="290"/>
      <c r="L536" s="290"/>
      <c r="M536" s="290"/>
      <c r="N536" s="290"/>
      <c r="O536" s="290"/>
      <c r="P536" s="290"/>
      <c r="Q536" s="290"/>
      <c r="R536" s="288"/>
      <c r="S536" s="289"/>
    </row>
    <row r="537" spans="5:19">
      <c r="E537" s="284"/>
      <c r="K537" s="290"/>
      <c r="L537" s="290"/>
      <c r="M537" s="290"/>
      <c r="N537" s="290"/>
      <c r="O537" s="290"/>
      <c r="P537" s="290"/>
      <c r="Q537" s="290"/>
      <c r="R537" s="288"/>
      <c r="S537" s="289"/>
    </row>
    <row r="538" spans="5:19">
      <c r="E538" s="284"/>
      <c r="K538" s="290"/>
      <c r="L538" s="290"/>
      <c r="M538" s="290"/>
      <c r="N538" s="290"/>
      <c r="O538" s="290"/>
      <c r="P538" s="290"/>
      <c r="Q538" s="290"/>
      <c r="R538" s="288"/>
      <c r="S538" s="289"/>
    </row>
    <row r="539" spans="5:19">
      <c r="E539" s="284"/>
      <c r="K539" s="290"/>
      <c r="L539" s="290"/>
      <c r="M539" s="290"/>
      <c r="N539" s="290"/>
      <c r="O539" s="290"/>
      <c r="P539" s="290"/>
      <c r="Q539" s="290"/>
      <c r="R539" s="288"/>
      <c r="S539" s="289"/>
    </row>
    <row r="540" spans="5:19">
      <c r="E540" s="284"/>
      <c r="K540" s="290"/>
      <c r="L540" s="290"/>
      <c r="M540" s="290"/>
      <c r="N540" s="290"/>
      <c r="O540" s="290"/>
      <c r="P540" s="290"/>
      <c r="Q540" s="290"/>
      <c r="R540" s="288"/>
      <c r="S540" s="289"/>
    </row>
    <row r="541" spans="5:19">
      <c r="E541" s="284"/>
      <c r="K541" s="290"/>
      <c r="L541" s="290"/>
      <c r="M541" s="290"/>
      <c r="N541" s="290"/>
      <c r="O541" s="290"/>
      <c r="P541" s="290"/>
      <c r="Q541" s="290"/>
      <c r="R541" s="288"/>
      <c r="S541" s="289"/>
    </row>
    <row r="542" spans="5:19">
      <c r="E542" s="284"/>
      <c r="K542" s="290"/>
      <c r="L542" s="290"/>
      <c r="M542" s="290"/>
      <c r="N542" s="290"/>
      <c r="O542" s="290"/>
      <c r="P542" s="290"/>
      <c r="Q542" s="290"/>
      <c r="R542" s="288"/>
      <c r="S542" s="289"/>
    </row>
    <row r="543" spans="5:19">
      <c r="E543" s="284"/>
      <c r="K543" s="290"/>
      <c r="L543" s="290"/>
      <c r="M543" s="290"/>
      <c r="N543" s="290"/>
      <c r="O543" s="290"/>
      <c r="P543" s="290"/>
      <c r="Q543" s="290"/>
      <c r="R543" s="288"/>
      <c r="S543" s="289"/>
    </row>
    <row r="544" spans="5:19">
      <c r="E544" s="284"/>
      <c r="K544" s="290"/>
      <c r="L544" s="290"/>
      <c r="M544" s="290"/>
      <c r="N544" s="290"/>
      <c r="O544" s="290"/>
      <c r="P544" s="290"/>
      <c r="Q544" s="290"/>
      <c r="R544" s="288"/>
      <c r="S544" s="289"/>
    </row>
    <row r="545" spans="5:19">
      <c r="E545" s="284"/>
      <c r="K545" s="290"/>
      <c r="L545" s="290"/>
      <c r="M545" s="290"/>
      <c r="N545" s="290"/>
      <c r="O545" s="290"/>
      <c r="P545" s="290"/>
      <c r="Q545" s="290"/>
      <c r="R545" s="288"/>
      <c r="S545" s="289"/>
    </row>
    <row r="546" spans="5:19">
      <c r="E546" s="284"/>
      <c r="K546" s="290"/>
      <c r="L546" s="290"/>
      <c r="M546" s="290"/>
      <c r="N546" s="290"/>
      <c r="O546" s="290"/>
      <c r="P546" s="290"/>
      <c r="Q546" s="290"/>
      <c r="R546" s="288"/>
      <c r="S546" s="289"/>
    </row>
    <row r="547" spans="5:19">
      <c r="E547" s="284"/>
      <c r="K547" s="290"/>
      <c r="L547" s="290"/>
      <c r="M547" s="290"/>
      <c r="N547" s="290"/>
      <c r="O547" s="290"/>
      <c r="P547" s="290"/>
      <c r="Q547" s="290"/>
      <c r="R547" s="288"/>
      <c r="S547" s="289"/>
    </row>
    <row r="548" spans="5:19">
      <c r="E548" s="284"/>
      <c r="K548" s="290"/>
      <c r="L548" s="290"/>
      <c r="M548" s="290"/>
      <c r="N548" s="290"/>
      <c r="O548" s="290"/>
      <c r="P548" s="290"/>
      <c r="Q548" s="290"/>
      <c r="R548" s="288"/>
      <c r="S548" s="289"/>
    </row>
    <row r="549" spans="5:19">
      <c r="E549" s="284"/>
      <c r="K549" s="290"/>
      <c r="L549" s="290"/>
      <c r="M549" s="290"/>
      <c r="N549" s="290"/>
      <c r="O549" s="290"/>
      <c r="P549" s="290"/>
      <c r="Q549" s="290"/>
      <c r="R549" s="288"/>
      <c r="S549" s="289"/>
    </row>
    <row r="550" spans="5:19">
      <c r="E550" s="284"/>
      <c r="K550" s="290"/>
      <c r="L550" s="290"/>
      <c r="M550" s="290"/>
      <c r="N550" s="290"/>
      <c r="O550" s="290"/>
      <c r="P550" s="290"/>
      <c r="Q550" s="290"/>
      <c r="R550" s="288"/>
      <c r="S550" s="289"/>
    </row>
    <row r="551" spans="5:19">
      <c r="E551" s="284"/>
      <c r="K551" s="290"/>
      <c r="L551" s="290"/>
      <c r="M551" s="290"/>
      <c r="N551" s="290"/>
      <c r="O551" s="290"/>
      <c r="P551" s="290"/>
      <c r="Q551" s="290"/>
      <c r="R551" s="288"/>
      <c r="S551" s="289"/>
    </row>
    <row r="552" spans="5:19">
      <c r="E552" s="284"/>
      <c r="K552" s="290"/>
      <c r="L552" s="290"/>
      <c r="M552" s="290"/>
      <c r="N552" s="290"/>
      <c r="O552" s="290"/>
      <c r="P552" s="290"/>
      <c r="Q552" s="290"/>
      <c r="R552" s="288"/>
      <c r="S552" s="289"/>
    </row>
    <row r="553" spans="5:19">
      <c r="E553" s="284"/>
      <c r="K553" s="290"/>
      <c r="L553" s="290"/>
      <c r="M553" s="290"/>
      <c r="N553" s="290"/>
      <c r="O553" s="290"/>
      <c r="P553" s="290"/>
      <c r="Q553" s="290"/>
      <c r="R553" s="288"/>
      <c r="S553" s="289"/>
    </row>
    <row r="554" spans="5:19">
      <c r="E554" s="284"/>
      <c r="K554" s="290"/>
      <c r="L554" s="290"/>
      <c r="M554" s="290"/>
      <c r="N554" s="290"/>
      <c r="O554" s="290"/>
      <c r="P554" s="290"/>
      <c r="Q554" s="290"/>
      <c r="R554" s="288"/>
      <c r="S554" s="289"/>
    </row>
    <row r="555" spans="5:19">
      <c r="E555" s="284"/>
      <c r="K555" s="290"/>
      <c r="L555" s="290"/>
      <c r="M555" s="290"/>
      <c r="N555" s="290"/>
      <c r="O555" s="290"/>
      <c r="P555" s="290"/>
      <c r="Q555" s="290"/>
      <c r="R555" s="288"/>
      <c r="S555" s="289"/>
    </row>
    <row r="556" spans="5:19">
      <c r="E556" s="284"/>
      <c r="K556" s="290"/>
      <c r="L556" s="290"/>
      <c r="M556" s="290"/>
      <c r="N556" s="290"/>
      <c r="O556" s="290"/>
      <c r="P556" s="290"/>
      <c r="Q556" s="290"/>
      <c r="R556" s="288"/>
      <c r="S556" s="289"/>
    </row>
    <row r="557" spans="5:19">
      <c r="E557" s="284"/>
      <c r="K557" s="290"/>
      <c r="L557" s="290"/>
      <c r="M557" s="290"/>
      <c r="N557" s="290"/>
      <c r="O557" s="290"/>
      <c r="P557" s="290"/>
      <c r="Q557" s="290"/>
      <c r="R557" s="288"/>
      <c r="S557" s="289"/>
    </row>
    <row r="558" spans="5:19">
      <c r="E558" s="284"/>
      <c r="K558" s="290"/>
      <c r="L558" s="290"/>
      <c r="M558" s="290"/>
      <c r="N558" s="290"/>
      <c r="O558" s="290"/>
      <c r="P558" s="290"/>
      <c r="Q558" s="290"/>
      <c r="R558" s="288"/>
      <c r="S558" s="289"/>
    </row>
    <row r="559" spans="5:19">
      <c r="E559" s="284"/>
      <c r="K559" s="290"/>
      <c r="L559" s="290"/>
      <c r="M559" s="290"/>
      <c r="N559" s="290"/>
      <c r="O559" s="290"/>
      <c r="P559" s="290"/>
      <c r="Q559" s="290"/>
      <c r="R559" s="288"/>
      <c r="S559" s="289"/>
    </row>
    <row r="560" spans="5:19">
      <c r="E560" s="284"/>
      <c r="K560" s="290"/>
      <c r="L560" s="290"/>
      <c r="M560" s="290"/>
      <c r="N560" s="290"/>
      <c r="O560" s="290"/>
      <c r="P560" s="290"/>
      <c r="Q560" s="290"/>
      <c r="R560" s="288"/>
      <c r="S560" s="289"/>
    </row>
    <row r="561" spans="5:19">
      <c r="E561" s="284"/>
      <c r="K561" s="290"/>
      <c r="L561" s="290"/>
      <c r="M561" s="290"/>
      <c r="N561" s="290"/>
      <c r="O561" s="290"/>
      <c r="P561" s="290"/>
      <c r="Q561" s="290"/>
      <c r="R561" s="288"/>
      <c r="S561" s="289"/>
    </row>
    <row r="562" spans="5:19">
      <c r="E562" s="284"/>
      <c r="K562" s="290"/>
      <c r="L562" s="290"/>
      <c r="M562" s="290"/>
      <c r="N562" s="290"/>
      <c r="O562" s="290"/>
      <c r="P562" s="290"/>
      <c r="Q562" s="290"/>
      <c r="R562" s="288"/>
      <c r="S562" s="289"/>
    </row>
    <row r="563" spans="5:19">
      <c r="E563" s="284"/>
      <c r="K563" s="290"/>
      <c r="L563" s="290"/>
      <c r="M563" s="290"/>
      <c r="N563" s="290"/>
      <c r="O563" s="290"/>
      <c r="P563" s="290"/>
      <c r="Q563" s="290"/>
      <c r="R563" s="288"/>
      <c r="S563" s="289"/>
    </row>
    <row r="564" spans="5:19">
      <c r="E564" s="284"/>
      <c r="K564" s="290"/>
      <c r="L564" s="290"/>
      <c r="M564" s="290"/>
      <c r="N564" s="290"/>
      <c r="O564" s="290"/>
      <c r="P564" s="290"/>
      <c r="Q564" s="290"/>
      <c r="R564" s="288"/>
      <c r="S564" s="289"/>
    </row>
    <row r="565" spans="5:19">
      <c r="E565" s="284"/>
      <c r="K565" s="290"/>
      <c r="L565" s="290"/>
      <c r="M565" s="290"/>
      <c r="N565" s="290"/>
      <c r="O565" s="290"/>
      <c r="P565" s="290"/>
      <c r="Q565" s="290"/>
      <c r="R565" s="288"/>
      <c r="S565" s="289"/>
    </row>
    <row r="566" spans="5:19">
      <c r="E566" s="284"/>
      <c r="K566" s="290"/>
      <c r="L566" s="290"/>
      <c r="M566" s="290"/>
      <c r="N566" s="290"/>
      <c r="O566" s="290"/>
      <c r="P566" s="290"/>
      <c r="Q566" s="290"/>
      <c r="R566" s="288"/>
      <c r="S566" s="289"/>
    </row>
    <row r="567" spans="5:19">
      <c r="E567" s="284"/>
      <c r="K567" s="290"/>
      <c r="L567" s="290"/>
      <c r="M567" s="290"/>
      <c r="N567" s="290"/>
      <c r="O567" s="290"/>
      <c r="P567" s="290"/>
      <c r="Q567" s="290"/>
      <c r="R567" s="288"/>
      <c r="S567" s="289"/>
    </row>
    <row r="568" spans="5:19">
      <c r="E568" s="284"/>
      <c r="K568" s="290"/>
      <c r="L568" s="290"/>
      <c r="M568" s="290"/>
      <c r="N568" s="290"/>
      <c r="O568" s="290"/>
      <c r="P568" s="290"/>
      <c r="Q568" s="290"/>
      <c r="R568" s="288"/>
      <c r="S568" s="289"/>
    </row>
    <row r="569" spans="5:19">
      <c r="E569" s="284"/>
      <c r="K569" s="290"/>
      <c r="L569" s="290"/>
      <c r="M569" s="290"/>
      <c r="N569" s="290"/>
      <c r="O569" s="290"/>
      <c r="P569" s="290"/>
      <c r="Q569" s="290"/>
      <c r="R569" s="288"/>
      <c r="S569" s="289"/>
    </row>
    <row r="570" spans="5:19">
      <c r="E570" s="284"/>
      <c r="K570" s="290"/>
      <c r="L570" s="290"/>
      <c r="M570" s="290"/>
      <c r="N570" s="290"/>
      <c r="O570" s="290"/>
      <c r="P570" s="290"/>
      <c r="Q570" s="290"/>
      <c r="R570" s="288"/>
      <c r="S570" s="289"/>
    </row>
    <row r="571" spans="5:19">
      <c r="E571" s="284"/>
      <c r="K571" s="290"/>
      <c r="L571" s="290"/>
      <c r="M571" s="290"/>
      <c r="N571" s="290"/>
      <c r="O571" s="290"/>
      <c r="P571" s="290"/>
      <c r="Q571" s="290"/>
      <c r="R571" s="288"/>
      <c r="S571" s="289"/>
    </row>
    <row r="572" spans="5:19">
      <c r="E572" s="284"/>
      <c r="K572" s="290"/>
      <c r="L572" s="290"/>
      <c r="M572" s="290"/>
      <c r="N572" s="290"/>
      <c r="O572" s="290"/>
      <c r="P572" s="290"/>
      <c r="Q572" s="290"/>
      <c r="R572" s="288"/>
      <c r="S572" s="289"/>
    </row>
    <row r="573" spans="5:19">
      <c r="E573" s="284"/>
      <c r="K573" s="290"/>
      <c r="L573" s="290"/>
      <c r="M573" s="290"/>
      <c r="N573" s="290"/>
      <c r="O573" s="290"/>
      <c r="P573" s="290"/>
      <c r="Q573" s="290"/>
      <c r="R573" s="288"/>
      <c r="S573" s="289"/>
    </row>
    <row r="574" spans="5:19">
      <c r="E574" s="284"/>
      <c r="K574" s="290"/>
      <c r="L574" s="290"/>
      <c r="M574" s="290"/>
      <c r="N574" s="290"/>
      <c r="O574" s="290"/>
      <c r="P574" s="290"/>
      <c r="Q574" s="290"/>
      <c r="R574" s="288"/>
      <c r="S574" s="289"/>
    </row>
    <row r="575" spans="5:19">
      <c r="E575" s="284"/>
      <c r="K575" s="290"/>
      <c r="L575" s="290"/>
      <c r="M575" s="290"/>
      <c r="N575" s="290"/>
      <c r="O575" s="290"/>
      <c r="P575" s="290"/>
      <c r="Q575" s="290"/>
      <c r="R575" s="288"/>
      <c r="S575" s="289"/>
    </row>
    <row r="576" spans="5:19">
      <c r="E576" s="284"/>
      <c r="K576" s="290"/>
      <c r="L576" s="290"/>
      <c r="M576" s="290"/>
      <c r="N576" s="290"/>
      <c r="O576" s="290"/>
      <c r="P576" s="290"/>
      <c r="Q576" s="290"/>
      <c r="R576" s="288"/>
      <c r="S576" s="289"/>
    </row>
    <row r="577" spans="5:19">
      <c r="E577" s="284"/>
      <c r="K577" s="290"/>
      <c r="L577" s="290"/>
      <c r="M577" s="290"/>
      <c r="N577" s="290"/>
      <c r="O577" s="290"/>
      <c r="P577" s="290"/>
      <c r="Q577" s="290"/>
      <c r="R577" s="288"/>
      <c r="S577" s="289"/>
    </row>
    <row r="578" spans="5:19">
      <c r="E578" s="284"/>
      <c r="K578" s="290"/>
      <c r="L578" s="290"/>
      <c r="M578" s="290"/>
      <c r="N578" s="290"/>
      <c r="O578" s="290"/>
      <c r="P578" s="290"/>
      <c r="Q578" s="290"/>
      <c r="R578" s="288"/>
      <c r="S578" s="289"/>
    </row>
    <row r="579" spans="5:19">
      <c r="E579" s="284"/>
      <c r="K579" s="290"/>
      <c r="L579" s="290"/>
      <c r="M579" s="290"/>
      <c r="N579" s="290"/>
      <c r="O579" s="290"/>
      <c r="P579" s="290"/>
      <c r="Q579" s="290"/>
      <c r="R579" s="288"/>
      <c r="S579" s="289"/>
    </row>
    <row r="580" spans="5:19">
      <c r="E580" s="284"/>
      <c r="K580" s="290"/>
      <c r="L580" s="290"/>
      <c r="M580" s="290"/>
      <c r="N580" s="290"/>
      <c r="O580" s="290"/>
      <c r="P580" s="290"/>
      <c r="Q580" s="290"/>
      <c r="R580" s="288"/>
      <c r="S580" s="289"/>
    </row>
    <row r="581" spans="5:19">
      <c r="E581" s="284"/>
      <c r="K581" s="290"/>
      <c r="L581" s="290"/>
      <c r="M581" s="290"/>
      <c r="N581" s="290"/>
      <c r="O581" s="290"/>
      <c r="P581" s="290"/>
      <c r="Q581" s="290"/>
      <c r="R581" s="288"/>
      <c r="S581" s="289"/>
    </row>
    <row r="582" spans="5:19">
      <c r="E582" s="284"/>
      <c r="K582" s="290"/>
      <c r="L582" s="290"/>
      <c r="M582" s="290"/>
      <c r="N582" s="290"/>
      <c r="O582" s="290"/>
      <c r="P582" s="290"/>
      <c r="Q582" s="290"/>
      <c r="R582" s="288"/>
      <c r="S582" s="289"/>
    </row>
    <row r="583" spans="5:19">
      <c r="E583" s="284"/>
      <c r="K583" s="290"/>
      <c r="L583" s="290"/>
      <c r="M583" s="290"/>
      <c r="N583" s="290"/>
      <c r="O583" s="290"/>
      <c r="P583" s="290"/>
      <c r="Q583" s="290"/>
      <c r="R583" s="288"/>
      <c r="S583" s="289"/>
    </row>
    <row r="584" spans="5:19">
      <c r="E584" s="284"/>
      <c r="K584" s="290"/>
      <c r="L584" s="290"/>
      <c r="M584" s="290"/>
      <c r="N584" s="290"/>
      <c r="O584" s="290"/>
      <c r="P584" s="290"/>
      <c r="Q584" s="290"/>
      <c r="R584" s="288"/>
      <c r="S584" s="289"/>
    </row>
    <row r="585" spans="5:19">
      <c r="E585" s="284"/>
      <c r="K585" s="290"/>
      <c r="L585" s="290"/>
      <c r="M585" s="290"/>
      <c r="N585" s="290"/>
      <c r="O585" s="290"/>
      <c r="P585" s="290"/>
      <c r="Q585" s="290"/>
      <c r="R585" s="288"/>
      <c r="S585" s="289"/>
    </row>
    <row r="586" spans="5:19">
      <c r="E586" s="284"/>
      <c r="K586" s="290"/>
      <c r="L586" s="290"/>
      <c r="M586" s="290"/>
      <c r="N586" s="290"/>
      <c r="O586" s="290"/>
      <c r="P586" s="290"/>
      <c r="Q586" s="290"/>
      <c r="R586" s="288"/>
      <c r="S586" s="289"/>
    </row>
    <row r="587" spans="5:19">
      <c r="E587" s="284"/>
      <c r="K587" s="290"/>
      <c r="L587" s="290"/>
      <c r="M587" s="290"/>
      <c r="N587" s="290"/>
      <c r="O587" s="290"/>
      <c r="P587" s="290"/>
      <c r="Q587" s="290"/>
      <c r="R587" s="288"/>
      <c r="S587" s="289"/>
    </row>
    <row r="588" spans="5:19">
      <c r="E588" s="284"/>
      <c r="K588" s="290"/>
      <c r="L588" s="290"/>
      <c r="M588" s="290"/>
      <c r="N588" s="290"/>
      <c r="O588" s="290"/>
      <c r="P588" s="290"/>
      <c r="Q588" s="290"/>
      <c r="R588" s="288"/>
      <c r="S588" s="289"/>
    </row>
    <row r="589" spans="5:19">
      <c r="E589" s="284"/>
      <c r="K589" s="290"/>
      <c r="L589" s="290"/>
      <c r="M589" s="290"/>
      <c r="N589" s="290"/>
      <c r="O589" s="290"/>
      <c r="P589" s="290"/>
      <c r="Q589" s="290"/>
      <c r="R589" s="288"/>
      <c r="S589" s="289"/>
    </row>
    <row r="590" spans="5:19">
      <c r="E590" s="284"/>
      <c r="K590" s="290"/>
      <c r="L590" s="290"/>
      <c r="M590" s="290"/>
      <c r="N590" s="290"/>
      <c r="O590" s="290"/>
      <c r="P590" s="290"/>
      <c r="Q590" s="290"/>
      <c r="R590" s="288"/>
      <c r="S590" s="289"/>
    </row>
    <row r="591" spans="5:19">
      <c r="E591" s="284"/>
      <c r="K591" s="290"/>
      <c r="L591" s="290"/>
      <c r="M591" s="290"/>
      <c r="N591" s="290"/>
      <c r="O591" s="290"/>
      <c r="P591" s="290"/>
      <c r="Q591" s="290"/>
      <c r="R591" s="288"/>
      <c r="S591" s="289"/>
    </row>
    <row r="592" spans="5:19">
      <c r="E592" s="284"/>
      <c r="K592" s="290"/>
      <c r="L592" s="290"/>
      <c r="M592" s="290"/>
      <c r="N592" s="290"/>
      <c r="O592" s="290"/>
      <c r="P592" s="290"/>
      <c r="Q592" s="290"/>
      <c r="R592" s="288"/>
      <c r="S592" s="289"/>
    </row>
    <row r="593" spans="5:19">
      <c r="E593" s="284"/>
      <c r="K593" s="290"/>
      <c r="L593" s="290"/>
      <c r="M593" s="290"/>
      <c r="N593" s="290"/>
      <c r="O593" s="290"/>
      <c r="P593" s="290"/>
      <c r="Q593" s="290"/>
      <c r="R593" s="288"/>
      <c r="S593" s="289"/>
    </row>
    <row r="594" spans="5:19">
      <c r="E594" s="284"/>
      <c r="K594" s="290"/>
      <c r="L594" s="290"/>
      <c r="M594" s="290"/>
      <c r="N594" s="290"/>
      <c r="O594" s="290"/>
      <c r="P594" s="290"/>
      <c r="Q594" s="290"/>
      <c r="R594" s="288"/>
      <c r="S594" s="289"/>
    </row>
    <row r="595" spans="5:19">
      <c r="E595" s="284"/>
      <c r="K595" s="290"/>
      <c r="L595" s="290"/>
      <c r="M595" s="290"/>
      <c r="N595" s="290"/>
      <c r="O595" s="290"/>
      <c r="P595" s="290"/>
      <c r="Q595" s="290"/>
      <c r="R595" s="288"/>
      <c r="S595" s="289"/>
    </row>
    <row r="596" spans="5:19">
      <c r="E596" s="284"/>
      <c r="K596" s="290"/>
      <c r="L596" s="290"/>
      <c r="M596" s="290"/>
      <c r="N596" s="290"/>
      <c r="O596" s="290"/>
      <c r="P596" s="290"/>
      <c r="Q596" s="290"/>
      <c r="R596" s="288"/>
      <c r="S596" s="289"/>
    </row>
    <row r="597" spans="5:19">
      <c r="E597" s="284"/>
      <c r="K597" s="290"/>
      <c r="L597" s="290"/>
      <c r="M597" s="290"/>
      <c r="N597" s="290"/>
      <c r="O597" s="290"/>
      <c r="P597" s="290"/>
      <c r="Q597" s="290"/>
      <c r="R597" s="288"/>
      <c r="S597" s="289"/>
    </row>
    <row r="598" spans="5:19">
      <c r="E598" s="284"/>
      <c r="K598" s="290"/>
      <c r="L598" s="290"/>
      <c r="M598" s="290"/>
      <c r="N598" s="290"/>
      <c r="O598" s="290"/>
      <c r="P598" s="290"/>
      <c r="Q598" s="290"/>
      <c r="R598" s="288"/>
      <c r="S598" s="289"/>
    </row>
    <row r="599" spans="5:19">
      <c r="E599" s="284"/>
      <c r="K599" s="290"/>
      <c r="L599" s="290"/>
      <c r="M599" s="290"/>
      <c r="N599" s="290"/>
      <c r="O599" s="290"/>
      <c r="P599" s="290"/>
      <c r="Q599" s="290"/>
      <c r="R599" s="288"/>
      <c r="S599" s="289"/>
    </row>
    <row r="600" spans="5:19">
      <c r="E600" s="284"/>
      <c r="K600" s="290"/>
      <c r="L600" s="290"/>
      <c r="M600" s="290"/>
      <c r="N600" s="290"/>
      <c r="O600" s="290"/>
      <c r="P600" s="290"/>
      <c r="Q600" s="290"/>
      <c r="R600" s="288"/>
      <c r="S600" s="289"/>
    </row>
    <row r="601" spans="5:19">
      <c r="E601" s="284"/>
      <c r="K601" s="290"/>
      <c r="L601" s="290"/>
      <c r="M601" s="290"/>
      <c r="N601" s="290"/>
      <c r="O601" s="290"/>
      <c r="P601" s="290"/>
      <c r="Q601" s="290"/>
      <c r="R601" s="288"/>
      <c r="S601" s="289"/>
    </row>
    <row r="602" spans="5:19">
      <c r="E602" s="284"/>
      <c r="K602" s="290"/>
      <c r="L602" s="290"/>
      <c r="M602" s="290"/>
      <c r="N602" s="290"/>
      <c r="O602" s="290"/>
      <c r="P602" s="290"/>
      <c r="Q602" s="290"/>
      <c r="R602" s="288"/>
      <c r="S602" s="289"/>
    </row>
    <row r="603" spans="5:19">
      <c r="E603" s="284"/>
      <c r="K603" s="290"/>
      <c r="L603" s="290"/>
      <c r="M603" s="290"/>
      <c r="N603" s="290"/>
      <c r="O603" s="290"/>
      <c r="P603" s="290"/>
      <c r="Q603" s="290"/>
      <c r="R603" s="288"/>
      <c r="S603" s="289"/>
    </row>
    <row r="604" spans="5:19">
      <c r="E604" s="284"/>
      <c r="K604" s="290"/>
      <c r="L604" s="290"/>
      <c r="M604" s="290"/>
      <c r="N604" s="290"/>
      <c r="O604" s="290"/>
      <c r="P604" s="290"/>
      <c r="Q604" s="290"/>
      <c r="R604" s="288"/>
      <c r="S604" s="289"/>
    </row>
    <row r="605" spans="5:19">
      <c r="E605" s="284"/>
      <c r="K605" s="290"/>
      <c r="L605" s="290"/>
      <c r="M605" s="290"/>
      <c r="N605" s="290"/>
      <c r="O605" s="290"/>
      <c r="P605" s="290"/>
      <c r="Q605" s="290"/>
      <c r="R605" s="288"/>
      <c r="S605" s="289"/>
    </row>
    <row r="606" spans="5:19">
      <c r="E606" s="284"/>
      <c r="K606" s="290"/>
      <c r="L606" s="290"/>
      <c r="M606" s="290"/>
      <c r="N606" s="290"/>
      <c r="O606" s="290"/>
      <c r="P606" s="290"/>
      <c r="Q606" s="290"/>
      <c r="R606" s="288"/>
      <c r="S606" s="289"/>
    </row>
    <row r="607" spans="5:19">
      <c r="E607" s="284"/>
      <c r="K607" s="290"/>
      <c r="L607" s="290"/>
      <c r="M607" s="290"/>
      <c r="N607" s="290"/>
      <c r="O607" s="290"/>
      <c r="P607" s="290"/>
      <c r="Q607" s="290"/>
      <c r="R607" s="288"/>
      <c r="S607" s="289"/>
    </row>
    <row r="608" spans="5:19">
      <c r="E608" s="284"/>
      <c r="K608" s="290"/>
      <c r="L608" s="290"/>
      <c r="M608" s="290"/>
      <c r="N608" s="290"/>
      <c r="O608" s="290"/>
      <c r="P608" s="290"/>
      <c r="Q608" s="290"/>
      <c r="R608" s="288"/>
      <c r="S608" s="289"/>
    </row>
    <row r="609" spans="5:19">
      <c r="E609" s="284"/>
      <c r="K609" s="290"/>
      <c r="L609" s="290"/>
      <c r="M609" s="290"/>
      <c r="N609" s="290"/>
      <c r="O609" s="290"/>
      <c r="P609" s="290"/>
      <c r="Q609" s="290"/>
      <c r="R609" s="288"/>
      <c r="S609" s="289"/>
    </row>
    <row r="610" spans="5:19">
      <c r="E610" s="284"/>
      <c r="K610" s="290"/>
      <c r="L610" s="290"/>
      <c r="M610" s="290"/>
      <c r="N610" s="290"/>
      <c r="O610" s="290"/>
      <c r="P610" s="290"/>
      <c r="Q610" s="290"/>
      <c r="R610" s="288"/>
      <c r="S610" s="289"/>
    </row>
    <row r="611" spans="5:19">
      <c r="E611" s="284"/>
      <c r="K611" s="290"/>
      <c r="L611" s="290"/>
      <c r="M611" s="290"/>
      <c r="N611" s="290"/>
      <c r="O611" s="290"/>
      <c r="P611" s="290"/>
      <c r="Q611" s="290"/>
      <c r="R611" s="288"/>
      <c r="S611" s="289"/>
    </row>
    <row r="612" spans="5:19">
      <c r="E612" s="284"/>
      <c r="K612" s="290"/>
      <c r="L612" s="290"/>
      <c r="M612" s="290"/>
      <c r="N612" s="290"/>
      <c r="O612" s="290"/>
      <c r="P612" s="290"/>
      <c r="Q612" s="290"/>
      <c r="R612" s="288"/>
      <c r="S612" s="289"/>
    </row>
    <row r="613" spans="5:19">
      <c r="E613" s="284"/>
      <c r="K613" s="290"/>
      <c r="L613" s="290"/>
      <c r="M613" s="290"/>
      <c r="N613" s="290"/>
      <c r="O613" s="290"/>
      <c r="P613" s="290"/>
      <c r="Q613" s="290"/>
      <c r="R613" s="288"/>
      <c r="S613" s="289"/>
    </row>
    <row r="614" spans="5:19">
      <c r="E614" s="284"/>
      <c r="K614" s="290"/>
      <c r="L614" s="290"/>
      <c r="M614" s="290"/>
      <c r="N614" s="290"/>
      <c r="O614" s="290"/>
      <c r="P614" s="290"/>
      <c r="Q614" s="290"/>
      <c r="R614" s="288"/>
      <c r="S614" s="289"/>
    </row>
    <row r="615" spans="5:19">
      <c r="E615" s="284"/>
      <c r="K615" s="290"/>
      <c r="L615" s="290"/>
      <c r="M615" s="290"/>
      <c r="N615" s="290"/>
      <c r="O615" s="290"/>
      <c r="P615" s="290"/>
      <c r="Q615" s="290"/>
      <c r="R615" s="288"/>
      <c r="S615" s="289"/>
    </row>
    <row r="616" spans="5:19">
      <c r="E616" s="284"/>
      <c r="K616" s="290"/>
      <c r="L616" s="290"/>
      <c r="M616" s="290"/>
      <c r="N616" s="290"/>
      <c r="O616" s="290"/>
      <c r="P616" s="290"/>
      <c r="Q616" s="290"/>
      <c r="R616" s="288"/>
      <c r="S616" s="289"/>
    </row>
    <row r="617" spans="5:19">
      <c r="E617" s="284"/>
      <c r="K617" s="290"/>
      <c r="L617" s="290"/>
      <c r="M617" s="290"/>
      <c r="N617" s="290"/>
      <c r="O617" s="290"/>
      <c r="P617" s="290"/>
      <c r="Q617" s="290"/>
      <c r="R617" s="288"/>
      <c r="S617" s="289"/>
    </row>
    <row r="618" spans="5:19">
      <c r="E618" s="284"/>
      <c r="K618" s="290"/>
      <c r="L618" s="290"/>
      <c r="M618" s="290"/>
      <c r="N618" s="290"/>
      <c r="O618" s="290"/>
      <c r="P618" s="290"/>
      <c r="Q618" s="290"/>
      <c r="R618" s="288"/>
      <c r="S618" s="289"/>
    </row>
    <row r="619" spans="5:19">
      <c r="E619" s="284"/>
      <c r="K619" s="290"/>
      <c r="L619" s="290"/>
      <c r="M619" s="290"/>
      <c r="N619" s="290"/>
      <c r="O619" s="290"/>
      <c r="P619" s="290"/>
      <c r="Q619" s="290"/>
      <c r="R619" s="288"/>
      <c r="S619" s="289"/>
    </row>
    <row r="620" spans="5:19">
      <c r="E620" s="284"/>
      <c r="K620" s="290"/>
      <c r="L620" s="290"/>
      <c r="M620" s="290"/>
      <c r="N620" s="290"/>
      <c r="O620" s="290"/>
      <c r="P620" s="290"/>
      <c r="Q620" s="290"/>
      <c r="R620" s="288"/>
      <c r="S620" s="289"/>
    </row>
    <row r="621" spans="5:19">
      <c r="E621" s="284"/>
      <c r="K621" s="290"/>
      <c r="L621" s="290"/>
      <c r="M621" s="290"/>
      <c r="N621" s="290"/>
      <c r="O621" s="290"/>
      <c r="P621" s="290"/>
      <c r="Q621" s="290"/>
      <c r="R621" s="288"/>
      <c r="S621" s="289"/>
    </row>
    <row r="622" spans="5:19">
      <c r="E622" s="284"/>
      <c r="K622" s="290"/>
      <c r="L622" s="290"/>
      <c r="M622" s="290"/>
      <c r="N622" s="290"/>
      <c r="O622" s="290"/>
      <c r="P622" s="290"/>
      <c r="Q622" s="290"/>
      <c r="R622" s="288"/>
      <c r="S622" s="289"/>
    </row>
    <row r="623" spans="5:19">
      <c r="E623" s="284"/>
      <c r="K623" s="290"/>
      <c r="L623" s="290"/>
      <c r="M623" s="290"/>
      <c r="N623" s="290"/>
      <c r="O623" s="290"/>
      <c r="P623" s="290"/>
      <c r="Q623" s="290"/>
      <c r="R623" s="288"/>
      <c r="S623" s="289"/>
    </row>
    <row r="624" spans="5:19">
      <c r="E624" s="284"/>
      <c r="K624" s="290"/>
      <c r="L624" s="290"/>
      <c r="M624" s="290"/>
      <c r="N624" s="290"/>
      <c r="O624" s="290"/>
      <c r="P624" s="290"/>
      <c r="Q624" s="290"/>
      <c r="R624" s="288"/>
      <c r="S624" s="289"/>
    </row>
    <row r="625" spans="5:19">
      <c r="E625" s="284"/>
      <c r="K625" s="290"/>
      <c r="L625" s="290"/>
      <c r="M625" s="290"/>
      <c r="N625" s="290"/>
      <c r="O625" s="290"/>
      <c r="P625" s="290"/>
      <c r="Q625" s="290"/>
      <c r="R625" s="288"/>
      <c r="S625" s="289"/>
    </row>
    <row r="626" spans="5:19">
      <c r="E626" s="284"/>
      <c r="K626" s="290"/>
      <c r="L626" s="290"/>
      <c r="M626" s="290"/>
      <c r="N626" s="290"/>
      <c r="O626" s="290"/>
      <c r="P626" s="290"/>
      <c r="Q626" s="290"/>
      <c r="R626" s="288"/>
      <c r="S626" s="289"/>
    </row>
    <row r="627" spans="5:19">
      <c r="E627" s="284"/>
      <c r="K627" s="290"/>
      <c r="L627" s="290"/>
      <c r="M627" s="290"/>
      <c r="N627" s="290"/>
      <c r="O627" s="290"/>
      <c r="P627" s="290"/>
      <c r="Q627" s="290"/>
      <c r="R627" s="288"/>
      <c r="S627" s="289"/>
    </row>
    <row r="628" spans="5:19">
      <c r="E628" s="284"/>
      <c r="K628" s="290"/>
      <c r="L628" s="290"/>
      <c r="M628" s="290"/>
      <c r="N628" s="290"/>
      <c r="O628" s="290"/>
      <c r="P628" s="290"/>
      <c r="Q628" s="290"/>
      <c r="R628" s="288"/>
      <c r="S628" s="289"/>
    </row>
    <row r="629" spans="5:19">
      <c r="E629" s="284"/>
      <c r="K629" s="290"/>
      <c r="L629" s="290"/>
      <c r="M629" s="290"/>
      <c r="N629" s="290"/>
      <c r="O629" s="290"/>
      <c r="P629" s="290"/>
      <c r="Q629" s="290"/>
      <c r="R629" s="288"/>
      <c r="S629" s="289"/>
    </row>
    <row r="630" spans="5:19">
      <c r="E630" s="284"/>
      <c r="K630" s="290"/>
      <c r="L630" s="290"/>
      <c r="M630" s="290"/>
      <c r="N630" s="290"/>
      <c r="O630" s="290"/>
      <c r="P630" s="290"/>
      <c r="Q630" s="290"/>
      <c r="R630" s="288"/>
      <c r="S630" s="289"/>
    </row>
    <row r="631" spans="5:19">
      <c r="E631" s="284"/>
      <c r="K631" s="290"/>
      <c r="L631" s="290"/>
      <c r="M631" s="290"/>
      <c r="N631" s="290"/>
      <c r="O631" s="290"/>
      <c r="P631" s="290"/>
      <c r="Q631" s="290"/>
      <c r="R631" s="288"/>
      <c r="S631" s="289"/>
    </row>
    <row r="632" spans="5:19">
      <c r="E632" s="284"/>
      <c r="K632" s="290"/>
      <c r="L632" s="290"/>
      <c r="M632" s="290"/>
      <c r="N632" s="290"/>
      <c r="O632" s="290"/>
      <c r="P632" s="290"/>
      <c r="Q632" s="290"/>
      <c r="R632" s="288"/>
      <c r="S632" s="289"/>
    </row>
    <row r="633" spans="5:19">
      <c r="E633" s="284"/>
      <c r="K633" s="290"/>
      <c r="L633" s="290"/>
      <c r="M633" s="290"/>
      <c r="N633" s="290"/>
      <c r="O633" s="290"/>
      <c r="P633" s="290"/>
      <c r="Q633" s="290"/>
      <c r="R633" s="288"/>
      <c r="S633" s="289"/>
    </row>
    <row r="634" spans="5:19">
      <c r="E634" s="284"/>
      <c r="K634" s="290"/>
      <c r="L634" s="290"/>
      <c r="M634" s="290"/>
      <c r="N634" s="290"/>
      <c r="O634" s="290"/>
      <c r="P634" s="290"/>
      <c r="Q634" s="290"/>
      <c r="R634" s="288"/>
      <c r="S634" s="289"/>
    </row>
    <row r="635" spans="5:19">
      <c r="E635" s="284"/>
      <c r="K635" s="290"/>
      <c r="L635" s="290"/>
      <c r="M635" s="290"/>
      <c r="N635" s="290"/>
      <c r="O635" s="290"/>
      <c r="P635" s="290"/>
      <c r="Q635" s="290"/>
      <c r="R635" s="288"/>
      <c r="S635" s="289"/>
    </row>
    <row r="636" spans="5:19">
      <c r="E636" s="284"/>
      <c r="K636" s="290"/>
      <c r="L636" s="290"/>
      <c r="M636" s="290"/>
      <c r="N636" s="290"/>
      <c r="O636" s="290"/>
      <c r="P636" s="290"/>
      <c r="Q636" s="290"/>
      <c r="R636" s="288"/>
      <c r="S636" s="289"/>
    </row>
    <row r="637" spans="5:19">
      <c r="E637" s="284"/>
      <c r="K637" s="290"/>
      <c r="L637" s="290"/>
      <c r="M637" s="290"/>
      <c r="N637" s="290"/>
      <c r="O637" s="290"/>
      <c r="P637" s="290"/>
      <c r="Q637" s="290"/>
      <c r="R637" s="288"/>
      <c r="S637" s="289"/>
    </row>
    <row r="638" spans="5:19">
      <c r="E638" s="284"/>
      <c r="K638" s="290"/>
      <c r="L638" s="290"/>
      <c r="M638" s="290"/>
      <c r="N638" s="290"/>
      <c r="O638" s="290"/>
      <c r="P638" s="290"/>
      <c r="Q638" s="290"/>
      <c r="R638" s="288"/>
      <c r="S638" s="289"/>
    </row>
    <row r="639" spans="5:19">
      <c r="E639" s="284"/>
      <c r="K639" s="290"/>
      <c r="L639" s="290"/>
      <c r="M639" s="290"/>
      <c r="N639" s="290"/>
      <c r="O639" s="290"/>
      <c r="P639" s="290"/>
      <c r="Q639" s="290"/>
      <c r="R639" s="288"/>
      <c r="S639" s="289"/>
    </row>
    <row r="640" spans="5:19">
      <c r="E640" s="284"/>
      <c r="K640" s="290"/>
      <c r="L640" s="290"/>
      <c r="M640" s="290"/>
      <c r="N640" s="290"/>
      <c r="O640" s="290"/>
      <c r="P640" s="290"/>
      <c r="Q640" s="290"/>
      <c r="R640" s="288"/>
      <c r="S640" s="289"/>
    </row>
    <row r="641" spans="5:19">
      <c r="E641" s="284"/>
      <c r="K641" s="290"/>
      <c r="L641" s="290"/>
      <c r="M641" s="290"/>
      <c r="N641" s="290"/>
      <c r="O641" s="290"/>
      <c r="P641" s="290"/>
      <c r="Q641" s="290"/>
      <c r="R641" s="288"/>
      <c r="S641" s="289"/>
    </row>
    <row r="642" spans="5:19">
      <c r="E642" s="284"/>
      <c r="K642" s="290"/>
      <c r="L642" s="290"/>
      <c r="M642" s="290"/>
      <c r="N642" s="290"/>
      <c r="O642" s="290"/>
      <c r="P642" s="290"/>
      <c r="Q642" s="290"/>
      <c r="R642" s="288"/>
      <c r="S642" s="289"/>
    </row>
    <row r="643" spans="5:19">
      <c r="E643" s="284"/>
      <c r="K643" s="290"/>
      <c r="L643" s="290"/>
      <c r="M643" s="290"/>
      <c r="N643" s="290"/>
      <c r="O643" s="290"/>
      <c r="P643" s="290"/>
      <c r="Q643" s="290"/>
      <c r="R643" s="288"/>
      <c r="S643" s="289"/>
    </row>
    <row r="644" spans="5:19">
      <c r="E644" s="284"/>
      <c r="K644" s="290"/>
      <c r="L644" s="290"/>
      <c r="M644" s="290"/>
      <c r="N644" s="290"/>
      <c r="O644" s="290"/>
      <c r="P644" s="290"/>
      <c r="Q644" s="290"/>
      <c r="R644" s="288"/>
      <c r="S644" s="289"/>
    </row>
    <row r="645" spans="5:19">
      <c r="E645" s="284"/>
      <c r="K645" s="290"/>
      <c r="L645" s="290"/>
      <c r="M645" s="290"/>
      <c r="N645" s="290"/>
      <c r="O645" s="290"/>
      <c r="P645" s="290"/>
      <c r="Q645" s="290"/>
      <c r="R645" s="288"/>
      <c r="S645" s="289"/>
    </row>
    <row r="646" spans="5:19">
      <c r="E646" s="284"/>
      <c r="K646" s="290"/>
      <c r="L646" s="290"/>
      <c r="M646" s="290"/>
      <c r="N646" s="290"/>
      <c r="O646" s="290"/>
      <c r="P646" s="290"/>
      <c r="Q646" s="290"/>
      <c r="R646" s="288"/>
      <c r="S646" s="289"/>
    </row>
    <row r="647" spans="5:19">
      <c r="E647" s="284"/>
      <c r="K647" s="290"/>
      <c r="L647" s="290"/>
      <c r="M647" s="290"/>
      <c r="N647" s="290"/>
      <c r="O647" s="290"/>
      <c r="P647" s="290"/>
      <c r="Q647" s="290"/>
      <c r="R647" s="288"/>
      <c r="S647" s="289"/>
    </row>
    <row r="648" spans="5:19">
      <c r="E648" s="284"/>
      <c r="K648" s="290"/>
      <c r="L648" s="290"/>
      <c r="M648" s="290"/>
      <c r="N648" s="290"/>
      <c r="O648" s="290"/>
      <c r="P648" s="290"/>
      <c r="Q648" s="290"/>
      <c r="R648" s="288"/>
      <c r="S648" s="289"/>
    </row>
    <row r="649" spans="5:19">
      <c r="E649" s="284"/>
      <c r="K649" s="290"/>
      <c r="L649" s="290"/>
      <c r="M649" s="290"/>
      <c r="N649" s="290"/>
      <c r="O649" s="290"/>
      <c r="P649" s="290"/>
      <c r="Q649" s="290"/>
      <c r="R649" s="288"/>
      <c r="S649" s="289"/>
    </row>
    <row r="650" spans="5:19">
      <c r="E650" s="284"/>
      <c r="K650" s="290"/>
      <c r="L650" s="290"/>
      <c r="M650" s="290"/>
      <c r="N650" s="290"/>
      <c r="O650" s="290"/>
      <c r="P650" s="290"/>
      <c r="Q650" s="290"/>
      <c r="R650" s="288"/>
      <c r="S650" s="289"/>
    </row>
    <row r="651" spans="5:19">
      <c r="E651" s="284"/>
      <c r="K651" s="290"/>
      <c r="L651" s="290"/>
      <c r="M651" s="290"/>
      <c r="N651" s="290"/>
      <c r="O651" s="290"/>
      <c r="P651" s="290"/>
      <c r="Q651" s="290"/>
      <c r="R651" s="288"/>
      <c r="S651" s="289"/>
    </row>
    <row r="652" spans="5:19">
      <c r="E652" s="284"/>
      <c r="K652" s="290"/>
      <c r="L652" s="290"/>
      <c r="M652" s="290"/>
      <c r="N652" s="290"/>
      <c r="O652" s="290"/>
      <c r="P652" s="290"/>
      <c r="Q652" s="290"/>
      <c r="R652" s="288"/>
      <c r="S652" s="289"/>
    </row>
    <row r="653" spans="5:19">
      <c r="E653" s="284"/>
      <c r="K653" s="290"/>
      <c r="L653" s="290"/>
      <c r="M653" s="290"/>
      <c r="N653" s="290"/>
      <c r="O653" s="290"/>
      <c r="P653" s="290"/>
      <c r="Q653" s="290"/>
      <c r="R653" s="288"/>
      <c r="S653" s="289"/>
    </row>
    <row r="654" spans="5:19">
      <c r="E654" s="284"/>
      <c r="K654" s="290"/>
      <c r="L654" s="290"/>
      <c r="M654" s="290"/>
      <c r="N654" s="290"/>
      <c r="O654" s="290"/>
      <c r="P654" s="290"/>
      <c r="Q654" s="290"/>
      <c r="R654" s="288"/>
      <c r="S654" s="289"/>
    </row>
    <row r="655" spans="5:19">
      <c r="E655" s="284"/>
      <c r="K655" s="290"/>
      <c r="L655" s="290"/>
      <c r="M655" s="290"/>
      <c r="N655" s="290"/>
      <c r="O655" s="290"/>
      <c r="P655" s="290"/>
      <c r="Q655" s="290"/>
      <c r="R655" s="288"/>
      <c r="S655" s="289"/>
    </row>
    <row r="656" spans="5:19">
      <c r="E656" s="284"/>
      <c r="K656" s="290"/>
      <c r="L656" s="290"/>
      <c r="M656" s="290"/>
      <c r="N656" s="290"/>
      <c r="O656" s="290"/>
      <c r="P656" s="290"/>
      <c r="Q656" s="290"/>
      <c r="R656" s="288"/>
      <c r="S656" s="289"/>
    </row>
    <row r="657" spans="5:19">
      <c r="E657" s="284"/>
      <c r="K657" s="290"/>
      <c r="L657" s="290"/>
      <c r="M657" s="290"/>
      <c r="N657" s="290"/>
      <c r="O657" s="290"/>
      <c r="P657" s="290"/>
      <c r="Q657" s="290"/>
      <c r="R657" s="288"/>
      <c r="S657" s="289"/>
    </row>
    <row r="658" spans="5:19">
      <c r="E658" s="284"/>
      <c r="K658" s="290"/>
      <c r="L658" s="290"/>
      <c r="M658" s="290"/>
      <c r="N658" s="290"/>
      <c r="O658" s="290"/>
      <c r="P658" s="290"/>
      <c r="Q658" s="290"/>
      <c r="R658" s="288"/>
      <c r="S658" s="289"/>
    </row>
    <row r="659" spans="5:19">
      <c r="E659" s="284"/>
      <c r="K659" s="290"/>
      <c r="L659" s="290"/>
      <c r="M659" s="290"/>
      <c r="N659" s="290"/>
      <c r="O659" s="290"/>
      <c r="P659" s="290"/>
      <c r="Q659" s="290"/>
      <c r="R659" s="288"/>
      <c r="S659" s="289"/>
    </row>
    <row r="660" spans="5:19">
      <c r="E660" s="284"/>
      <c r="K660" s="290"/>
      <c r="L660" s="290"/>
      <c r="M660" s="290"/>
      <c r="N660" s="290"/>
      <c r="O660" s="290"/>
      <c r="P660" s="290"/>
      <c r="Q660" s="290"/>
      <c r="R660" s="288"/>
      <c r="S660" s="289"/>
    </row>
    <row r="661" spans="5:19">
      <c r="E661" s="284"/>
      <c r="K661" s="290"/>
      <c r="L661" s="290"/>
      <c r="M661" s="290"/>
      <c r="N661" s="290"/>
      <c r="O661" s="290"/>
      <c r="P661" s="290"/>
      <c r="Q661" s="290"/>
      <c r="R661" s="288"/>
      <c r="S661" s="289"/>
    </row>
    <row r="662" spans="5:19">
      <c r="E662" s="284"/>
      <c r="K662" s="290"/>
      <c r="L662" s="290"/>
      <c r="M662" s="290"/>
      <c r="N662" s="290"/>
      <c r="O662" s="290"/>
      <c r="P662" s="290"/>
      <c r="Q662" s="290"/>
      <c r="R662" s="288"/>
      <c r="S662" s="289"/>
    </row>
    <row r="663" spans="5:19">
      <c r="E663" s="284"/>
      <c r="K663" s="290"/>
      <c r="L663" s="290"/>
      <c r="M663" s="290"/>
      <c r="N663" s="290"/>
      <c r="O663" s="290"/>
      <c r="P663" s="290"/>
      <c r="Q663" s="290"/>
      <c r="R663" s="288"/>
      <c r="S663" s="289"/>
    </row>
    <row r="664" spans="5:19">
      <c r="E664" s="284"/>
      <c r="K664" s="290"/>
      <c r="L664" s="290"/>
      <c r="M664" s="290"/>
      <c r="N664" s="290"/>
      <c r="O664" s="290"/>
      <c r="P664" s="290"/>
      <c r="Q664" s="290"/>
      <c r="R664" s="288"/>
      <c r="S664" s="289"/>
    </row>
    <row r="665" spans="5:19">
      <c r="E665" s="284"/>
      <c r="K665" s="290"/>
      <c r="L665" s="290"/>
      <c r="M665" s="290"/>
      <c r="N665" s="290"/>
      <c r="O665" s="290"/>
      <c r="P665" s="290"/>
      <c r="Q665" s="290"/>
      <c r="R665" s="288"/>
      <c r="S665" s="289"/>
    </row>
    <row r="666" spans="5:19">
      <c r="E666" s="284"/>
      <c r="K666" s="290"/>
      <c r="L666" s="290"/>
      <c r="M666" s="290"/>
      <c r="N666" s="290"/>
      <c r="O666" s="290"/>
      <c r="P666" s="290"/>
      <c r="Q666" s="290"/>
      <c r="R666" s="288"/>
      <c r="S666" s="289"/>
    </row>
    <row r="667" spans="5:19">
      <c r="E667" s="284"/>
      <c r="K667" s="290"/>
      <c r="L667" s="290"/>
      <c r="M667" s="290"/>
      <c r="N667" s="290"/>
      <c r="O667" s="290"/>
      <c r="P667" s="290"/>
      <c r="Q667" s="290"/>
      <c r="R667" s="288"/>
      <c r="S667" s="289"/>
    </row>
    <row r="668" spans="5:19">
      <c r="E668" s="284"/>
      <c r="K668" s="290"/>
      <c r="L668" s="290"/>
      <c r="M668" s="290"/>
      <c r="N668" s="290"/>
      <c r="O668" s="290"/>
      <c r="P668" s="290"/>
      <c r="Q668" s="290"/>
      <c r="R668" s="288"/>
      <c r="S668" s="289"/>
    </row>
    <row r="669" spans="5:19">
      <c r="E669" s="284"/>
      <c r="K669" s="290"/>
      <c r="L669" s="290"/>
      <c r="M669" s="290"/>
      <c r="N669" s="290"/>
      <c r="O669" s="290"/>
      <c r="P669" s="290"/>
      <c r="Q669" s="290"/>
      <c r="R669" s="288"/>
      <c r="S669" s="289"/>
    </row>
    <row r="670" spans="5:19">
      <c r="E670" s="284"/>
      <c r="K670" s="290"/>
      <c r="L670" s="290"/>
      <c r="M670" s="290"/>
      <c r="N670" s="290"/>
      <c r="O670" s="290"/>
      <c r="P670" s="290"/>
      <c r="Q670" s="290"/>
      <c r="R670" s="288"/>
      <c r="S670" s="289"/>
    </row>
    <row r="671" spans="5:19">
      <c r="E671" s="284"/>
      <c r="K671" s="290"/>
      <c r="L671" s="290"/>
      <c r="M671" s="290"/>
      <c r="N671" s="290"/>
      <c r="O671" s="290"/>
      <c r="P671" s="290"/>
      <c r="Q671" s="290"/>
      <c r="R671" s="288"/>
      <c r="S671" s="289"/>
    </row>
    <row r="672" spans="5:19">
      <c r="E672" s="284"/>
      <c r="K672" s="290"/>
      <c r="L672" s="290"/>
      <c r="M672" s="290"/>
      <c r="N672" s="290"/>
      <c r="O672" s="290"/>
      <c r="P672" s="290"/>
      <c r="Q672" s="290"/>
      <c r="R672" s="288"/>
      <c r="S672" s="289"/>
    </row>
    <row r="673" spans="5:19">
      <c r="E673" s="284"/>
      <c r="K673" s="290"/>
      <c r="L673" s="290"/>
      <c r="M673" s="290"/>
      <c r="N673" s="290"/>
      <c r="O673" s="290"/>
      <c r="P673" s="290"/>
      <c r="Q673" s="290"/>
      <c r="R673" s="288"/>
      <c r="S673" s="289"/>
    </row>
    <row r="674" spans="5:19">
      <c r="E674" s="284"/>
      <c r="K674" s="290"/>
      <c r="L674" s="290"/>
      <c r="M674" s="290"/>
      <c r="N674" s="290"/>
      <c r="O674" s="290"/>
      <c r="P674" s="290"/>
      <c r="Q674" s="290"/>
      <c r="R674" s="288"/>
      <c r="S674" s="289"/>
    </row>
    <row r="675" spans="5:19">
      <c r="E675" s="284"/>
      <c r="K675" s="290"/>
      <c r="L675" s="290"/>
      <c r="M675" s="290"/>
      <c r="N675" s="290"/>
      <c r="O675" s="290"/>
      <c r="P675" s="290"/>
      <c r="Q675" s="290"/>
      <c r="R675" s="288"/>
      <c r="S675" s="289"/>
    </row>
    <row r="676" spans="5:19">
      <c r="E676" s="284"/>
      <c r="K676" s="290"/>
      <c r="L676" s="290"/>
      <c r="M676" s="290"/>
      <c r="N676" s="290"/>
      <c r="O676" s="290"/>
      <c r="P676" s="290"/>
      <c r="Q676" s="290"/>
      <c r="R676" s="288"/>
      <c r="S676" s="289"/>
    </row>
    <row r="677" spans="5:19">
      <c r="E677" s="284"/>
      <c r="K677" s="290"/>
      <c r="L677" s="290"/>
      <c r="M677" s="290"/>
      <c r="N677" s="290"/>
      <c r="O677" s="290"/>
      <c r="P677" s="290"/>
      <c r="Q677" s="290"/>
      <c r="R677" s="288"/>
      <c r="S677" s="289"/>
    </row>
    <row r="678" spans="5:19">
      <c r="E678" s="284"/>
      <c r="K678" s="290"/>
      <c r="L678" s="290"/>
      <c r="M678" s="290"/>
      <c r="N678" s="290"/>
      <c r="O678" s="290"/>
      <c r="P678" s="290"/>
      <c r="Q678" s="290"/>
      <c r="R678" s="288"/>
      <c r="S678" s="289"/>
    </row>
    <row r="679" spans="5:19">
      <c r="E679" s="284"/>
      <c r="K679" s="290"/>
      <c r="L679" s="290"/>
      <c r="M679" s="290"/>
      <c r="N679" s="290"/>
      <c r="O679" s="290"/>
      <c r="P679" s="290"/>
      <c r="Q679" s="290"/>
      <c r="R679" s="288"/>
      <c r="S679" s="289"/>
    </row>
    <row r="680" spans="5:19">
      <c r="E680" s="284"/>
      <c r="K680" s="290"/>
      <c r="L680" s="290"/>
      <c r="M680" s="290"/>
      <c r="N680" s="290"/>
      <c r="O680" s="290"/>
      <c r="P680" s="290"/>
      <c r="Q680" s="290"/>
      <c r="R680" s="288"/>
      <c r="S680" s="289"/>
    </row>
    <row r="681" spans="5:19">
      <c r="E681" s="284"/>
      <c r="K681" s="290"/>
      <c r="L681" s="290"/>
      <c r="M681" s="290"/>
      <c r="N681" s="290"/>
      <c r="O681" s="290"/>
      <c r="P681" s="290"/>
      <c r="Q681" s="290"/>
      <c r="R681" s="288"/>
      <c r="S681" s="289"/>
    </row>
    <row r="682" spans="5:19">
      <c r="E682" s="284"/>
      <c r="K682" s="290"/>
      <c r="L682" s="290"/>
      <c r="M682" s="290"/>
      <c r="N682" s="290"/>
      <c r="O682" s="290"/>
      <c r="P682" s="290"/>
      <c r="Q682" s="290"/>
      <c r="R682" s="288"/>
      <c r="S682" s="289"/>
    </row>
    <row r="683" spans="5:19">
      <c r="E683" s="284"/>
      <c r="K683" s="290"/>
      <c r="L683" s="290"/>
      <c r="M683" s="290"/>
      <c r="N683" s="290"/>
      <c r="O683" s="290"/>
      <c r="P683" s="290"/>
      <c r="Q683" s="290"/>
      <c r="R683" s="288"/>
      <c r="S683" s="289"/>
    </row>
    <row r="684" spans="5:19">
      <c r="E684" s="284"/>
      <c r="K684" s="290"/>
      <c r="L684" s="290"/>
      <c r="M684" s="290"/>
      <c r="N684" s="290"/>
      <c r="O684" s="290"/>
      <c r="P684" s="290"/>
      <c r="Q684" s="290"/>
      <c r="R684" s="288"/>
      <c r="S684" s="289"/>
    </row>
    <row r="685" spans="5:19">
      <c r="E685" s="284"/>
      <c r="K685" s="290"/>
      <c r="L685" s="290"/>
      <c r="M685" s="290"/>
      <c r="N685" s="290"/>
      <c r="O685" s="290"/>
      <c r="P685" s="290"/>
      <c r="Q685" s="290"/>
      <c r="R685" s="288"/>
      <c r="S685" s="289"/>
    </row>
    <row r="686" spans="5:19">
      <c r="E686" s="284"/>
      <c r="K686" s="290"/>
      <c r="L686" s="290"/>
      <c r="M686" s="290"/>
      <c r="N686" s="290"/>
      <c r="O686" s="290"/>
      <c r="P686" s="290"/>
      <c r="Q686" s="290"/>
      <c r="R686" s="288"/>
      <c r="S686" s="289"/>
    </row>
    <row r="687" spans="5:19">
      <c r="E687" s="284"/>
      <c r="K687" s="290"/>
      <c r="L687" s="290"/>
      <c r="M687" s="290"/>
      <c r="N687" s="290"/>
      <c r="O687" s="290"/>
      <c r="P687" s="290"/>
      <c r="Q687" s="290"/>
      <c r="R687" s="288"/>
      <c r="S687" s="289"/>
    </row>
    <row r="688" spans="5:19">
      <c r="E688" s="284"/>
      <c r="K688" s="290"/>
      <c r="L688" s="290"/>
      <c r="M688" s="290"/>
      <c r="N688" s="290"/>
      <c r="O688" s="290"/>
      <c r="P688" s="290"/>
      <c r="Q688" s="290"/>
      <c r="R688" s="288"/>
      <c r="S688" s="289"/>
    </row>
    <row r="689" spans="5:19">
      <c r="E689" s="284"/>
      <c r="K689" s="290"/>
      <c r="L689" s="290"/>
      <c r="M689" s="290"/>
      <c r="N689" s="290"/>
      <c r="O689" s="290"/>
      <c r="P689" s="290"/>
      <c r="Q689" s="290"/>
      <c r="R689" s="288"/>
      <c r="S689" s="289"/>
    </row>
    <row r="690" spans="5:19">
      <c r="E690" s="284"/>
      <c r="K690" s="290"/>
      <c r="L690" s="290"/>
      <c r="M690" s="290"/>
      <c r="N690" s="290"/>
      <c r="O690" s="290"/>
      <c r="P690" s="290"/>
      <c r="Q690" s="290"/>
      <c r="R690" s="288"/>
      <c r="S690" s="289"/>
    </row>
    <row r="691" spans="5:19">
      <c r="E691" s="284"/>
      <c r="K691" s="290"/>
      <c r="L691" s="290"/>
      <c r="M691" s="290"/>
      <c r="N691" s="290"/>
      <c r="O691" s="290"/>
      <c r="P691" s="290"/>
      <c r="Q691" s="290"/>
      <c r="R691" s="288"/>
      <c r="S691" s="289"/>
    </row>
    <row r="692" spans="5:19">
      <c r="E692" s="284"/>
      <c r="K692" s="290"/>
      <c r="L692" s="290"/>
      <c r="M692" s="290"/>
      <c r="N692" s="290"/>
      <c r="O692" s="290"/>
      <c r="P692" s="290"/>
      <c r="Q692" s="290"/>
      <c r="R692" s="288"/>
      <c r="S692" s="289"/>
    </row>
    <row r="693" spans="5:19">
      <c r="E693" s="284"/>
      <c r="K693" s="290"/>
      <c r="L693" s="290"/>
      <c r="M693" s="290"/>
      <c r="N693" s="290"/>
      <c r="O693" s="290"/>
      <c r="P693" s="290"/>
      <c r="Q693" s="290"/>
      <c r="R693" s="288"/>
      <c r="S693" s="289"/>
    </row>
    <row r="694" spans="5:19">
      <c r="E694" s="284"/>
      <c r="K694" s="290"/>
      <c r="L694" s="290"/>
      <c r="M694" s="290"/>
      <c r="N694" s="290"/>
      <c r="O694" s="290"/>
      <c r="P694" s="290"/>
      <c r="Q694" s="290"/>
      <c r="R694" s="288"/>
      <c r="S694" s="289"/>
    </row>
    <row r="695" spans="5:19">
      <c r="E695" s="284"/>
      <c r="K695" s="290"/>
      <c r="L695" s="290"/>
      <c r="M695" s="290"/>
      <c r="N695" s="290"/>
      <c r="O695" s="290"/>
      <c r="P695" s="290"/>
      <c r="Q695" s="290"/>
      <c r="R695" s="288"/>
      <c r="S695" s="289"/>
    </row>
    <row r="696" spans="5:19">
      <c r="E696" s="284"/>
      <c r="K696" s="290"/>
      <c r="L696" s="290"/>
      <c r="M696" s="290"/>
      <c r="N696" s="290"/>
      <c r="O696" s="290"/>
      <c r="P696" s="290"/>
      <c r="Q696" s="290"/>
      <c r="R696" s="288"/>
      <c r="S696" s="289"/>
    </row>
    <row r="697" spans="5:19">
      <c r="E697" s="284"/>
      <c r="K697" s="290"/>
      <c r="L697" s="290"/>
      <c r="M697" s="290"/>
      <c r="N697" s="290"/>
      <c r="O697" s="290"/>
      <c r="P697" s="290"/>
      <c r="Q697" s="290"/>
      <c r="R697" s="288"/>
      <c r="S697" s="289"/>
    </row>
    <row r="698" spans="5:19">
      <c r="E698" s="284"/>
      <c r="K698" s="290"/>
      <c r="L698" s="290"/>
      <c r="M698" s="290"/>
      <c r="N698" s="290"/>
      <c r="O698" s="290"/>
      <c r="P698" s="290"/>
      <c r="Q698" s="290"/>
      <c r="R698" s="288"/>
      <c r="S698" s="289"/>
    </row>
    <row r="699" spans="5:19">
      <c r="E699" s="284"/>
      <c r="K699" s="290"/>
      <c r="L699" s="290"/>
      <c r="M699" s="290"/>
      <c r="N699" s="290"/>
      <c r="O699" s="290"/>
      <c r="P699" s="290"/>
      <c r="Q699" s="290"/>
      <c r="R699" s="288"/>
      <c r="S699" s="289"/>
    </row>
    <row r="700" spans="5:19">
      <c r="E700" s="284"/>
      <c r="K700" s="290"/>
      <c r="L700" s="290"/>
      <c r="M700" s="290"/>
      <c r="N700" s="290"/>
      <c r="O700" s="290"/>
      <c r="P700" s="290"/>
      <c r="Q700" s="290"/>
      <c r="R700" s="288"/>
      <c r="S700" s="289"/>
    </row>
    <row r="701" spans="5:19">
      <c r="E701" s="284"/>
      <c r="K701" s="290"/>
      <c r="L701" s="290"/>
      <c r="M701" s="290"/>
      <c r="N701" s="290"/>
      <c r="O701" s="290"/>
      <c r="P701" s="290"/>
      <c r="Q701" s="290"/>
      <c r="R701" s="288"/>
      <c r="S701" s="289"/>
    </row>
    <row r="702" spans="5:19">
      <c r="E702" s="284"/>
      <c r="K702" s="290"/>
      <c r="L702" s="290"/>
      <c r="M702" s="290"/>
      <c r="N702" s="290"/>
      <c r="O702" s="290"/>
      <c r="P702" s="290"/>
      <c r="Q702" s="290"/>
      <c r="R702" s="288"/>
      <c r="S702" s="289"/>
    </row>
    <row r="703" spans="5:19">
      <c r="E703" s="284"/>
      <c r="K703" s="290"/>
      <c r="L703" s="290"/>
      <c r="M703" s="290"/>
      <c r="N703" s="290"/>
      <c r="O703" s="290"/>
      <c r="P703" s="290"/>
      <c r="Q703" s="290"/>
      <c r="R703" s="288"/>
      <c r="S703" s="289"/>
    </row>
    <row r="704" spans="5:19">
      <c r="E704" s="284"/>
      <c r="K704" s="290"/>
      <c r="L704" s="290"/>
      <c r="M704" s="290"/>
      <c r="N704" s="290"/>
      <c r="O704" s="290"/>
      <c r="P704" s="290"/>
      <c r="Q704" s="290"/>
      <c r="R704" s="288"/>
      <c r="S704" s="289"/>
    </row>
    <row r="705" spans="5:19">
      <c r="E705" s="284"/>
      <c r="K705" s="290"/>
      <c r="L705" s="290"/>
      <c r="M705" s="290"/>
      <c r="N705" s="290"/>
      <c r="O705" s="290"/>
      <c r="P705" s="290"/>
      <c r="Q705" s="290"/>
      <c r="R705" s="288"/>
      <c r="S705" s="289"/>
    </row>
    <row r="706" spans="5:19">
      <c r="E706" s="284"/>
      <c r="K706" s="290"/>
      <c r="L706" s="290"/>
      <c r="M706" s="290"/>
      <c r="N706" s="290"/>
      <c r="O706" s="290"/>
      <c r="P706" s="290"/>
      <c r="Q706" s="290"/>
      <c r="R706" s="288"/>
      <c r="S706" s="289"/>
    </row>
    <row r="707" spans="5:19">
      <c r="E707" s="284"/>
      <c r="K707" s="290"/>
      <c r="L707" s="290"/>
      <c r="M707" s="290"/>
      <c r="N707" s="290"/>
      <c r="O707" s="290"/>
      <c r="P707" s="290"/>
      <c r="Q707" s="290"/>
      <c r="R707" s="288"/>
      <c r="S707" s="289"/>
    </row>
    <row r="708" spans="5:19">
      <c r="E708" s="284"/>
      <c r="K708" s="290"/>
      <c r="L708" s="290"/>
      <c r="M708" s="290"/>
      <c r="N708" s="290"/>
      <c r="O708" s="290"/>
      <c r="P708" s="290"/>
      <c r="Q708" s="290"/>
      <c r="R708" s="288"/>
      <c r="S708" s="289"/>
    </row>
    <row r="709" spans="5:19">
      <c r="E709" s="284"/>
      <c r="K709" s="290"/>
      <c r="L709" s="290"/>
      <c r="M709" s="290"/>
      <c r="N709" s="290"/>
      <c r="O709" s="290"/>
      <c r="P709" s="290"/>
      <c r="Q709" s="290"/>
      <c r="R709" s="288"/>
      <c r="S709" s="289"/>
    </row>
    <row r="710" spans="5:19">
      <c r="E710" s="284"/>
      <c r="K710" s="290"/>
      <c r="L710" s="290"/>
      <c r="M710" s="290"/>
      <c r="N710" s="290"/>
      <c r="O710" s="290"/>
      <c r="P710" s="290"/>
      <c r="Q710" s="290"/>
      <c r="R710" s="288"/>
      <c r="S710" s="289"/>
    </row>
    <row r="711" spans="5:19">
      <c r="E711" s="284"/>
      <c r="K711" s="290"/>
      <c r="L711" s="290"/>
      <c r="M711" s="290"/>
      <c r="N711" s="290"/>
      <c r="O711" s="290"/>
      <c r="P711" s="290"/>
      <c r="Q711" s="290"/>
      <c r="R711" s="288"/>
      <c r="S711" s="289"/>
    </row>
    <row r="712" spans="5:19">
      <c r="E712" s="284"/>
      <c r="K712" s="290"/>
      <c r="L712" s="290"/>
      <c r="M712" s="290"/>
      <c r="N712" s="290"/>
      <c r="O712" s="290"/>
      <c r="P712" s="290"/>
      <c r="Q712" s="290"/>
      <c r="R712" s="288"/>
      <c r="S712" s="289"/>
    </row>
    <row r="713" spans="5:19">
      <c r="E713" s="284"/>
      <c r="K713" s="290"/>
      <c r="L713" s="290"/>
      <c r="M713" s="290"/>
      <c r="N713" s="290"/>
      <c r="O713" s="290"/>
      <c r="P713" s="290"/>
      <c r="Q713" s="290"/>
      <c r="R713" s="288"/>
      <c r="S713" s="289"/>
    </row>
    <row r="714" spans="5:19">
      <c r="E714" s="284"/>
      <c r="K714" s="290"/>
      <c r="L714" s="290"/>
      <c r="M714" s="290"/>
      <c r="N714" s="290"/>
      <c r="O714" s="290"/>
      <c r="P714" s="290"/>
      <c r="Q714" s="290"/>
      <c r="R714" s="288"/>
      <c r="S714" s="289"/>
    </row>
    <row r="715" spans="5:19">
      <c r="E715" s="284"/>
      <c r="K715" s="290"/>
      <c r="L715" s="290"/>
      <c r="M715" s="290"/>
      <c r="N715" s="290"/>
      <c r="O715" s="290"/>
      <c r="P715" s="290"/>
      <c r="Q715" s="290"/>
      <c r="R715" s="288"/>
      <c r="S715" s="289"/>
    </row>
    <row r="716" spans="5:19">
      <c r="E716" s="284"/>
      <c r="K716" s="290"/>
      <c r="L716" s="290"/>
      <c r="M716" s="290"/>
      <c r="N716" s="290"/>
      <c r="O716" s="290"/>
      <c r="P716" s="290"/>
      <c r="Q716" s="290"/>
      <c r="R716" s="288"/>
      <c r="S716" s="289"/>
    </row>
    <row r="717" spans="5:19">
      <c r="E717" s="284"/>
      <c r="K717" s="290"/>
      <c r="L717" s="290"/>
      <c r="M717" s="290"/>
      <c r="N717" s="290"/>
      <c r="O717" s="290"/>
      <c r="P717" s="290"/>
      <c r="Q717" s="290"/>
      <c r="R717" s="288"/>
      <c r="S717" s="289"/>
    </row>
    <row r="718" spans="5:19">
      <c r="E718" s="284"/>
      <c r="K718" s="290"/>
      <c r="L718" s="290"/>
      <c r="M718" s="290"/>
      <c r="N718" s="290"/>
      <c r="O718" s="290"/>
      <c r="P718" s="290"/>
      <c r="Q718" s="290"/>
      <c r="R718" s="288"/>
      <c r="S718" s="289"/>
    </row>
    <row r="719" spans="5:19">
      <c r="E719" s="284"/>
      <c r="K719" s="290"/>
      <c r="L719" s="290"/>
      <c r="M719" s="290"/>
      <c r="N719" s="290"/>
      <c r="O719" s="290"/>
      <c r="P719" s="290"/>
      <c r="Q719" s="290"/>
      <c r="R719" s="288"/>
      <c r="S719" s="289"/>
    </row>
    <row r="720" spans="5:19">
      <c r="E720" s="284"/>
      <c r="K720" s="290"/>
      <c r="L720" s="290"/>
      <c r="M720" s="290"/>
      <c r="N720" s="290"/>
      <c r="O720" s="290"/>
      <c r="P720" s="290"/>
      <c r="Q720" s="290"/>
      <c r="R720" s="288"/>
      <c r="S720" s="289"/>
    </row>
    <row r="721" spans="5:19">
      <c r="E721" s="284"/>
      <c r="K721" s="290"/>
      <c r="L721" s="290"/>
      <c r="M721" s="290"/>
      <c r="N721" s="290"/>
      <c r="O721" s="290"/>
      <c r="P721" s="290"/>
      <c r="Q721" s="290"/>
      <c r="R721" s="288"/>
      <c r="S721" s="289"/>
    </row>
    <row r="722" spans="5:19">
      <c r="E722" s="284"/>
      <c r="K722" s="290"/>
      <c r="L722" s="290"/>
      <c r="M722" s="290"/>
      <c r="N722" s="290"/>
      <c r="O722" s="290"/>
      <c r="P722" s="290"/>
      <c r="Q722" s="290"/>
      <c r="R722" s="288"/>
      <c r="S722" s="289"/>
    </row>
    <row r="723" spans="5:19">
      <c r="E723" s="284"/>
      <c r="K723" s="290"/>
      <c r="L723" s="290"/>
      <c r="M723" s="290"/>
      <c r="N723" s="290"/>
      <c r="O723" s="290"/>
      <c r="P723" s="290"/>
      <c r="Q723" s="290"/>
      <c r="R723" s="288"/>
      <c r="S723" s="289"/>
    </row>
    <row r="724" spans="5:19">
      <c r="E724" s="284"/>
      <c r="K724" s="290"/>
      <c r="L724" s="290"/>
      <c r="M724" s="290"/>
      <c r="N724" s="290"/>
      <c r="O724" s="290"/>
      <c r="P724" s="290"/>
      <c r="Q724" s="290"/>
      <c r="R724" s="288"/>
      <c r="S724" s="289"/>
    </row>
    <row r="725" spans="5:19">
      <c r="E725" s="284"/>
      <c r="K725" s="290"/>
      <c r="L725" s="290"/>
      <c r="M725" s="290"/>
      <c r="N725" s="290"/>
      <c r="O725" s="290"/>
      <c r="P725" s="290"/>
      <c r="Q725" s="290"/>
      <c r="R725" s="288"/>
      <c r="S725" s="289"/>
    </row>
    <row r="726" spans="5:19">
      <c r="E726" s="284"/>
      <c r="K726" s="290"/>
      <c r="L726" s="290"/>
      <c r="M726" s="290"/>
      <c r="N726" s="290"/>
      <c r="O726" s="290"/>
      <c r="P726" s="290"/>
      <c r="Q726" s="290"/>
      <c r="R726" s="288"/>
      <c r="S726" s="289"/>
    </row>
    <row r="727" spans="5:19">
      <c r="E727" s="284"/>
      <c r="K727" s="290"/>
      <c r="L727" s="290"/>
      <c r="M727" s="290"/>
      <c r="N727" s="290"/>
      <c r="O727" s="290"/>
      <c r="P727" s="290"/>
      <c r="Q727" s="290"/>
      <c r="R727" s="288"/>
      <c r="S727" s="289"/>
    </row>
    <row r="728" spans="5:19">
      <c r="E728" s="284"/>
      <c r="K728" s="290"/>
      <c r="L728" s="290"/>
      <c r="M728" s="290"/>
      <c r="N728" s="290"/>
      <c r="O728" s="290"/>
      <c r="P728" s="290"/>
      <c r="Q728" s="290"/>
      <c r="R728" s="288"/>
      <c r="S728" s="289"/>
    </row>
    <row r="729" spans="5:19">
      <c r="E729" s="284"/>
      <c r="K729" s="290"/>
      <c r="L729" s="290"/>
      <c r="M729" s="290"/>
      <c r="N729" s="290"/>
      <c r="O729" s="290"/>
      <c r="P729" s="290"/>
      <c r="Q729" s="290"/>
      <c r="R729" s="288"/>
      <c r="S729" s="289"/>
    </row>
    <row r="730" spans="5:19">
      <c r="E730" s="284"/>
      <c r="K730" s="290"/>
      <c r="L730" s="290"/>
      <c r="M730" s="290"/>
      <c r="N730" s="290"/>
      <c r="O730" s="290"/>
      <c r="P730" s="290"/>
      <c r="Q730" s="290"/>
      <c r="R730" s="288"/>
      <c r="S730" s="289"/>
    </row>
    <row r="731" spans="5:19">
      <c r="E731" s="284"/>
      <c r="K731" s="290"/>
      <c r="L731" s="290"/>
      <c r="M731" s="290"/>
      <c r="N731" s="290"/>
      <c r="O731" s="290"/>
      <c r="P731" s="290"/>
      <c r="Q731" s="290"/>
      <c r="R731" s="288"/>
      <c r="S731" s="289"/>
    </row>
    <row r="732" spans="5:19">
      <c r="E732" s="284"/>
      <c r="K732" s="290"/>
      <c r="L732" s="290"/>
      <c r="M732" s="290"/>
      <c r="N732" s="290"/>
      <c r="O732" s="290"/>
      <c r="P732" s="290"/>
      <c r="Q732" s="290"/>
      <c r="R732" s="288"/>
      <c r="S732" s="289"/>
    </row>
    <row r="733" spans="5:19">
      <c r="E733" s="284"/>
      <c r="K733" s="290"/>
      <c r="L733" s="290"/>
      <c r="M733" s="290"/>
      <c r="N733" s="290"/>
      <c r="O733" s="290"/>
      <c r="P733" s="290"/>
      <c r="Q733" s="290"/>
      <c r="R733" s="288"/>
      <c r="S733" s="289"/>
    </row>
    <row r="734" spans="5:19">
      <c r="E734" s="284"/>
      <c r="K734" s="290"/>
      <c r="L734" s="290"/>
      <c r="M734" s="290"/>
      <c r="N734" s="290"/>
      <c r="O734" s="290"/>
      <c r="P734" s="290"/>
      <c r="Q734" s="290"/>
      <c r="R734" s="288"/>
      <c r="S734" s="289"/>
    </row>
    <row r="735" spans="5:19">
      <c r="E735" s="284"/>
      <c r="K735" s="290"/>
      <c r="L735" s="290"/>
      <c r="M735" s="290"/>
      <c r="N735" s="290"/>
      <c r="O735" s="290"/>
      <c r="P735" s="290"/>
      <c r="Q735" s="290"/>
      <c r="R735" s="288"/>
      <c r="S735" s="289"/>
    </row>
    <row r="736" spans="5:19">
      <c r="E736" s="284"/>
      <c r="K736" s="290"/>
      <c r="L736" s="290"/>
      <c r="M736" s="290"/>
      <c r="N736" s="290"/>
      <c r="O736" s="290"/>
      <c r="P736" s="290"/>
      <c r="Q736" s="290"/>
      <c r="R736" s="288"/>
      <c r="S736" s="289"/>
    </row>
    <row r="737" spans="5:19">
      <c r="E737" s="284"/>
      <c r="K737" s="290"/>
      <c r="L737" s="290"/>
      <c r="M737" s="290"/>
      <c r="N737" s="290"/>
      <c r="O737" s="290"/>
      <c r="P737" s="290"/>
      <c r="Q737" s="290"/>
      <c r="R737" s="288"/>
      <c r="S737" s="289"/>
    </row>
    <row r="738" spans="5:19">
      <c r="E738" s="284"/>
      <c r="K738" s="290"/>
      <c r="L738" s="290"/>
      <c r="M738" s="290"/>
      <c r="N738" s="290"/>
      <c r="O738" s="290"/>
      <c r="P738" s="290"/>
      <c r="Q738" s="290"/>
      <c r="R738" s="288"/>
      <c r="S738" s="289"/>
    </row>
    <row r="739" spans="5:19">
      <c r="E739" s="284"/>
      <c r="K739" s="290"/>
      <c r="L739" s="290"/>
      <c r="M739" s="290"/>
      <c r="N739" s="290"/>
      <c r="O739" s="290"/>
      <c r="P739" s="290"/>
      <c r="Q739" s="290"/>
      <c r="R739" s="288"/>
      <c r="S739" s="289"/>
    </row>
    <row r="740" spans="5:19">
      <c r="E740" s="284"/>
      <c r="K740" s="290"/>
      <c r="L740" s="290"/>
      <c r="M740" s="290"/>
      <c r="N740" s="290"/>
      <c r="O740" s="290"/>
      <c r="P740" s="290"/>
      <c r="Q740" s="290"/>
      <c r="R740" s="288"/>
      <c r="S740" s="289"/>
    </row>
    <row r="741" spans="5:19">
      <c r="E741" s="284"/>
      <c r="K741" s="290"/>
      <c r="L741" s="290"/>
      <c r="M741" s="290"/>
      <c r="N741" s="290"/>
      <c r="O741" s="290"/>
      <c r="P741" s="290"/>
      <c r="Q741" s="290"/>
      <c r="R741" s="288"/>
      <c r="S741" s="289"/>
    </row>
    <row r="742" spans="5:19">
      <c r="E742" s="284"/>
      <c r="K742" s="290"/>
      <c r="L742" s="290"/>
      <c r="M742" s="290"/>
      <c r="N742" s="290"/>
      <c r="O742" s="290"/>
      <c r="P742" s="290"/>
      <c r="Q742" s="290"/>
      <c r="R742" s="288"/>
      <c r="S742" s="289"/>
    </row>
    <row r="743" spans="5:19">
      <c r="E743" s="284"/>
      <c r="K743" s="290"/>
      <c r="L743" s="290"/>
      <c r="M743" s="290"/>
      <c r="N743" s="290"/>
      <c r="O743" s="290"/>
      <c r="P743" s="290"/>
      <c r="Q743" s="290"/>
      <c r="R743" s="288"/>
      <c r="S743" s="289"/>
    </row>
    <row r="744" spans="5:19">
      <c r="E744" s="284"/>
      <c r="K744" s="290"/>
      <c r="L744" s="290"/>
      <c r="M744" s="290"/>
      <c r="N744" s="290"/>
      <c r="O744" s="290"/>
      <c r="P744" s="290"/>
      <c r="Q744" s="290"/>
      <c r="R744" s="288"/>
      <c r="S744" s="289"/>
    </row>
    <row r="745" spans="5:19">
      <c r="E745" s="284"/>
      <c r="K745" s="290"/>
      <c r="L745" s="290"/>
      <c r="M745" s="290"/>
      <c r="N745" s="290"/>
      <c r="O745" s="290"/>
      <c r="P745" s="290"/>
      <c r="Q745" s="290"/>
      <c r="R745" s="288"/>
      <c r="S745" s="289"/>
    </row>
    <row r="746" spans="5:19">
      <c r="E746" s="284"/>
      <c r="K746" s="290"/>
      <c r="L746" s="290"/>
      <c r="M746" s="290"/>
      <c r="N746" s="290"/>
      <c r="O746" s="290"/>
      <c r="P746" s="290"/>
      <c r="Q746" s="290"/>
      <c r="R746" s="288"/>
      <c r="S746" s="289"/>
    </row>
    <row r="747" spans="5:19">
      <c r="E747" s="284"/>
      <c r="K747" s="290"/>
      <c r="L747" s="290"/>
      <c r="M747" s="290"/>
      <c r="N747" s="290"/>
      <c r="O747" s="290"/>
      <c r="P747" s="290"/>
      <c r="Q747" s="290"/>
      <c r="R747" s="288"/>
      <c r="S747" s="289"/>
    </row>
    <row r="748" spans="5:19">
      <c r="E748" s="284"/>
      <c r="K748" s="290"/>
      <c r="L748" s="290"/>
      <c r="M748" s="290"/>
      <c r="N748" s="290"/>
      <c r="O748" s="290"/>
      <c r="P748" s="290"/>
      <c r="Q748" s="290"/>
      <c r="R748" s="288"/>
      <c r="S748" s="289"/>
    </row>
    <row r="749" spans="5:19">
      <c r="E749" s="284"/>
      <c r="K749" s="290"/>
      <c r="L749" s="290"/>
      <c r="M749" s="290"/>
      <c r="N749" s="290"/>
      <c r="O749" s="290"/>
      <c r="P749" s="290"/>
      <c r="Q749" s="290"/>
      <c r="R749" s="288"/>
      <c r="S749" s="289"/>
    </row>
    <row r="750" spans="5:19">
      <c r="E750" s="284"/>
      <c r="K750" s="290"/>
      <c r="L750" s="290"/>
      <c r="M750" s="290"/>
      <c r="N750" s="290"/>
      <c r="O750" s="290"/>
      <c r="P750" s="290"/>
      <c r="Q750" s="290"/>
      <c r="R750" s="288"/>
      <c r="S750" s="289"/>
    </row>
    <row r="751" spans="5:19">
      <c r="E751" s="284"/>
      <c r="K751" s="290"/>
      <c r="L751" s="290"/>
      <c r="M751" s="290"/>
      <c r="N751" s="290"/>
      <c r="O751" s="290"/>
      <c r="P751" s="290"/>
      <c r="Q751" s="290"/>
      <c r="R751" s="288"/>
      <c r="S751" s="289"/>
    </row>
    <row r="752" spans="5:19">
      <c r="E752" s="284"/>
      <c r="K752" s="290"/>
      <c r="L752" s="290"/>
      <c r="M752" s="290"/>
      <c r="N752" s="290"/>
      <c r="O752" s="290"/>
      <c r="P752" s="290"/>
      <c r="Q752" s="290"/>
      <c r="R752" s="288"/>
      <c r="S752" s="289"/>
    </row>
    <row r="753" spans="5:19">
      <c r="E753" s="284"/>
      <c r="K753" s="290"/>
      <c r="L753" s="290"/>
      <c r="M753" s="290"/>
      <c r="N753" s="290"/>
      <c r="O753" s="290"/>
      <c r="P753" s="290"/>
      <c r="Q753" s="290"/>
      <c r="R753" s="288"/>
      <c r="S753" s="289"/>
    </row>
    <row r="754" spans="5:19">
      <c r="E754" s="284"/>
      <c r="K754" s="290"/>
      <c r="L754" s="290"/>
      <c r="M754" s="290"/>
      <c r="N754" s="290"/>
      <c r="O754" s="290"/>
      <c r="P754" s="290"/>
      <c r="Q754" s="290"/>
      <c r="R754" s="288"/>
      <c r="S754" s="289"/>
    </row>
    <row r="755" spans="5:19">
      <c r="E755" s="284"/>
      <c r="K755" s="290"/>
      <c r="L755" s="290"/>
      <c r="M755" s="290"/>
      <c r="N755" s="290"/>
      <c r="O755" s="290"/>
      <c r="P755" s="290"/>
      <c r="Q755" s="290"/>
      <c r="R755" s="288"/>
      <c r="S755" s="289"/>
    </row>
    <row r="756" spans="5:19">
      <c r="E756" s="284"/>
      <c r="K756" s="290"/>
      <c r="L756" s="290"/>
      <c r="M756" s="290"/>
      <c r="N756" s="290"/>
      <c r="O756" s="290"/>
      <c r="P756" s="290"/>
      <c r="Q756" s="290"/>
      <c r="R756" s="288"/>
      <c r="S756" s="289"/>
    </row>
    <row r="757" spans="5:19">
      <c r="E757" s="284"/>
      <c r="K757" s="290"/>
      <c r="L757" s="290"/>
      <c r="M757" s="290"/>
      <c r="N757" s="290"/>
      <c r="O757" s="290"/>
      <c r="P757" s="290"/>
      <c r="Q757" s="290"/>
      <c r="R757" s="288"/>
      <c r="S757" s="289"/>
    </row>
    <row r="758" spans="5:19">
      <c r="E758" s="284"/>
      <c r="K758" s="290"/>
      <c r="L758" s="290"/>
      <c r="M758" s="290"/>
      <c r="N758" s="290"/>
      <c r="O758" s="290"/>
      <c r="P758" s="290"/>
      <c r="Q758" s="290"/>
      <c r="R758" s="288"/>
      <c r="S758" s="289"/>
    </row>
    <row r="759" spans="5:19">
      <c r="E759" s="284"/>
      <c r="K759" s="290"/>
      <c r="L759" s="290"/>
      <c r="M759" s="290"/>
      <c r="N759" s="290"/>
      <c r="O759" s="290"/>
      <c r="P759" s="290"/>
      <c r="Q759" s="290"/>
      <c r="R759" s="288"/>
      <c r="S759" s="289"/>
    </row>
    <row r="760" spans="5:19">
      <c r="E760" s="284"/>
      <c r="K760" s="290"/>
      <c r="L760" s="290"/>
      <c r="M760" s="290"/>
      <c r="N760" s="290"/>
      <c r="O760" s="290"/>
      <c r="P760" s="290"/>
      <c r="Q760" s="290"/>
      <c r="R760" s="288"/>
      <c r="S760" s="289"/>
    </row>
    <row r="761" spans="5:19">
      <c r="E761" s="284"/>
      <c r="K761" s="290"/>
      <c r="L761" s="290"/>
      <c r="M761" s="290"/>
      <c r="N761" s="290"/>
      <c r="O761" s="290"/>
      <c r="P761" s="290"/>
      <c r="Q761" s="290"/>
      <c r="R761" s="288"/>
      <c r="S761" s="289"/>
    </row>
    <row r="762" spans="5:19">
      <c r="E762" s="284"/>
      <c r="K762" s="290"/>
      <c r="L762" s="290"/>
      <c r="M762" s="290"/>
      <c r="N762" s="290"/>
      <c r="O762" s="290"/>
      <c r="P762" s="290"/>
      <c r="Q762" s="290"/>
      <c r="R762" s="288"/>
      <c r="S762" s="289"/>
    </row>
    <row r="763" spans="5:19">
      <c r="E763" s="284"/>
      <c r="K763" s="290"/>
      <c r="L763" s="290"/>
      <c r="M763" s="290"/>
      <c r="N763" s="290"/>
      <c r="O763" s="290"/>
      <c r="P763" s="290"/>
      <c r="Q763" s="290"/>
      <c r="R763" s="288"/>
      <c r="S763" s="289"/>
    </row>
    <row r="764" spans="5:19">
      <c r="E764" s="284"/>
      <c r="K764" s="290"/>
      <c r="L764" s="290"/>
      <c r="M764" s="290"/>
      <c r="N764" s="290"/>
      <c r="O764" s="290"/>
      <c r="P764" s="290"/>
      <c r="Q764" s="290"/>
      <c r="R764" s="288"/>
      <c r="S764" s="289"/>
    </row>
    <row r="765" spans="5:19">
      <c r="E765" s="284"/>
      <c r="K765" s="290"/>
      <c r="L765" s="290"/>
      <c r="M765" s="290"/>
      <c r="N765" s="290"/>
      <c r="O765" s="290"/>
      <c r="P765" s="290"/>
      <c r="Q765" s="290"/>
      <c r="R765" s="288"/>
      <c r="S765" s="289"/>
    </row>
    <row r="766" spans="5:19">
      <c r="E766" s="284"/>
      <c r="K766" s="290"/>
      <c r="L766" s="290"/>
      <c r="M766" s="290"/>
      <c r="N766" s="290"/>
      <c r="O766" s="290"/>
      <c r="P766" s="290"/>
      <c r="Q766" s="290"/>
      <c r="R766" s="288"/>
      <c r="S766" s="289"/>
    </row>
    <row r="767" spans="5:19">
      <c r="E767" s="284"/>
      <c r="K767" s="290"/>
      <c r="L767" s="290"/>
      <c r="M767" s="290"/>
      <c r="N767" s="290"/>
      <c r="O767" s="290"/>
      <c r="P767" s="290"/>
      <c r="Q767" s="290"/>
      <c r="R767" s="288"/>
      <c r="S767" s="289"/>
    </row>
    <row r="768" spans="5:19">
      <c r="E768" s="284"/>
      <c r="K768" s="290"/>
      <c r="L768" s="290"/>
      <c r="M768" s="290"/>
      <c r="N768" s="290"/>
      <c r="O768" s="290"/>
      <c r="P768" s="290"/>
      <c r="Q768" s="290"/>
      <c r="R768" s="288"/>
      <c r="S768" s="289"/>
    </row>
    <row r="769" spans="5:19">
      <c r="E769" s="284"/>
      <c r="K769" s="290"/>
      <c r="L769" s="290"/>
      <c r="M769" s="290"/>
      <c r="N769" s="290"/>
      <c r="O769" s="290"/>
      <c r="P769" s="290"/>
      <c r="Q769" s="290"/>
      <c r="R769" s="288"/>
      <c r="S769" s="289"/>
    </row>
    <row r="770" spans="5:19">
      <c r="E770" s="284"/>
      <c r="K770" s="290"/>
      <c r="L770" s="290"/>
      <c r="M770" s="290"/>
      <c r="N770" s="290"/>
      <c r="O770" s="290"/>
      <c r="P770" s="290"/>
      <c r="Q770" s="290"/>
      <c r="R770" s="288"/>
      <c r="S770" s="289"/>
    </row>
    <row r="771" spans="5:19">
      <c r="E771" s="284"/>
      <c r="K771" s="290"/>
      <c r="L771" s="290"/>
      <c r="M771" s="290"/>
      <c r="N771" s="290"/>
      <c r="O771" s="290"/>
      <c r="P771" s="290"/>
      <c r="Q771" s="290"/>
      <c r="R771" s="288"/>
      <c r="S771" s="289"/>
    </row>
    <row r="772" spans="5:19">
      <c r="E772" s="284"/>
      <c r="K772" s="290"/>
      <c r="L772" s="290"/>
      <c r="M772" s="290"/>
      <c r="N772" s="290"/>
      <c r="O772" s="290"/>
      <c r="P772" s="290"/>
      <c r="Q772" s="290"/>
      <c r="R772" s="288"/>
      <c r="S772" s="289"/>
    </row>
    <row r="773" spans="5:19">
      <c r="E773" s="284"/>
      <c r="K773" s="290"/>
      <c r="L773" s="290"/>
      <c r="M773" s="290"/>
      <c r="N773" s="290"/>
      <c r="O773" s="290"/>
      <c r="P773" s="290"/>
      <c r="Q773" s="290"/>
      <c r="R773" s="288"/>
      <c r="S773" s="289"/>
    </row>
    <row r="774" spans="5:19">
      <c r="E774" s="284"/>
      <c r="K774" s="290"/>
      <c r="L774" s="290"/>
      <c r="M774" s="290"/>
      <c r="N774" s="290"/>
      <c r="O774" s="290"/>
      <c r="P774" s="290"/>
      <c r="Q774" s="290"/>
      <c r="R774" s="288"/>
      <c r="S774" s="289"/>
    </row>
    <row r="775" spans="5:19">
      <c r="E775" s="284"/>
      <c r="K775" s="290"/>
      <c r="L775" s="290"/>
      <c r="M775" s="290"/>
      <c r="N775" s="290"/>
      <c r="O775" s="290"/>
      <c r="P775" s="290"/>
      <c r="Q775" s="290"/>
      <c r="R775" s="288"/>
      <c r="S775" s="289"/>
    </row>
    <row r="776" spans="5:19">
      <c r="E776" s="284"/>
      <c r="K776" s="290"/>
      <c r="L776" s="290"/>
      <c r="M776" s="290"/>
      <c r="N776" s="290"/>
      <c r="O776" s="290"/>
      <c r="P776" s="290"/>
      <c r="Q776" s="290"/>
      <c r="R776" s="288"/>
      <c r="S776" s="289"/>
    </row>
    <row r="777" spans="5:19">
      <c r="E777" s="284"/>
      <c r="K777" s="290"/>
      <c r="L777" s="290"/>
      <c r="M777" s="290"/>
      <c r="N777" s="290"/>
      <c r="O777" s="290"/>
      <c r="P777" s="290"/>
      <c r="Q777" s="290"/>
      <c r="R777" s="288"/>
      <c r="S777" s="289"/>
    </row>
    <row r="778" spans="5:19">
      <c r="E778" s="284"/>
      <c r="K778" s="290"/>
      <c r="L778" s="290"/>
      <c r="M778" s="290"/>
      <c r="N778" s="290"/>
      <c r="O778" s="290"/>
      <c r="P778" s="290"/>
      <c r="Q778" s="290"/>
      <c r="R778" s="288"/>
      <c r="S778" s="289"/>
    </row>
    <row r="779" spans="5:19">
      <c r="E779" s="284"/>
      <c r="K779" s="290"/>
      <c r="L779" s="290"/>
      <c r="M779" s="290"/>
      <c r="N779" s="290"/>
      <c r="O779" s="290"/>
      <c r="P779" s="290"/>
      <c r="Q779" s="290"/>
      <c r="R779" s="288"/>
      <c r="S779" s="289"/>
    </row>
    <row r="780" spans="5:19">
      <c r="E780" s="284"/>
      <c r="K780" s="290"/>
      <c r="L780" s="290"/>
      <c r="M780" s="290"/>
      <c r="N780" s="290"/>
      <c r="O780" s="290"/>
      <c r="P780" s="290"/>
      <c r="Q780" s="290"/>
      <c r="R780" s="288"/>
      <c r="S780" s="289"/>
    </row>
    <row r="781" spans="5:19">
      <c r="E781" s="284"/>
      <c r="K781" s="290"/>
      <c r="L781" s="290"/>
      <c r="M781" s="290"/>
      <c r="N781" s="290"/>
      <c r="O781" s="290"/>
      <c r="P781" s="290"/>
      <c r="Q781" s="290"/>
      <c r="R781" s="288"/>
      <c r="S781" s="289"/>
    </row>
    <row r="782" spans="5:19">
      <c r="E782" s="284"/>
      <c r="K782" s="290"/>
      <c r="L782" s="290"/>
      <c r="M782" s="290"/>
      <c r="N782" s="290"/>
      <c r="O782" s="290"/>
      <c r="P782" s="290"/>
      <c r="Q782" s="290"/>
      <c r="R782" s="288"/>
      <c r="S782" s="289"/>
    </row>
    <row r="783" spans="5:19">
      <c r="E783" s="284"/>
      <c r="K783" s="290"/>
      <c r="L783" s="290"/>
      <c r="M783" s="290"/>
      <c r="N783" s="290"/>
      <c r="O783" s="290"/>
      <c r="P783" s="290"/>
      <c r="Q783" s="290"/>
      <c r="R783" s="288"/>
      <c r="S783" s="289"/>
    </row>
    <row r="784" spans="5:19">
      <c r="E784" s="284"/>
      <c r="K784" s="290"/>
      <c r="L784" s="290"/>
      <c r="M784" s="290"/>
      <c r="N784" s="290"/>
      <c r="O784" s="290"/>
      <c r="P784" s="290"/>
      <c r="Q784" s="290"/>
      <c r="R784" s="288"/>
      <c r="S784" s="289"/>
    </row>
    <row r="785" spans="5:19">
      <c r="E785" s="284"/>
      <c r="K785" s="290"/>
      <c r="L785" s="290"/>
      <c r="M785" s="290"/>
      <c r="N785" s="290"/>
      <c r="O785" s="290"/>
      <c r="P785" s="290"/>
      <c r="Q785" s="290"/>
      <c r="R785" s="288"/>
      <c r="S785" s="289"/>
    </row>
    <row r="786" spans="5:19">
      <c r="E786" s="284"/>
      <c r="K786" s="290"/>
      <c r="L786" s="290"/>
      <c r="M786" s="290"/>
      <c r="N786" s="290"/>
      <c r="O786" s="290"/>
      <c r="P786" s="290"/>
      <c r="Q786" s="290"/>
      <c r="R786" s="288"/>
      <c r="S786" s="289"/>
    </row>
    <row r="787" spans="5:19">
      <c r="E787" s="284"/>
      <c r="K787" s="290"/>
      <c r="L787" s="290"/>
      <c r="M787" s="290"/>
      <c r="N787" s="290"/>
      <c r="O787" s="290"/>
      <c r="P787" s="290"/>
      <c r="Q787" s="290"/>
      <c r="R787" s="288"/>
      <c r="S787" s="289"/>
    </row>
    <row r="788" spans="5:19">
      <c r="E788" s="284"/>
      <c r="K788" s="290"/>
      <c r="L788" s="290"/>
      <c r="M788" s="290"/>
      <c r="N788" s="290"/>
      <c r="O788" s="290"/>
      <c r="P788" s="290"/>
      <c r="Q788" s="290"/>
      <c r="R788" s="288"/>
      <c r="S788" s="289"/>
    </row>
    <row r="789" spans="5:19">
      <c r="E789" s="284"/>
      <c r="K789" s="290"/>
      <c r="L789" s="290"/>
      <c r="M789" s="290"/>
      <c r="N789" s="290"/>
      <c r="O789" s="290"/>
      <c r="P789" s="290"/>
      <c r="Q789" s="290"/>
      <c r="R789" s="288"/>
      <c r="S789" s="289"/>
    </row>
    <row r="790" spans="5:19">
      <c r="E790" s="284"/>
      <c r="K790" s="290"/>
      <c r="L790" s="290"/>
      <c r="M790" s="290"/>
      <c r="N790" s="290"/>
      <c r="O790" s="290"/>
      <c r="P790" s="290"/>
      <c r="Q790" s="290"/>
      <c r="R790" s="288"/>
      <c r="S790" s="289"/>
    </row>
    <row r="791" spans="5:19">
      <c r="E791" s="284"/>
      <c r="K791" s="290"/>
      <c r="L791" s="290"/>
      <c r="M791" s="290"/>
      <c r="N791" s="290"/>
      <c r="O791" s="290"/>
      <c r="P791" s="290"/>
      <c r="Q791" s="290"/>
      <c r="R791" s="288"/>
      <c r="S791" s="289"/>
    </row>
    <row r="792" spans="5:19">
      <c r="E792" s="284"/>
      <c r="K792" s="290"/>
      <c r="L792" s="290"/>
      <c r="M792" s="290"/>
      <c r="N792" s="290"/>
      <c r="O792" s="290"/>
      <c r="P792" s="290"/>
      <c r="Q792" s="290"/>
      <c r="R792" s="288"/>
      <c r="S792" s="289"/>
    </row>
    <row r="793" spans="5:19">
      <c r="E793" s="284"/>
      <c r="K793" s="290"/>
      <c r="L793" s="290"/>
      <c r="M793" s="290"/>
      <c r="N793" s="290"/>
      <c r="O793" s="290"/>
      <c r="P793" s="290"/>
      <c r="Q793" s="290"/>
      <c r="R793" s="288"/>
      <c r="S793" s="289"/>
    </row>
    <row r="794" spans="5:19">
      <c r="E794" s="284"/>
      <c r="K794" s="290"/>
      <c r="L794" s="290"/>
      <c r="M794" s="290"/>
      <c r="N794" s="290"/>
      <c r="O794" s="290"/>
      <c r="P794" s="290"/>
      <c r="Q794" s="290"/>
      <c r="R794" s="288"/>
      <c r="S794" s="289"/>
    </row>
    <row r="795" spans="5:19">
      <c r="E795" s="284"/>
      <c r="K795" s="290"/>
      <c r="L795" s="290"/>
      <c r="M795" s="290"/>
      <c r="N795" s="290"/>
      <c r="O795" s="290"/>
      <c r="P795" s="290"/>
      <c r="Q795" s="290"/>
      <c r="R795" s="288"/>
      <c r="S795" s="289"/>
    </row>
    <row r="796" spans="5:19">
      <c r="E796" s="284"/>
      <c r="K796" s="290"/>
      <c r="L796" s="290"/>
      <c r="M796" s="290"/>
      <c r="N796" s="290"/>
      <c r="O796" s="290"/>
      <c r="P796" s="290"/>
      <c r="Q796" s="290"/>
      <c r="R796" s="288"/>
      <c r="S796" s="289"/>
    </row>
    <row r="797" spans="5:19">
      <c r="E797" s="284"/>
      <c r="K797" s="290"/>
      <c r="L797" s="290"/>
      <c r="M797" s="290"/>
      <c r="N797" s="290"/>
      <c r="O797" s="290"/>
      <c r="P797" s="290"/>
      <c r="Q797" s="290"/>
      <c r="R797" s="288"/>
      <c r="S797" s="289"/>
    </row>
    <row r="798" spans="5:19">
      <c r="E798" s="284"/>
      <c r="K798" s="290"/>
      <c r="L798" s="290"/>
      <c r="M798" s="290"/>
      <c r="N798" s="290"/>
      <c r="O798" s="290"/>
      <c r="P798" s="290"/>
      <c r="Q798" s="290"/>
      <c r="R798" s="288"/>
      <c r="S798" s="289"/>
    </row>
    <row r="799" spans="5:19">
      <c r="E799" s="284"/>
      <c r="K799" s="290"/>
      <c r="L799" s="290"/>
      <c r="M799" s="290"/>
      <c r="N799" s="290"/>
      <c r="O799" s="290"/>
      <c r="P799" s="290"/>
      <c r="Q799" s="290"/>
      <c r="R799" s="288"/>
      <c r="S799" s="289"/>
    </row>
    <row r="800" spans="5:19">
      <c r="E800" s="284"/>
      <c r="K800" s="290"/>
      <c r="L800" s="290"/>
      <c r="M800" s="290"/>
      <c r="N800" s="290"/>
      <c r="O800" s="290"/>
      <c r="P800" s="290"/>
      <c r="Q800" s="290"/>
      <c r="R800" s="288"/>
      <c r="S800" s="289"/>
    </row>
    <row r="801" spans="5:19">
      <c r="E801" s="284"/>
      <c r="K801" s="290"/>
      <c r="L801" s="290"/>
      <c r="M801" s="290"/>
      <c r="N801" s="290"/>
      <c r="O801" s="290"/>
      <c r="P801" s="290"/>
      <c r="Q801" s="290"/>
      <c r="R801" s="288"/>
      <c r="S801" s="289"/>
    </row>
    <row r="802" spans="5:19">
      <c r="E802" s="284"/>
      <c r="K802" s="290"/>
      <c r="L802" s="290"/>
      <c r="M802" s="290"/>
      <c r="N802" s="290"/>
      <c r="O802" s="290"/>
      <c r="P802" s="290"/>
      <c r="Q802" s="290"/>
      <c r="R802" s="288"/>
      <c r="S802" s="289"/>
    </row>
    <row r="803" spans="5:19">
      <c r="E803" s="284"/>
      <c r="K803" s="290"/>
      <c r="L803" s="290"/>
      <c r="M803" s="290"/>
      <c r="N803" s="290"/>
      <c r="O803" s="290"/>
      <c r="P803" s="290"/>
      <c r="Q803" s="290"/>
      <c r="R803" s="288"/>
      <c r="S803" s="289"/>
    </row>
    <row r="804" spans="5:19">
      <c r="E804" s="284"/>
      <c r="K804" s="290"/>
      <c r="L804" s="290"/>
      <c r="M804" s="290"/>
      <c r="N804" s="290"/>
      <c r="O804" s="290"/>
      <c r="P804" s="290"/>
      <c r="Q804" s="290"/>
      <c r="R804" s="288"/>
      <c r="S804" s="289"/>
    </row>
    <row r="805" spans="5:19">
      <c r="E805" s="284"/>
      <c r="K805" s="290"/>
      <c r="L805" s="290"/>
      <c r="M805" s="290"/>
      <c r="N805" s="290"/>
      <c r="O805" s="290"/>
      <c r="P805" s="290"/>
      <c r="Q805" s="290"/>
      <c r="R805" s="288"/>
      <c r="S805" s="289"/>
    </row>
    <row r="806" spans="5:19">
      <c r="E806" s="284"/>
      <c r="K806" s="290"/>
      <c r="L806" s="290"/>
      <c r="M806" s="290"/>
      <c r="N806" s="290"/>
      <c r="O806" s="290"/>
      <c r="P806" s="290"/>
      <c r="Q806" s="290"/>
      <c r="R806" s="288"/>
      <c r="S806" s="289"/>
    </row>
    <row r="807" spans="5:19">
      <c r="E807" s="284"/>
      <c r="K807" s="290"/>
      <c r="L807" s="290"/>
      <c r="M807" s="290"/>
      <c r="N807" s="290"/>
      <c r="O807" s="290"/>
      <c r="P807" s="290"/>
      <c r="Q807" s="290"/>
      <c r="R807" s="288"/>
      <c r="S807" s="289"/>
    </row>
    <row r="808" spans="5:19">
      <c r="E808" s="284"/>
      <c r="K808" s="290"/>
      <c r="L808" s="290"/>
      <c r="M808" s="290"/>
      <c r="N808" s="290"/>
      <c r="O808" s="290"/>
      <c r="P808" s="290"/>
      <c r="Q808" s="290"/>
      <c r="R808" s="288"/>
      <c r="S808" s="289"/>
    </row>
    <row r="809" spans="5:19">
      <c r="E809" s="284"/>
      <c r="K809" s="290"/>
      <c r="L809" s="290"/>
      <c r="M809" s="290"/>
      <c r="N809" s="290"/>
      <c r="O809" s="290"/>
      <c r="P809" s="290"/>
      <c r="Q809" s="290"/>
      <c r="R809" s="288"/>
      <c r="S809" s="289"/>
    </row>
    <row r="810" spans="5:19">
      <c r="E810" s="284"/>
      <c r="K810" s="290"/>
      <c r="L810" s="290"/>
      <c r="M810" s="290"/>
      <c r="N810" s="290"/>
      <c r="O810" s="290"/>
      <c r="P810" s="290"/>
      <c r="Q810" s="290"/>
      <c r="R810" s="288"/>
      <c r="S810" s="289"/>
    </row>
    <row r="811" spans="5:19">
      <c r="E811" s="284"/>
      <c r="K811" s="290"/>
      <c r="L811" s="290"/>
      <c r="M811" s="290"/>
      <c r="N811" s="290"/>
      <c r="O811" s="290"/>
      <c r="P811" s="290"/>
      <c r="Q811" s="290"/>
      <c r="R811" s="288"/>
      <c r="S811" s="289"/>
    </row>
    <row r="812" spans="5:19">
      <c r="E812" s="284"/>
      <c r="K812" s="290"/>
      <c r="L812" s="290"/>
      <c r="M812" s="290"/>
      <c r="N812" s="290"/>
      <c r="O812" s="290"/>
      <c r="P812" s="290"/>
      <c r="Q812" s="290"/>
      <c r="R812" s="288"/>
      <c r="S812" s="289"/>
    </row>
    <row r="813" spans="5:19">
      <c r="E813" s="284"/>
      <c r="K813" s="290"/>
      <c r="L813" s="290"/>
      <c r="M813" s="290"/>
      <c r="N813" s="290"/>
      <c r="O813" s="290"/>
      <c r="P813" s="290"/>
      <c r="Q813" s="290"/>
      <c r="R813" s="288"/>
      <c r="S813" s="289"/>
    </row>
    <row r="814" spans="5:19">
      <c r="E814" s="284"/>
      <c r="K814" s="290"/>
      <c r="L814" s="290"/>
      <c r="M814" s="290"/>
      <c r="N814" s="290"/>
      <c r="O814" s="290"/>
      <c r="P814" s="290"/>
      <c r="Q814" s="290"/>
      <c r="R814" s="288"/>
      <c r="S814" s="289"/>
    </row>
    <row r="815" spans="5:19">
      <c r="E815" s="284"/>
      <c r="K815" s="290"/>
      <c r="L815" s="290"/>
      <c r="M815" s="290"/>
      <c r="N815" s="290"/>
      <c r="O815" s="290"/>
      <c r="P815" s="290"/>
      <c r="Q815" s="290"/>
      <c r="R815" s="288"/>
      <c r="S815" s="289"/>
    </row>
    <row r="816" spans="5:19">
      <c r="E816" s="284"/>
      <c r="K816" s="290"/>
      <c r="L816" s="290"/>
      <c r="M816" s="290"/>
      <c r="N816" s="290"/>
      <c r="O816" s="290"/>
      <c r="P816" s="290"/>
      <c r="Q816" s="290"/>
      <c r="R816" s="288"/>
      <c r="S816" s="289"/>
    </row>
    <row r="817" spans="5:19">
      <c r="E817" s="284"/>
      <c r="K817" s="290"/>
      <c r="L817" s="290"/>
      <c r="M817" s="290"/>
      <c r="N817" s="290"/>
      <c r="O817" s="290"/>
      <c r="P817" s="290"/>
      <c r="Q817" s="290"/>
      <c r="R817" s="288"/>
      <c r="S817" s="289"/>
    </row>
    <row r="818" spans="5:19">
      <c r="E818" s="284"/>
      <c r="K818" s="290"/>
      <c r="L818" s="290"/>
      <c r="M818" s="290"/>
      <c r="N818" s="290"/>
      <c r="O818" s="290"/>
      <c r="P818" s="290"/>
      <c r="Q818" s="290"/>
      <c r="R818" s="288"/>
      <c r="S818" s="289"/>
    </row>
    <row r="819" spans="5:19">
      <c r="E819" s="284"/>
      <c r="K819" s="290"/>
      <c r="L819" s="290"/>
      <c r="M819" s="290"/>
      <c r="N819" s="290"/>
      <c r="O819" s="290"/>
      <c r="P819" s="290"/>
      <c r="Q819" s="290"/>
      <c r="R819" s="288"/>
      <c r="S819" s="289"/>
    </row>
    <row r="820" spans="5:19">
      <c r="E820" s="284"/>
      <c r="K820" s="290"/>
      <c r="L820" s="290"/>
      <c r="M820" s="290"/>
      <c r="N820" s="290"/>
      <c r="O820" s="290"/>
      <c r="P820" s="290"/>
      <c r="Q820" s="290"/>
      <c r="R820" s="288"/>
      <c r="S820" s="289"/>
    </row>
    <row r="821" spans="5:19">
      <c r="E821" s="284"/>
      <c r="K821" s="290"/>
      <c r="L821" s="290"/>
      <c r="M821" s="290"/>
      <c r="N821" s="290"/>
      <c r="O821" s="290"/>
      <c r="P821" s="290"/>
      <c r="Q821" s="290"/>
      <c r="R821" s="288"/>
      <c r="S821" s="289"/>
    </row>
    <row r="822" spans="5:19">
      <c r="E822" s="284"/>
      <c r="K822" s="290"/>
      <c r="L822" s="290"/>
      <c r="M822" s="290"/>
      <c r="N822" s="290"/>
      <c r="O822" s="290"/>
      <c r="P822" s="290"/>
      <c r="Q822" s="290"/>
      <c r="R822" s="288"/>
      <c r="S822" s="289"/>
    </row>
    <row r="823" spans="5:19">
      <c r="E823" s="284"/>
      <c r="K823" s="290"/>
      <c r="L823" s="290"/>
      <c r="M823" s="290"/>
      <c r="N823" s="290"/>
      <c r="O823" s="290"/>
      <c r="P823" s="290"/>
      <c r="Q823" s="290"/>
      <c r="R823" s="288"/>
      <c r="S823" s="289"/>
    </row>
    <row r="824" spans="5:19">
      <c r="E824" s="284"/>
      <c r="K824" s="290"/>
      <c r="L824" s="290"/>
      <c r="M824" s="290"/>
      <c r="N824" s="290"/>
      <c r="O824" s="290"/>
      <c r="P824" s="290"/>
      <c r="Q824" s="290"/>
      <c r="R824" s="288"/>
      <c r="S824" s="289"/>
    </row>
    <row r="825" spans="5:19">
      <c r="E825" s="284"/>
      <c r="K825" s="290"/>
      <c r="L825" s="290"/>
      <c r="M825" s="290"/>
      <c r="N825" s="290"/>
      <c r="O825" s="290"/>
      <c r="P825" s="290"/>
      <c r="Q825" s="290"/>
      <c r="R825" s="288"/>
      <c r="S825" s="289"/>
    </row>
    <row r="826" spans="5:19">
      <c r="E826" s="284"/>
      <c r="K826" s="290"/>
      <c r="L826" s="290"/>
      <c r="M826" s="290"/>
      <c r="N826" s="290"/>
      <c r="O826" s="290"/>
      <c r="P826" s="290"/>
      <c r="Q826" s="290"/>
      <c r="R826" s="288"/>
      <c r="S826" s="289"/>
    </row>
    <row r="827" spans="5:19">
      <c r="E827" s="284"/>
      <c r="K827" s="290"/>
      <c r="L827" s="290"/>
      <c r="M827" s="290"/>
      <c r="N827" s="290"/>
      <c r="O827" s="290"/>
      <c r="P827" s="290"/>
      <c r="Q827" s="290"/>
      <c r="R827" s="288"/>
      <c r="S827" s="289"/>
    </row>
    <row r="828" spans="5:19">
      <c r="E828" s="284"/>
      <c r="K828" s="290"/>
      <c r="L828" s="290"/>
      <c r="M828" s="290"/>
      <c r="N828" s="290"/>
      <c r="O828" s="290"/>
      <c r="P828" s="290"/>
      <c r="Q828" s="290"/>
      <c r="R828" s="288"/>
      <c r="S828" s="289"/>
    </row>
    <row r="829" spans="5:19">
      <c r="E829" s="284"/>
      <c r="K829" s="290"/>
      <c r="L829" s="290"/>
      <c r="M829" s="290"/>
      <c r="N829" s="290"/>
      <c r="O829" s="290"/>
      <c r="P829" s="290"/>
      <c r="Q829" s="290"/>
      <c r="R829" s="288"/>
      <c r="S829" s="289"/>
    </row>
    <row r="830" spans="5:19">
      <c r="E830" s="284"/>
      <c r="K830" s="290"/>
      <c r="L830" s="290"/>
      <c r="M830" s="290"/>
      <c r="N830" s="290"/>
      <c r="O830" s="290"/>
      <c r="P830" s="290"/>
      <c r="Q830" s="290"/>
      <c r="R830" s="288"/>
      <c r="S830" s="289"/>
    </row>
    <row r="831" spans="5:19">
      <c r="E831" s="284"/>
      <c r="K831" s="290"/>
      <c r="L831" s="290"/>
      <c r="M831" s="290"/>
      <c r="N831" s="290"/>
      <c r="O831" s="290"/>
      <c r="P831" s="290"/>
      <c r="Q831" s="290"/>
      <c r="R831" s="288"/>
      <c r="S831" s="289"/>
    </row>
    <row r="832" spans="5:19">
      <c r="E832" s="284"/>
      <c r="K832" s="290"/>
      <c r="L832" s="290"/>
      <c r="M832" s="290"/>
      <c r="N832" s="290"/>
      <c r="O832" s="290"/>
      <c r="P832" s="290"/>
      <c r="Q832" s="290"/>
      <c r="R832" s="288"/>
      <c r="S832" s="289"/>
    </row>
    <row r="833" spans="5:19">
      <c r="E833" s="284"/>
      <c r="K833" s="290"/>
      <c r="L833" s="290"/>
      <c r="M833" s="290"/>
      <c r="N833" s="290"/>
      <c r="O833" s="290"/>
      <c r="P833" s="290"/>
      <c r="Q833" s="290"/>
      <c r="R833" s="288"/>
      <c r="S833" s="289"/>
    </row>
    <row r="834" spans="5:19">
      <c r="E834" s="284"/>
      <c r="K834" s="290"/>
      <c r="L834" s="290"/>
      <c r="M834" s="290"/>
      <c r="N834" s="290"/>
      <c r="O834" s="290"/>
      <c r="P834" s="290"/>
      <c r="Q834" s="290"/>
      <c r="R834" s="288"/>
      <c r="S834" s="289"/>
    </row>
    <row r="835" spans="5:19">
      <c r="E835" s="284"/>
      <c r="K835" s="290"/>
      <c r="L835" s="290"/>
      <c r="M835" s="290"/>
      <c r="N835" s="290"/>
      <c r="O835" s="290"/>
      <c r="P835" s="290"/>
      <c r="Q835" s="290"/>
      <c r="R835" s="288"/>
      <c r="S835" s="289"/>
    </row>
    <row r="836" spans="5:19">
      <c r="E836" s="284"/>
      <c r="K836" s="290"/>
      <c r="L836" s="290"/>
      <c r="M836" s="290"/>
      <c r="N836" s="290"/>
      <c r="O836" s="290"/>
      <c r="P836" s="290"/>
      <c r="Q836" s="290"/>
      <c r="R836" s="288"/>
      <c r="S836" s="289"/>
    </row>
    <row r="837" spans="5:19">
      <c r="E837" s="284"/>
      <c r="K837" s="290"/>
      <c r="L837" s="290"/>
      <c r="M837" s="290"/>
      <c r="N837" s="290"/>
      <c r="O837" s="290"/>
      <c r="P837" s="290"/>
      <c r="Q837" s="290"/>
      <c r="R837" s="288"/>
      <c r="S837" s="289"/>
    </row>
    <row r="838" spans="5:19">
      <c r="E838" s="284"/>
      <c r="K838" s="290"/>
      <c r="L838" s="290"/>
      <c r="M838" s="290"/>
      <c r="N838" s="290"/>
      <c r="O838" s="290"/>
      <c r="P838" s="290"/>
      <c r="Q838" s="290"/>
      <c r="R838" s="288"/>
      <c r="S838" s="289"/>
    </row>
    <row r="839" spans="5:19">
      <c r="E839" s="284"/>
      <c r="K839" s="290"/>
      <c r="L839" s="290"/>
      <c r="M839" s="290"/>
      <c r="N839" s="290"/>
      <c r="O839" s="290"/>
      <c r="P839" s="290"/>
      <c r="Q839" s="290"/>
      <c r="R839" s="288"/>
      <c r="S839" s="289"/>
    </row>
    <row r="840" spans="5:19">
      <c r="E840" s="284"/>
      <c r="K840" s="290"/>
      <c r="L840" s="290"/>
      <c r="M840" s="290"/>
      <c r="N840" s="290"/>
      <c r="O840" s="290"/>
      <c r="P840" s="290"/>
      <c r="Q840" s="290"/>
      <c r="R840" s="288"/>
      <c r="S840" s="289"/>
    </row>
    <row r="841" spans="5:19">
      <c r="E841" s="284"/>
      <c r="K841" s="290"/>
      <c r="L841" s="290"/>
      <c r="M841" s="290"/>
      <c r="N841" s="290"/>
      <c r="O841" s="290"/>
      <c r="P841" s="290"/>
      <c r="Q841" s="290"/>
      <c r="R841" s="288"/>
      <c r="S841" s="289"/>
    </row>
    <row r="842" spans="5:19">
      <c r="E842" s="284"/>
      <c r="K842" s="290"/>
      <c r="L842" s="290"/>
      <c r="M842" s="290"/>
      <c r="N842" s="290"/>
      <c r="O842" s="290"/>
      <c r="P842" s="290"/>
      <c r="Q842" s="290"/>
      <c r="R842" s="288"/>
      <c r="S842" s="289"/>
    </row>
    <row r="843" spans="5:19">
      <c r="E843" s="284"/>
      <c r="K843" s="290"/>
      <c r="L843" s="290"/>
      <c r="M843" s="290"/>
      <c r="N843" s="290"/>
      <c r="O843" s="290"/>
      <c r="P843" s="290"/>
      <c r="Q843" s="290"/>
      <c r="R843" s="288"/>
      <c r="S843" s="289"/>
    </row>
    <row r="844" spans="5:19">
      <c r="E844" s="284"/>
      <c r="K844" s="290"/>
      <c r="L844" s="290"/>
      <c r="M844" s="290"/>
      <c r="N844" s="290"/>
      <c r="O844" s="290"/>
      <c r="P844" s="290"/>
      <c r="Q844" s="290"/>
      <c r="R844" s="288"/>
      <c r="S844" s="289"/>
    </row>
    <row r="845" spans="5:19">
      <c r="E845" s="284"/>
      <c r="K845" s="290"/>
      <c r="L845" s="290"/>
      <c r="M845" s="290"/>
      <c r="N845" s="290"/>
      <c r="O845" s="290"/>
      <c r="P845" s="290"/>
      <c r="Q845" s="290"/>
      <c r="R845" s="288"/>
      <c r="S845" s="289"/>
    </row>
    <row r="846" spans="5:19">
      <c r="E846" s="284"/>
      <c r="K846" s="290"/>
      <c r="L846" s="290"/>
      <c r="M846" s="290"/>
      <c r="N846" s="290"/>
      <c r="O846" s="290"/>
      <c r="P846" s="290"/>
      <c r="Q846" s="290"/>
      <c r="R846" s="288"/>
      <c r="S846" s="289"/>
    </row>
    <row r="847" spans="5:19">
      <c r="E847" s="284"/>
      <c r="K847" s="290"/>
      <c r="L847" s="290"/>
      <c r="M847" s="290"/>
      <c r="N847" s="290"/>
      <c r="O847" s="290"/>
      <c r="P847" s="290"/>
      <c r="Q847" s="290"/>
      <c r="R847" s="288"/>
      <c r="S847" s="289"/>
    </row>
    <row r="848" spans="5:19">
      <c r="E848" s="284"/>
      <c r="K848" s="290"/>
      <c r="L848" s="290"/>
      <c r="M848" s="290"/>
      <c r="N848" s="290"/>
      <c r="O848" s="290"/>
      <c r="P848" s="290"/>
      <c r="Q848" s="290"/>
      <c r="R848" s="288"/>
      <c r="S848" s="289"/>
    </row>
    <row r="849" spans="5:19">
      <c r="E849" s="284"/>
      <c r="K849" s="290"/>
      <c r="L849" s="290"/>
      <c r="M849" s="290"/>
      <c r="N849" s="290"/>
      <c r="O849" s="290"/>
      <c r="P849" s="290"/>
      <c r="Q849" s="290"/>
      <c r="R849" s="288"/>
      <c r="S849" s="289"/>
    </row>
    <row r="850" spans="5:19">
      <c r="E850" s="284"/>
      <c r="K850" s="290"/>
      <c r="L850" s="290"/>
      <c r="M850" s="290"/>
      <c r="N850" s="290"/>
      <c r="O850" s="290"/>
      <c r="P850" s="290"/>
      <c r="Q850" s="290"/>
      <c r="R850" s="288"/>
      <c r="S850" s="289"/>
    </row>
    <row r="851" spans="5:19">
      <c r="E851" s="284"/>
      <c r="K851" s="290"/>
      <c r="L851" s="290"/>
      <c r="M851" s="290"/>
      <c r="N851" s="290"/>
      <c r="O851" s="290"/>
      <c r="P851" s="290"/>
      <c r="Q851" s="290"/>
      <c r="R851" s="288"/>
      <c r="S851" s="289"/>
    </row>
    <row r="852" spans="5:19">
      <c r="E852" s="284"/>
      <c r="K852" s="290"/>
      <c r="L852" s="290"/>
      <c r="M852" s="290"/>
      <c r="N852" s="290"/>
      <c r="O852" s="290"/>
      <c r="P852" s="290"/>
      <c r="Q852" s="290"/>
      <c r="R852" s="288"/>
      <c r="S852" s="289"/>
    </row>
    <row r="853" spans="5:19">
      <c r="E853" s="284"/>
      <c r="K853" s="290"/>
      <c r="L853" s="290"/>
      <c r="M853" s="290"/>
      <c r="N853" s="290"/>
      <c r="O853" s="290"/>
      <c r="P853" s="290"/>
      <c r="Q853" s="290"/>
      <c r="R853" s="288"/>
      <c r="S853" s="289"/>
    </row>
    <row r="854" spans="5:19">
      <c r="E854" s="284"/>
      <c r="K854" s="290"/>
      <c r="L854" s="290"/>
      <c r="M854" s="290"/>
      <c r="N854" s="290"/>
      <c r="O854" s="290"/>
      <c r="P854" s="290"/>
      <c r="Q854" s="290"/>
      <c r="R854" s="288"/>
      <c r="S854" s="289"/>
    </row>
    <row r="855" spans="5:19">
      <c r="E855" s="284"/>
      <c r="K855" s="290"/>
      <c r="L855" s="290"/>
      <c r="M855" s="290"/>
      <c r="N855" s="290"/>
      <c r="O855" s="290"/>
      <c r="P855" s="290"/>
      <c r="Q855" s="290"/>
      <c r="R855" s="288"/>
      <c r="S855" s="289"/>
    </row>
    <row r="856" spans="5:19">
      <c r="E856" s="284"/>
      <c r="K856" s="290"/>
      <c r="L856" s="290"/>
      <c r="M856" s="290"/>
      <c r="N856" s="290"/>
      <c r="O856" s="290"/>
      <c r="P856" s="290"/>
      <c r="Q856" s="290"/>
      <c r="R856" s="288"/>
      <c r="S856" s="289"/>
    </row>
    <row r="857" spans="5:19">
      <c r="E857" s="284"/>
      <c r="K857" s="290"/>
      <c r="L857" s="290"/>
      <c r="M857" s="290"/>
      <c r="N857" s="290"/>
      <c r="O857" s="290"/>
      <c r="P857" s="290"/>
      <c r="Q857" s="290"/>
      <c r="R857" s="288"/>
      <c r="S857" s="289"/>
    </row>
    <row r="858" spans="5:19">
      <c r="E858" s="284"/>
      <c r="K858" s="290"/>
      <c r="L858" s="290"/>
      <c r="M858" s="290"/>
      <c r="N858" s="290"/>
      <c r="O858" s="290"/>
      <c r="P858" s="290"/>
      <c r="Q858" s="290"/>
      <c r="R858" s="288"/>
      <c r="S858" s="289"/>
    </row>
    <row r="859" spans="5:19">
      <c r="E859" s="284"/>
      <c r="K859" s="290"/>
      <c r="L859" s="290"/>
      <c r="M859" s="290"/>
      <c r="N859" s="290"/>
      <c r="O859" s="290"/>
      <c r="P859" s="290"/>
      <c r="Q859" s="290"/>
      <c r="R859" s="288"/>
      <c r="S859" s="289"/>
    </row>
    <row r="860" spans="5:19">
      <c r="E860" s="284"/>
      <c r="K860" s="290"/>
      <c r="L860" s="290"/>
      <c r="M860" s="290"/>
      <c r="N860" s="290"/>
      <c r="O860" s="290"/>
      <c r="P860" s="290"/>
      <c r="Q860" s="290"/>
      <c r="R860" s="288"/>
      <c r="S860" s="289"/>
    </row>
    <row r="861" spans="5:19">
      <c r="E861" s="284"/>
      <c r="K861" s="290"/>
      <c r="L861" s="290"/>
      <c r="M861" s="290"/>
      <c r="N861" s="290"/>
      <c r="O861" s="290"/>
      <c r="P861" s="290"/>
      <c r="Q861" s="290"/>
      <c r="R861" s="288"/>
      <c r="S861" s="289"/>
    </row>
    <row r="862" spans="5:19">
      <c r="E862" s="284"/>
      <c r="K862" s="290"/>
      <c r="L862" s="290"/>
      <c r="M862" s="290"/>
      <c r="N862" s="290"/>
      <c r="O862" s="290"/>
      <c r="P862" s="290"/>
      <c r="Q862" s="290"/>
      <c r="R862" s="288"/>
      <c r="S862" s="289"/>
    </row>
    <row r="863" spans="5:19">
      <c r="E863" s="284"/>
      <c r="K863" s="290"/>
      <c r="L863" s="290"/>
      <c r="M863" s="290"/>
      <c r="N863" s="290"/>
      <c r="O863" s="290"/>
      <c r="P863" s="290"/>
      <c r="Q863" s="290"/>
      <c r="R863" s="288"/>
      <c r="S863" s="289"/>
    </row>
    <row r="864" spans="5:19">
      <c r="E864" s="284"/>
      <c r="K864" s="290"/>
      <c r="L864" s="290"/>
      <c r="M864" s="290"/>
      <c r="N864" s="290"/>
      <c r="O864" s="290"/>
      <c r="P864" s="290"/>
      <c r="Q864" s="290"/>
      <c r="R864" s="288"/>
      <c r="S864" s="289"/>
    </row>
    <row r="865" spans="5:19">
      <c r="E865" s="284"/>
      <c r="K865" s="290"/>
      <c r="L865" s="290"/>
      <c r="M865" s="290"/>
      <c r="N865" s="290"/>
      <c r="O865" s="290"/>
      <c r="P865" s="290"/>
      <c r="Q865" s="290"/>
      <c r="R865" s="288"/>
      <c r="S865" s="289"/>
    </row>
    <row r="866" spans="5:19">
      <c r="E866" s="284"/>
      <c r="K866" s="290"/>
      <c r="L866" s="290"/>
      <c r="M866" s="290"/>
      <c r="N866" s="290"/>
      <c r="O866" s="290"/>
      <c r="P866" s="290"/>
      <c r="Q866" s="290"/>
      <c r="R866" s="288"/>
      <c r="S866" s="289"/>
    </row>
    <row r="867" spans="5:19">
      <c r="E867" s="284"/>
      <c r="K867" s="290"/>
      <c r="L867" s="290"/>
      <c r="M867" s="290"/>
      <c r="N867" s="290"/>
      <c r="O867" s="290"/>
      <c r="P867" s="290"/>
      <c r="Q867" s="290"/>
      <c r="R867" s="288"/>
      <c r="S867" s="289"/>
    </row>
    <row r="868" spans="5:19">
      <c r="E868" s="284"/>
      <c r="K868" s="290"/>
      <c r="L868" s="290"/>
      <c r="M868" s="290"/>
      <c r="N868" s="290"/>
      <c r="O868" s="290"/>
      <c r="P868" s="290"/>
      <c r="Q868" s="290"/>
      <c r="R868" s="288"/>
      <c r="S868" s="289"/>
    </row>
    <row r="869" spans="5:19">
      <c r="E869" s="284"/>
      <c r="K869" s="290"/>
      <c r="L869" s="290"/>
      <c r="M869" s="290"/>
      <c r="N869" s="290"/>
      <c r="O869" s="290"/>
      <c r="P869" s="290"/>
      <c r="Q869" s="290"/>
      <c r="R869" s="288"/>
      <c r="S869" s="289"/>
    </row>
    <row r="870" spans="5:19">
      <c r="E870" s="284"/>
      <c r="K870" s="290"/>
      <c r="L870" s="290"/>
      <c r="M870" s="290"/>
      <c r="N870" s="290"/>
      <c r="O870" s="290"/>
      <c r="P870" s="290"/>
      <c r="Q870" s="290"/>
      <c r="R870" s="288"/>
      <c r="S870" s="289"/>
    </row>
    <row r="871" spans="5:19">
      <c r="E871" s="284"/>
      <c r="K871" s="290"/>
      <c r="L871" s="290"/>
      <c r="M871" s="290"/>
      <c r="N871" s="290"/>
      <c r="O871" s="290"/>
      <c r="P871" s="290"/>
      <c r="Q871" s="290"/>
      <c r="R871" s="288"/>
      <c r="S871" s="289"/>
    </row>
    <row r="872" spans="5:19">
      <c r="E872" s="284"/>
      <c r="K872" s="290"/>
      <c r="L872" s="290"/>
      <c r="M872" s="290"/>
      <c r="N872" s="290"/>
      <c r="O872" s="290"/>
      <c r="P872" s="290"/>
      <c r="Q872" s="290"/>
      <c r="R872" s="288"/>
      <c r="S872" s="289"/>
    </row>
    <row r="873" spans="5:19">
      <c r="E873" s="284"/>
      <c r="K873" s="290"/>
      <c r="L873" s="290"/>
      <c r="M873" s="290"/>
      <c r="N873" s="290"/>
      <c r="O873" s="290"/>
      <c r="P873" s="290"/>
      <c r="Q873" s="290"/>
      <c r="R873" s="288"/>
      <c r="S873" s="289"/>
    </row>
    <row r="874" spans="5:19">
      <c r="E874" s="284"/>
      <c r="K874" s="290"/>
      <c r="L874" s="290"/>
      <c r="M874" s="290"/>
      <c r="N874" s="290"/>
      <c r="O874" s="290"/>
      <c r="P874" s="290"/>
      <c r="Q874" s="290"/>
      <c r="R874" s="288"/>
      <c r="S874" s="289"/>
    </row>
    <row r="875" spans="5:19">
      <c r="E875" s="284"/>
      <c r="K875" s="290"/>
      <c r="L875" s="290"/>
      <c r="M875" s="290"/>
      <c r="N875" s="290"/>
      <c r="O875" s="290"/>
      <c r="P875" s="290"/>
      <c r="Q875" s="290"/>
      <c r="R875" s="288"/>
      <c r="S875" s="289"/>
    </row>
    <row r="876" spans="5:19">
      <c r="E876" s="284"/>
      <c r="K876" s="290"/>
      <c r="L876" s="290"/>
      <c r="M876" s="290"/>
      <c r="N876" s="290"/>
      <c r="O876" s="290"/>
      <c r="P876" s="290"/>
      <c r="Q876" s="290"/>
      <c r="R876" s="288"/>
      <c r="S876" s="289"/>
    </row>
    <row r="877" spans="5:19">
      <c r="E877" s="284"/>
      <c r="K877" s="290"/>
      <c r="L877" s="290"/>
      <c r="M877" s="290"/>
      <c r="N877" s="290"/>
      <c r="O877" s="290"/>
      <c r="P877" s="290"/>
      <c r="Q877" s="290"/>
      <c r="R877" s="288"/>
      <c r="S877" s="289"/>
    </row>
    <row r="878" spans="5:19">
      <c r="E878" s="284"/>
      <c r="K878" s="290"/>
      <c r="L878" s="290"/>
      <c r="M878" s="290"/>
      <c r="N878" s="290"/>
      <c r="O878" s="290"/>
      <c r="P878" s="290"/>
      <c r="Q878" s="290"/>
      <c r="R878" s="288"/>
      <c r="S878" s="289"/>
    </row>
    <row r="879" spans="5:19">
      <c r="E879" s="284"/>
      <c r="K879" s="290"/>
      <c r="L879" s="290"/>
      <c r="M879" s="290"/>
      <c r="N879" s="290"/>
      <c r="O879" s="290"/>
      <c r="P879" s="290"/>
      <c r="Q879" s="290"/>
      <c r="R879" s="288"/>
      <c r="S879" s="289"/>
    </row>
    <row r="880" spans="5:19">
      <c r="E880" s="284"/>
      <c r="K880" s="290"/>
      <c r="L880" s="290"/>
      <c r="M880" s="290"/>
      <c r="N880" s="290"/>
      <c r="O880" s="290"/>
      <c r="P880" s="290"/>
      <c r="Q880" s="290"/>
      <c r="R880" s="288"/>
      <c r="S880" s="289"/>
    </row>
    <row r="881" spans="5:19">
      <c r="E881" s="284"/>
      <c r="K881" s="290"/>
      <c r="L881" s="290"/>
      <c r="M881" s="290"/>
      <c r="N881" s="290"/>
      <c r="O881" s="290"/>
      <c r="P881" s="290"/>
      <c r="Q881" s="290"/>
      <c r="R881" s="288"/>
      <c r="S881" s="289"/>
    </row>
    <row r="882" spans="5:19">
      <c r="E882" s="284"/>
      <c r="K882" s="290"/>
      <c r="L882" s="290"/>
      <c r="M882" s="290"/>
      <c r="N882" s="290"/>
      <c r="O882" s="290"/>
      <c r="P882" s="290"/>
      <c r="Q882" s="290"/>
      <c r="R882" s="288"/>
      <c r="S882" s="289"/>
    </row>
    <row r="883" spans="5:19">
      <c r="E883" s="284"/>
      <c r="K883" s="290"/>
      <c r="L883" s="290"/>
      <c r="M883" s="290"/>
      <c r="N883" s="290"/>
      <c r="O883" s="290"/>
      <c r="P883" s="290"/>
      <c r="Q883" s="290"/>
      <c r="R883" s="288"/>
      <c r="S883" s="289"/>
    </row>
    <row r="884" spans="5:19">
      <c r="E884" s="284"/>
      <c r="K884" s="290"/>
      <c r="L884" s="290"/>
      <c r="M884" s="290"/>
      <c r="N884" s="290"/>
      <c r="O884" s="290"/>
      <c r="P884" s="290"/>
      <c r="Q884" s="290"/>
      <c r="R884" s="288"/>
      <c r="S884" s="289"/>
    </row>
    <row r="885" spans="5:19">
      <c r="E885" s="284"/>
      <c r="K885" s="290"/>
      <c r="L885" s="290"/>
      <c r="M885" s="290"/>
      <c r="N885" s="290"/>
      <c r="O885" s="290"/>
      <c r="P885" s="290"/>
      <c r="Q885" s="290"/>
      <c r="R885" s="288"/>
      <c r="S885" s="289"/>
    </row>
    <row r="886" spans="5:19">
      <c r="E886" s="284"/>
      <c r="K886" s="290"/>
      <c r="L886" s="290"/>
      <c r="M886" s="290"/>
      <c r="N886" s="290"/>
      <c r="O886" s="290"/>
      <c r="P886" s="290"/>
      <c r="Q886" s="290"/>
      <c r="R886" s="288"/>
      <c r="S886" s="289"/>
    </row>
    <row r="887" spans="5:19">
      <c r="E887" s="284"/>
      <c r="K887" s="290"/>
      <c r="L887" s="290"/>
      <c r="M887" s="290"/>
      <c r="N887" s="290"/>
      <c r="O887" s="290"/>
      <c r="P887" s="290"/>
      <c r="Q887" s="290"/>
      <c r="R887" s="288"/>
      <c r="S887" s="289"/>
    </row>
    <row r="888" spans="5:19">
      <c r="E888" s="284"/>
      <c r="K888" s="290"/>
      <c r="L888" s="290"/>
      <c r="M888" s="290"/>
      <c r="N888" s="290"/>
      <c r="O888" s="290"/>
      <c r="P888" s="290"/>
      <c r="Q888" s="290"/>
      <c r="R888" s="288"/>
      <c r="S888" s="289"/>
    </row>
    <row r="889" spans="5:19">
      <c r="E889" s="284"/>
      <c r="K889" s="290"/>
      <c r="L889" s="290"/>
      <c r="M889" s="290"/>
      <c r="N889" s="290"/>
      <c r="O889" s="290"/>
      <c r="P889" s="290"/>
      <c r="Q889" s="290"/>
      <c r="R889" s="288"/>
      <c r="S889" s="289"/>
    </row>
    <row r="890" spans="5:19">
      <c r="E890" s="284"/>
      <c r="K890" s="290"/>
      <c r="L890" s="290"/>
      <c r="M890" s="290"/>
      <c r="N890" s="290"/>
      <c r="O890" s="290"/>
      <c r="P890" s="290"/>
      <c r="Q890" s="290"/>
      <c r="R890" s="288"/>
      <c r="S890" s="289"/>
    </row>
    <row r="891" spans="5:19">
      <c r="E891" s="284"/>
      <c r="K891" s="290"/>
      <c r="L891" s="290"/>
      <c r="M891" s="290"/>
      <c r="N891" s="290"/>
      <c r="O891" s="290"/>
      <c r="P891" s="290"/>
      <c r="Q891" s="290"/>
      <c r="R891" s="288"/>
      <c r="S891" s="289"/>
    </row>
    <row r="892" spans="5:19">
      <c r="E892" s="284"/>
      <c r="K892" s="290"/>
      <c r="L892" s="290"/>
      <c r="M892" s="290"/>
      <c r="N892" s="290"/>
      <c r="O892" s="290"/>
      <c r="P892" s="290"/>
      <c r="Q892" s="290"/>
      <c r="R892" s="288"/>
      <c r="S892" s="289"/>
    </row>
    <row r="893" spans="5:19">
      <c r="E893" s="284"/>
      <c r="K893" s="290"/>
      <c r="L893" s="290"/>
      <c r="M893" s="290"/>
      <c r="N893" s="290"/>
      <c r="O893" s="290"/>
      <c r="P893" s="290"/>
      <c r="Q893" s="290"/>
      <c r="R893" s="288"/>
      <c r="S893" s="289"/>
    </row>
    <row r="894" spans="5:19">
      <c r="E894" s="284"/>
      <c r="K894" s="290"/>
      <c r="L894" s="290"/>
      <c r="M894" s="290"/>
      <c r="N894" s="290"/>
      <c r="O894" s="290"/>
      <c r="P894" s="290"/>
      <c r="Q894" s="290"/>
      <c r="R894" s="288"/>
      <c r="S894" s="289"/>
    </row>
    <row r="895" spans="5:19">
      <c r="E895" s="284"/>
      <c r="K895" s="290"/>
      <c r="L895" s="290"/>
      <c r="M895" s="290"/>
      <c r="N895" s="290"/>
      <c r="O895" s="290"/>
      <c r="P895" s="290"/>
      <c r="Q895" s="290"/>
      <c r="R895" s="288"/>
      <c r="S895" s="289"/>
    </row>
    <row r="896" spans="5:19">
      <c r="E896" s="284"/>
      <c r="K896" s="290"/>
      <c r="L896" s="290"/>
      <c r="M896" s="290"/>
      <c r="N896" s="290"/>
      <c r="O896" s="290"/>
      <c r="P896" s="290"/>
      <c r="Q896" s="290"/>
      <c r="R896" s="288"/>
      <c r="S896" s="289"/>
    </row>
    <row r="897" spans="5:19">
      <c r="E897" s="284"/>
      <c r="K897" s="290"/>
      <c r="L897" s="290"/>
      <c r="M897" s="290"/>
      <c r="N897" s="290"/>
      <c r="O897" s="290"/>
      <c r="P897" s="290"/>
      <c r="Q897" s="290"/>
      <c r="R897" s="288"/>
      <c r="S897" s="289"/>
    </row>
    <row r="898" spans="5:19">
      <c r="E898" s="284"/>
      <c r="K898" s="290"/>
      <c r="L898" s="290"/>
      <c r="M898" s="290"/>
      <c r="N898" s="290"/>
      <c r="O898" s="290"/>
      <c r="P898" s="290"/>
      <c r="Q898" s="290"/>
      <c r="R898" s="288"/>
      <c r="S898" s="289"/>
    </row>
    <row r="899" spans="5:19">
      <c r="E899" s="284"/>
      <c r="K899" s="290"/>
      <c r="L899" s="290"/>
      <c r="M899" s="290"/>
      <c r="N899" s="290"/>
      <c r="O899" s="290"/>
      <c r="P899" s="290"/>
      <c r="Q899" s="290"/>
      <c r="R899" s="288"/>
      <c r="S899" s="289"/>
    </row>
    <row r="900" spans="5:19">
      <c r="E900" s="284"/>
      <c r="K900" s="290"/>
      <c r="L900" s="290"/>
      <c r="M900" s="290"/>
      <c r="N900" s="290"/>
      <c r="O900" s="290"/>
      <c r="P900" s="290"/>
      <c r="Q900" s="290"/>
      <c r="R900" s="288"/>
      <c r="S900" s="289"/>
    </row>
    <row r="901" spans="5:19">
      <c r="E901" s="284"/>
      <c r="K901" s="290"/>
      <c r="L901" s="290"/>
      <c r="M901" s="290"/>
      <c r="N901" s="290"/>
      <c r="O901" s="290"/>
      <c r="P901" s="290"/>
      <c r="Q901" s="290"/>
      <c r="R901" s="288"/>
      <c r="S901" s="289"/>
    </row>
    <row r="902" spans="5:19">
      <c r="E902" s="284"/>
      <c r="K902" s="290"/>
      <c r="L902" s="290"/>
      <c r="M902" s="290"/>
      <c r="N902" s="290"/>
      <c r="O902" s="290"/>
      <c r="P902" s="290"/>
      <c r="Q902" s="290"/>
      <c r="R902" s="288"/>
      <c r="S902" s="289"/>
    </row>
    <row r="903" spans="5:19">
      <c r="E903" s="284"/>
      <c r="K903" s="290"/>
      <c r="L903" s="290"/>
      <c r="M903" s="290"/>
      <c r="N903" s="290"/>
      <c r="O903" s="290"/>
      <c r="P903" s="290"/>
      <c r="Q903" s="290"/>
      <c r="R903" s="288"/>
      <c r="S903" s="289"/>
    </row>
    <row r="904" spans="5:19">
      <c r="E904" s="284"/>
      <c r="K904" s="290"/>
      <c r="L904" s="290"/>
      <c r="M904" s="290"/>
      <c r="N904" s="290"/>
      <c r="O904" s="290"/>
      <c r="P904" s="290"/>
      <c r="Q904" s="290"/>
      <c r="R904" s="288"/>
      <c r="S904" s="289"/>
    </row>
    <row r="905" spans="5:19">
      <c r="E905" s="284"/>
      <c r="K905" s="290"/>
      <c r="L905" s="290"/>
      <c r="M905" s="290"/>
      <c r="N905" s="290"/>
      <c r="O905" s="290"/>
      <c r="P905" s="290"/>
      <c r="Q905" s="290"/>
      <c r="R905" s="288"/>
      <c r="S905" s="289"/>
    </row>
    <row r="906" spans="5:19">
      <c r="E906" s="284"/>
      <c r="K906" s="290"/>
      <c r="L906" s="290"/>
      <c r="M906" s="290"/>
      <c r="N906" s="290"/>
      <c r="O906" s="290"/>
      <c r="P906" s="290"/>
      <c r="Q906" s="290"/>
      <c r="R906" s="288"/>
      <c r="S906" s="289"/>
    </row>
    <row r="907" spans="5:19">
      <c r="E907" s="284"/>
      <c r="K907" s="290"/>
      <c r="L907" s="290"/>
      <c r="M907" s="290"/>
      <c r="N907" s="290"/>
      <c r="O907" s="290"/>
      <c r="P907" s="290"/>
      <c r="Q907" s="290"/>
      <c r="R907" s="288"/>
      <c r="S907" s="289"/>
    </row>
    <row r="908" spans="5:19">
      <c r="E908" s="284"/>
      <c r="K908" s="290"/>
      <c r="L908" s="290"/>
      <c r="M908" s="290"/>
      <c r="N908" s="290"/>
      <c r="O908" s="290"/>
      <c r="P908" s="290"/>
      <c r="Q908" s="290"/>
      <c r="R908" s="288"/>
      <c r="S908" s="289"/>
    </row>
    <row r="909" spans="5:19">
      <c r="E909" s="284"/>
      <c r="K909" s="290"/>
      <c r="L909" s="290"/>
      <c r="M909" s="290"/>
      <c r="N909" s="290"/>
      <c r="O909" s="290"/>
      <c r="P909" s="290"/>
      <c r="Q909" s="290"/>
      <c r="R909" s="288"/>
      <c r="S909" s="289"/>
    </row>
    <row r="910" spans="5:19">
      <c r="E910" s="284"/>
      <c r="K910" s="290"/>
      <c r="L910" s="290"/>
      <c r="M910" s="290"/>
      <c r="N910" s="290"/>
      <c r="O910" s="290"/>
      <c r="P910" s="290"/>
      <c r="Q910" s="290"/>
      <c r="R910" s="288"/>
      <c r="S910" s="289"/>
    </row>
    <row r="911" spans="5:19">
      <c r="E911" s="284"/>
      <c r="K911" s="290"/>
      <c r="L911" s="290"/>
      <c r="M911" s="290"/>
      <c r="N911" s="290"/>
      <c r="O911" s="290"/>
      <c r="P911" s="290"/>
      <c r="Q911" s="290"/>
      <c r="R911" s="288"/>
      <c r="S911" s="289"/>
    </row>
    <row r="912" spans="5:19">
      <c r="E912" s="284"/>
      <c r="K912" s="290"/>
      <c r="L912" s="290"/>
      <c r="M912" s="290"/>
      <c r="N912" s="290"/>
      <c r="O912" s="290"/>
      <c r="P912" s="290"/>
      <c r="Q912" s="290"/>
      <c r="R912" s="288"/>
      <c r="S912" s="289"/>
    </row>
    <row r="913" spans="5:19">
      <c r="E913" s="284"/>
      <c r="K913" s="290"/>
      <c r="L913" s="290"/>
      <c r="M913" s="290"/>
      <c r="N913" s="290"/>
      <c r="O913" s="290"/>
      <c r="P913" s="290"/>
      <c r="Q913" s="290"/>
      <c r="R913" s="288"/>
      <c r="S913" s="289"/>
    </row>
    <row r="914" spans="5:19">
      <c r="E914" s="284"/>
      <c r="K914" s="290"/>
      <c r="L914" s="290"/>
      <c r="M914" s="290"/>
      <c r="N914" s="290"/>
      <c r="O914" s="290"/>
      <c r="P914" s="290"/>
      <c r="Q914" s="290"/>
      <c r="R914" s="288"/>
      <c r="S914" s="289"/>
    </row>
    <row r="915" spans="5:19">
      <c r="E915" s="284"/>
      <c r="K915" s="290"/>
      <c r="L915" s="290"/>
      <c r="M915" s="290"/>
      <c r="N915" s="290"/>
      <c r="O915" s="290"/>
      <c r="P915" s="290"/>
      <c r="Q915" s="290"/>
      <c r="R915" s="288"/>
      <c r="S915" s="289"/>
    </row>
    <row r="916" spans="5:19">
      <c r="E916" s="284"/>
      <c r="K916" s="290"/>
      <c r="L916" s="290"/>
      <c r="M916" s="290"/>
      <c r="N916" s="290"/>
      <c r="O916" s="290"/>
      <c r="P916" s="290"/>
      <c r="Q916" s="290"/>
      <c r="R916" s="288"/>
      <c r="S916" s="289"/>
    </row>
    <row r="917" spans="5:19">
      <c r="E917" s="284"/>
      <c r="K917" s="290"/>
      <c r="L917" s="290"/>
      <c r="M917" s="290"/>
      <c r="N917" s="290"/>
      <c r="O917" s="290"/>
      <c r="P917" s="290"/>
      <c r="Q917" s="290"/>
      <c r="R917" s="288"/>
      <c r="S917" s="289"/>
    </row>
    <row r="918" spans="5:19">
      <c r="E918" s="284"/>
      <c r="K918" s="290"/>
      <c r="L918" s="290"/>
      <c r="M918" s="290"/>
      <c r="N918" s="290"/>
      <c r="O918" s="290"/>
      <c r="P918" s="290"/>
      <c r="Q918" s="290"/>
      <c r="R918" s="288"/>
      <c r="S918" s="289"/>
    </row>
    <row r="919" spans="5:19">
      <c r="E919" s="284"/>
      <c r="K919" s="290"/>
      <c r="L919" s="290"/>
      <c r="M919" s="290"/>
      <c r="N919" s="290"/>
      <c r="O919" s="290"/>
      <c r="P919" s="290"/>
      <c r="Q919" s="290"/>
      <c r="R919" s="288"/>
      <c r="S919" s="289"/>
    </row>
    <row r="920" spans="5:19">
      <c r="E920" s="284"/>
      <c r="K920" s="290"/>
      <c r="L920" s="290"/>
      <c r="M920" s="290"/>
      <c r="N920" s="290"/>
      <c r="O920" s="290"/>
      <c r="P920" s="290"/>
      <c r="Q920" s="290"/>
      <c r="R920" s="288"/>
      <c r="S920" s="289"/>
    </row>
    <row r="921" spans="5:19">
      <c r="E921" s="284"/>
      <c r="K921" s="290"/>
      <c r="L921" s="290"/>
      <c r="M921" s="290"/>
      <c r="N921" s="290"/>
      <c r="O921" s="290"/>
      <c r="P921" s="290"/>
      <c r="Q921" s="290"/>
      <c r="R921" s="288"/>
      <c r="S921" s="289"/>
    </row>
    <row r="922" spans="5:19">
      <c r="E922" s="284"/>
      <c r="K922" s="290"/>
      <c r="L922" s="290"/>
      <c r="M922" s="290"/>
      <c r="N922" s="290"/>
      <c r="O922" s="290"/>
      <c r="P922" s="290"/>
      <c r="Q922" s="290"/>
      <c r="R922" s="288"/>
      <c r="S922" s="289"/>
    </row>
    <row r="923" spans="5:19">
      <c r="E923" s="284"/>
      <c r="K923" s="290"/>
      <c r="L923" s="290"/>
      <c r="M923" s="290"/>
      <c r="N923" s="290"/>
      <c r="O923" s="290"/>
      <c r="P923" s="290"/>
      <c r="Q923" s="290"/>
      <c r="R923" s="288"/>
      <c r="S923" s="289"/>
    </row>
    <row r="924" spans="5:19">
      <c r="E924" s="284"/>
      <c r="K924" s="290"/>
      <c r="L924" s="290"/>
      <c r="M924" s="290"/>
      <c r="N924" s="290"/>
      <c r="O924" s="290"/>
      <c r="P924" s="290"/>
      <c r="Q924" s="290"/>
      <c r="R924" s="288"/>
      <c r="S924" s="289"/>
    </row>
    <row r="925" spans="5:19">
      <c r="E925" s="284"/>
      <c r="K925" s="290"/>
      <c r="L925" s="290"/>
      <c r="M925" s="290"/>
      <c r="N925" s="290"/>
      <c r="O925" s="290"/>
      <c r="P925" s="290"/>
      <c r="Q925" s="290"/>
      <c r="R925" s="288"/>
      <c r="S925" s="289"/>
    </row>
    <row r="926" spans="5:19">
      <c r="E926" s="284"/>
      <c r="K926" s="290"/>
      <c r="L926" s="290"/>
      <c r="M926" s="290"/>
      <c r="N926" s="290"/>
      <c r="O926" s="290"/>
      <c r="P926" s="290"/>
      <c r="Q926" s="290"/>
      <c r="R926" s="288"/>
      <c r="S926" s="289"/>
    </row>
    <row r="927" spans="5:19">
      <c r="E927" s="284"/>
      <c r="K927" s="290"/>
      <c r="L927" s="290"/>
      <c r="M927" s="290"/>
      <c r="N927" s="290"/>
      <c r="O927" s="290"/>
      <c r="P927" s="290"/>
      <c r="Q927" s="290"/>
      <c r="R927" s="288"/>
      <c r="S927" s="289"/>
    </row>
    <row r="928" spans="5:19">
      <c r="E928" s="284"/>
      <c r="K928" s="290"/>
      <c r="L928" s="290"/>
      <c r="M928" s="290"/>
      <c r="N928" s="290"/>
      <c r="O928" s="290"/>
      <c r="P928" s="290"/>
      <c r="Q928" s="290"/>
      <c r="R928" s="288"/>
      <c r="S928" s="289"/>
    </row>
    <row r="929" spans="5:19">
      <c r="E929" s="284"/>
      <c r="K929" s="290"/>
      <c r="L929" s="290"/>
      <c r="M929" s="290"/>
      <c r="N929" s="290"/>
      <c r="O929" s="290"/>
      <c r="P929" s="290"/>
      <c r="Q929" s="290"/>
      <c r="R929" s="288"/>
      <c r="S929" s="289"/>
    </row>
    <row r="930" spans="5:19">
      <c r="E930" s="284"/>
      <c r="K930" s="290"/>
      <c r="L930" s="290"/>
      <c r="M930" s="290"/>
      <c r="N930" s="290"/>
      <c r="O930" s="290"/>
      <c r="P930" s="290"/>
      <c r="Q930" s="290"/>
      <c r="R930" s="288"/>
      <c r="S930" s="289"/>
    </row>
    <row r="931" spans="5:19">
      <c r="E931" s="284"/>
      <c r="K931" s="290"/>
      <c r="L931" s="290"/>
      <c r="M931" s="290"/>
      <c r="N931" s="290"/>
      <c r="O931" s="290"/>
      <c r="P931" s="290"/>
      <c r="Q931" s="290"/>
      <c r="R931" s="288"/>
      <c r="S931" s="289"/>
    </row>
    <row r="932" spans="5:19">
      <c r="E932" s="284"/>
      <c r="K932" s="290"/>
      <c r="L932" s="290"/>
      <c r="M932" s="290"/>
      <c r="N932" s="290"/>
      <c r="O932" s="290"/>
      <c r="P932" s="290"/>
      <c r="Q932" s="290"/>
      <c r="R932" s="288"/>
      <c r="S932" s="289"/>
    </row>
    <row r="933" spans="5:19">
      <c r="E933" s="284"/>
      <c r="K933" s="290"/>
      <c r="L933" s="290"/>
      <c r="M933" s="290"/>
      <c r="N933" s="290"/>
      <c r="O933" s="290"/>
      <c r="P933" s="290"/>
      <c r="Q933" s="290"/>
      <c r="R933" s="288"/>
      <c r="S933" s="289"/>
    </row>
    <row r="934" spans="5:19">
      <c r="E934" s="284"/>
      <c r="K934" s="290"/>
      <c r="L934" s="290"/>
      <c r="M934" s="290"/>
      <c r="N934" s="290"/>
      <c r="O934" s="290"/>
      <c r="P934" s="290"/>
      <c r="Q934" s="290"/>
      <c r="R934" s="288"/>
      <c r="S934" s="289"/>
    </row>
    <row r="935" spans="5:19">
      <c r="E935" s="284"/>
      <c r="K935" s="290"/>
      <c r="L935" s="290"/>
      <c r="M935" s="290"/>
      <c r="N935" s="290"/>
      <c r="O935" s="290"/>
      <c r="P935" s="290"/>
      <c r="Q935" s="290"/>
      <c r="R935" s="288"/>
      <c r="S935" s="289"/>
    </row>
    <row r="936" spans="5:19">
      <c r="E936" s="284"/>
      <c r="K936" s="290"/>
      <c r="L936" s="290"/>
      <c r="M936" s="290"/>
      <c r="N936" s="290"/>
      <c r="O936" s="290"/>
      <c r="P936" s="290"/>
      <c r="Q936" s="290"/>
      <c r="R936" s="288"/>
      <c r="S936" s="289"/>
    </row>
    <row r="937" spans="5:19">
      <c r="E937" s="284"/>
      <c r="K937" s="290"/>
      <c r="L937" s="290"/>
      <c r="M937" s="290"/>
      <c r="N937" s="290"/>
      <c r="O937" s="290"/>
      <c r="P937" s="290"/>
      <c r="Q937" s="290"/>
      <c r="R937" s="288"/>
      <c r="S937" s="289"/>
    </row>
    <row r="938" spans="5:19">
      <c r="E938" s="284"/>
      <c r="K938" s="290"/>
      <c r="L938" s="290"/>
      <c r="M938" s="290"/>
      <c r="N938" s="290"/>
      <c r="O938" s="290"/>
      <c r="P938" s="290"/>
      <c r="Q938" s="290"/>
      <c r="R938" s="288"/>
      <c r="S938" s="289"/>
    </row>
    <row r="939" spans="5:19">
      <c r="E939" s="284"/>
      <c r="K939" s="290"/>
      <c r="L939" s="290"/>
      <c r="M939" s="290"/>
      <c r="N939" s="290"/>
      <c r="O939" s="290"/>
      <c r="P939" s="290"/>
      <c r="Q939" s="290"/>
      <c r="R939" s="288"/>
      <c r="S939" s="289"/>
    </row>
    <row r="940" spans="5:19">
      <c r="E940" s="284"/>
      <c r="K940" s="290"/>
      <c r="L940" s="290"/>
      <c r="M940" s="290"/>
      <c r="N940" s="290"/>
      <c r="O940" s="290"/>
      <c r="P940" s="290"/>
      <c r="Q940" s="290"/>
      <c r="R940" s="288"/>
      <c r="S940" s="289"/>
    </row>
    <row r="941" spans="5:19">
      <c r="E941" s="284"/>
      <c r="K941" s="290"/>
      <c r="L941" s="290"/>
      <c r="M941" s="290"/>
      <c r="N941" s="290"/>
      <c r="O941" s="290"/>
      <c r="P941" s="290"/>
      <c r="Q941" s="290"/>
      <c r="R941" s="288"/>
      <c r="S941" s="289"/>
    </row>
    <row r="942" spans="5:19">
      <c r="E942" s="284"/>
      <c r="K942" s="290"/>
      <c r="L942" s="290"/>
      <c r="M942" s="290"/>
      <c r="N942" s="290"/>
      <c r="O942" s="290"/>
      <c r="P942" s="290"/>
      <c r="Q942" s="290"/>
      <c r="R942" s="288"/>
      <c r="S942" s="289"/>
    </row>
    <row r="943" spans="5:19">
      <c r="E943" s="284"/>
      <c r="K943" s="290"/>
      <c r="L943" s="290"/>
      <c r="M943" s="290"/>
      <c r="N943" s="290"/>
      <c r="O943" s="290"/>
      <c r="P943" s="290"/>
      <c r="Q943" s="290"/>
      <c r="R943" s="288"/>
      <c r="S943" s="289"/>
    </row>
    <row r="944" spans="5:19">
      <c r="E944" s="284"/>
      <c r="K944" s="290"/>
      <c r="L944" s="290"/>
      <c r="M944" s="290"/>
      <c r="N944" s="290"/>
      <c r="O944" s="290"/>
      <c r="P944" s="290"/>
      <c r="Q944" s="290"/>
      <c r="R944" s="288"/>
      <c r="S944" s="289"/>
    </row>
    <row r="945" spans="5:19">
      <c r="E945" s="284"/>
      <c r="K945" s="290"/>
      <c r="L945" s="290"/>
      <c r="M945" s="290"/>
      <c r="N945" s="290"/>
      <c r="O945" s="290"/>
      <c r="P945" s="290"/>
      <c r="Q945" s="290"/>
      <c r="R945" s="288"/>
      <c r="S945" s="289"/>
    </row>
    <row r="946" spans="5:19">
      <c r="E946" s="284"/>
      <c r="K946" s="290"/>
      <c r="L946" s="290"/>
      <c r="M946" s="290"/>
      <c r="N946" s="290"/>
      <c r="O946" s="290"/>
      <c r="P946" s="290"/>
      <c r="Q946" s="290"/>
      <c r="R946" s="288"/>
      <c r="S946" s="289"/>
    </row>
    <row r="947" spans="5:19">
      <c r="E947" s="284"/>
      <c r="K947" s="290"/>
      <c r="L947" s="290"/>
      <c r="M947" s="290"/>
      <c r="N947" s="290"/>
      <c r="O947" s="290"/>
      <c r="P947" s="290"/>
      <c r="Q947" s="290"/>
      <c r="R947" s="288"/>
      <c r="S947" s="289"/>
    </row>
    <row r="948" spans="5:19">
      <c r="E948" s="284"/>
      <c r="K948" s="290"/>
      <c r="L948" s="290"/>
      <c r="M948" s="290"/>
      <c r="N948" s="290"/>
      <c r="O948" s="290"/>
      <c r="P948" s="290"/>
      <c r="Q948" s="290"/>
      <c r="R948" s="288"/>
      <c r="S948" s="289"/>
    </row>
    <row r="949" spans="5:19">
      <c r="E949" s="284"/>
      <c r="K949" s="290"/>
      <c r="L949" s="290"/>
      <c r="M949" s="290"/>
      <c r="N949" s="290"/>
      <c r="O949" s="290"/>
      <c r="P949" s="290"/>
      <c r="Q949" s="290"/>
      <c r="R949" s="288"/>
      <c r="S949" s="289"/>
    </row>
    <row r="950" spans="5:19">
      <c r="E950" s="284"/>
      <c r="K950" s="290"/>
      <c r="L950" s="290"/>
      <c r="M950" s="290"/>
      <c r="N950" s="290"/>
      <c r="O950" s="290"/>
      <c r="P950" s="290"/>
      <c r="Q950" s="290"/>
      <c r="R950" s="288"/>
      <c r="S950" s="289"/>
    </row>
  </sheetData>
  <mergeCells count="121">
    <mergeCell ref="Q38:Q39"/>
    <mergeCell ref="J40:J41"/>
    <mergeCell ref="M40:M41"/>
    <mergeCell ref="N40:N41"/>
    <mergeCell ref="A36:A37"/>
    <mergeCell ref="B36:B37"/>
    <mergeCell ref="C36:C37"/>
    <mergeCell ref="D36:D37"/>
    <mergeCell ref="E36:E37"/>
    <mergeCell ref="F36:F37"/>
    <mergeCell ref="G36:G37"/>
    <mergeCell ref="F31:F32"/>
    <mergeCell ref="G31:G32"/>
    <mergeCell ref="J31:J32"/>
    <mergeCell ref="K34:K35"/>
    <mergeCell ref="L34:L35"/>
    <mergeCell ref="J36:J37"/>
    <mergeCell ref="J38:J39"/>
    <mergeCell ref="M38:M39"/>
    <mergeCell ref="N38:N39"/>
    <mergeCell ref="K27:K28"/>
    <mergeCell ref="L27:L28"/>
    <mergeCell ref="M27:M28"/>
    <mergeCell ref="N27:N28"/>
    <mergeCell ref="O27:O28"/>
    <mergeCell ref="P27:P28"/>
    <mergeCell ref="Q27:Q28"/>
    <mergeCell ref="E24:E25"/>
    <mergeCell ref="F24:F25"/>
    <mergeCell ref="G24:G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2:A23"/>
    <mergeCell ref="B22:B23"/>
    <mergeCell ref="C22:C23"/>
    <mergeCell ref="D22:D23"/>
    <mergeCell ref="E22:E23"/>
    <mergeCell ref="B24:B25"/>
    <mergeCell ref="F40:F41"/>
    <mergeCell ref="G40:G41"/>
    <mergeCell ref="A38:A39"/>
    <mergeCell ref="B38:B39"/>
    <mergeCell ref="C38:C39"/>
    <mergeCell ref="D38:D39"/>
    <mergeCell ref="E38:E39"/>
    <mergeCell ref="F38:F39"/>
    <mergeCell ref="G38:G39"/>
    <mergeCell ref="A34:A35"/>
    <mergeCell ref="B34:B35"/>
    <mergeCell ref="C34:C35"/>
    <mergeCell ref="D34:D35"/>
    <mergeCell ref="E34:E35"/>
    <mergeCell ref="A40:A41"/>
    <mergeCell ref="B40:B41"/>
    <mergeCell ref="C40:C41"/>
    <mergeCell ref="D40:D41"/>
    <mergeCell ref="E40:E41"/>
    <mergeCell ref="A24:A25"/>
    <mergeCell ref="A27:A28"/>
    <mergeCell ref="B27:B28"/>
    <mergeCell ref="C27:C28"/>
    <mergeCell ref="D27:D28"/>
    <mergeCell ref="E27:E28"/>
    <mergeCell ref="A31:A32"/>
    <mergeCell ref="B31:B32"/>
    <mergeCell ref="C31:C32"/>
    <mergeCell ref="C24:C25"/>
    <mergeCell ref="D24:D25"/>
    <mergeCell ref="A26:B26"/>
    <mergeCell ref="D31:D32"/>
    <mergeCell ref="E31:E32"/>
    <mergeCell ref="G18:G19"/>
    <mergeCell ref="J18:J19"/>
    <mergeCell ref="A14:A16"/>
    <mergeCell ref="A18:A19"/>
    <mergeCell ref="B18:B19"/>
    <mergeCell ref="C18:C19"/>
    <mergeCell ref="D18:D19"/>
    <mergeCell ref="E18:E19"/>
    <mergeCell ref="F18:F19"/>
    <mergeCell ref="B14:B16"/>
    <mergeCell ref="C14:C16"/>
    <mergeCell ref="A5:B5"/>
    <mergeCell ref="D10:D11"/>
    <mergeCell ref="E10:E11"/>
    <mergeCell ref="D12:D13"/>
    <mergeCell ref="E12:E13"/>
    <mergeCell ref="D14:D16"/>
    <mergeCell ref="E14:E16"/>
    <mergeCell ref="A3:A4"/>
    <mergeCell ref="A6:A8"/>
    <mergeCell ref="B6:B8"/>
    <mergeCell ref="C6:C8"/>
    <mergeCell ref="D6:D8"/>
    <mergeCell ref="E6:E8"/>
    <mergeCell ref="A10:A11"/>
    <mergeCell ref="B10:B11"/>
    <mergeCell ref="C10:C11"/>
    <mergeCell ref="A12:A13"/>
    <mergeCell ref="B12:B13"/>
    <mergeCell ref="C12:C13"/>
    <mergeCell ref="K3:L3"/>
    <mergeCell ref="M3:N3"/>
    <mergeCell ref="O3:Q3"/>
    <mergeCell ref="R3:R4"/>
    <mergeCell ref="S3:S4"/>
    <mergeCell ref="T3:T4"/>
    <mergeCell ref="A1:K1"/>
    <mergeCell ref="B3:B4"/>
    <mergeCell ref="C3:C4"/>
    <mergeCell ref="D3:E3"/>
    <mergeCell ref="F3:G3"/>
    <mergeCell ref="H3:J3"/>
  </mergeCells>
  <dataValidations count="2">
    <dataValidation type="custom" allowBlank="1" showDropDown="1" showInputMessage="1" showErrorMessage="1" prompt="Enter a valid date" sqref="I5 I10:I37 I40:I76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:E6 I6:I9 E9:E10 E12 E14 E17:E18 G6:G18 E20:E22 E24 G20:G24 E26:E27 E29:E31 G26:G31 E33:E34 E36 G33:G36 E40 G40 E42:E76 G42:G76">
      <formula1>OR(NOT(ISERROR(DATEVALUE(E5))), AND(ISNUMBER(E5), LEFT(CELL("format", E5))="D"))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S932"/>
  <sheetViews>
    <sheetView workbookViewId="0">
      <pane ySplit="4" topLeftCell="A5" activePane="bottomLeft" state="frozen"/>
      <selection pane="bottomLeft" activeCell="B5" sqref="B5:B7"/>
    </sheetView>
  </sheetViews>
  <sheetFormatPr defaultColWidth="14.42578125" defaultRowHeight="12.75" customHeight="1" outlineLevelCol="1"/>
  <cols>
    <col min="1" max="1" width="19.28515625" customWidth="1"/>
    <col min="2" max="2" width="21.28515625" customWidth="1"/>
    <col min="3" max="3" width="16.42578125" customWidth="1"/>
    <col min="4" max="4" width="13.28515625" customWidth="1"/>
    <col min="5" max="5" width="11.5703125" customWidth="1"/>
    <col min="6" max="6" width="13.28515625" customWidth="1"/>
    <col min="7" max="7" width="11.5703125" customWidth="1"/>
    <col min="8" max="8" width="13.28515625" customWidth="1" outlineLevel="1"/>
    <col min="9" max="9" width="11.5703125" customWidth="1" outlineLevel="1"/>
    <col min="10" max="10" width="11.85546875" customWidth="1" outlineLevel="1"/>
    <col min="11" max="14" width="12.5703125" customWidth="1"/>
    <col min="15" max="15" width="12.28515625" customWidth="1"/>
    <col min="16" max="16" width="11.85546875" customWidth="1"/>
    <col min="17" max="17" width="13.85546875" customWidth="1"/>
    <col min="18" max="19" width="12.140625" customWidth="1"/>
  </cols>
  <sheetData>
    <row r="1" spans="1:19" ht="22.5">
      <c r="A1" s="375" t="s">
        <v>139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216"/>
      <c r="M1" s="216"/>
      <c r="N1" s="216"/>
      <c r="O1" s="216"/>
      <c r="P1" s="216"/>
      <c r="Q1" s="216"/>
      <c r="R1" s="216"/>
      <c r="S1" s="216"/>
    </row>
    <row r="2" spans="1:19" ht="22.5">
      <c r="A2" s="1"/>
      <c r="B2" s="1"/>
      <c r="C2" s="1"/>
      <c r="D2" s="5"/>
      <c r="E2" s="10"/>
      <c r="F2" s="5"/>
      <c r="G2" s="10"/>
      <c r="H2" s="5"/>
      <c r="I2" s="12"/>
      <c r="J2" s="5"/>
      <c r="K2" s="217"/>
      <c r="L2" s="218"/>
      <c r="M2" s="219"/>
      <c r="N2" s="220"/>
      <c r="O2" s="220"/>
      <c r="P2" s="220"/>
      <c r="Q2" s="217"/>
      <c r="R2" s="221"/>
      <c r="S2" s="291"/>
    </row>
    <row r="3" spans="1:19" ht="32.25" customHeight="1">
      <c r="A3" s="361" t="s">
        <v>1</v>
      </c>
      <c r="B3" s="361" t="s">
        <v>2</v>
      </c>
      <c r="C3" s="361" t="s">
        <v>4</v>
      </c>
      <c r="D3" s="373" t="s">
        <v>5</v>
      </c>
      <c r="E3" s="330"/>
      <c r="F3" s="363" t="s">
        <v>7</v>
      </c>
      <c r="G3" s="330"/>
      <c r="H3" s="363" t="s">
        <v>8</v>
      </c>
      <c r="I3" s="330"/>
      <c r="J3" s="330"/>
      <c r="K3" s="384" t="s">
        <v>140</v>
      </c>
      <c r="L3" s="330"/>
      <c r="M3" s="384" t="s">
        <v>141</v>
      </c>
      <c r="N3" s="330"/>
      <c r="O3" s="384" t="s">
        <v>142</v>
      </c>
      <c r="P3" s="330"/>
      <c r="Q3" s="330"/>
      <c r="R3" s="385" t="s">
        <v>143</v>
      </c>
      <c r="S3" s="386" t="s">
        <v>115</v>
      </c>
    </row>
    <row r="4" spans="1:19" ht="30.75" customHeight="1">
      <c r="A4" s="330"/>
      <c r="B4" s="330"/>
      <c r="C4" s="330"/>
      <c r="D4" s="19" t="s">
        <v>21</v>
      </c>
      <c r="E4" s="23" t="s">
        <v>22</v>
      </c>
      <c r="F4" s="18" t="s">
        <v>21</v>
      </c>
      <c r="G4" s="24" t="s">
        <v>23</v>
      </c>
      <c r="H4" s="18" t="s">
        <v>24</v>
      </c>
      <c r="I4" s="25" t="s">
        <v>25</v>
      </c>
      <c r="J4" s="18" t="s">
        <v>26</v>
      </c>
      <c r="K4" s="222" t="s">
        <v>144</v>
      </c>
      <c r="L4" s="222" t="s">
        <v>118</v>
      </c>
      <c r="M4" s="223" t="s">
        <v>21</v>
      </c>
      <c r="N4" s="222" t="s">
        <v>119</v>
      </c>
      <c r="O4" s="223" t="s">
        <v>8</v>
      </c>
      <c r="P4" s="222" t="s">
        <v>119</v>
      </c>
      <c r="Q4" s="222" t="s">
        <v>120</v>
      </c>
      <c r="R4" s="330"/>
      <c r="S4" s="330"/>
    </row>
    <row r="5" spans="1:19" ht="24.75" customHeight="1">
      <c r="A5" s="391" t="str">
        <f>HYPERLINK("https://docs.google.com/spreadsheets/d/15wb_t3QfGjOFKQFBhp0BxNL5lJbMdgZAzZ-n4E7-0Mo/edit?gid=1095223089#gid=1095223089","02/BIM-CICHĐ2025")</f>
        <v>02/BIM-CICHĐ2025</v>
      </c>
      <c r="B5" s="354" t="s">
        <v>145</v>
      </c>
      <c r="C5" s="354" t="s">
        <v>47</v>
      </c>
      <c r="D5" s="392">
        <v>381800000</v>
      </c>
      <c r="E5" s="357">
        <v>45727</v>
      </c>
      <c r="F5" s="407">
        <v>312381819</v>
      </c>
      <c r="G5" s="388">
        <v>45936</v>
      </c>
      <c r="H5" s="190">
        <v>114540000</v>
      </c>
      <c r="I5" s="191">
        <v>45735</v>
      </c>
      <c r="J5" s="405">
        <f>F5*1.08-H5-H6-H7</f>
        <v>0.52000004053115845</v>
      </c>
      <c r="K5" s="292" t="e">
        <f>[4]HĐ02!C8</f>
        <v>#REF!</v>
      </c>
      <c r="L5" s="293">
        <v>166000000</v>
      </c>
      <c r="M5" s="293">
        <f>L5*90%</f>
        <v>149400000</v>
      </c>
      <c r="N5" s="294">
        <v>45936</v>
      </c>
      <c r="O5" s="292">
        <f>M5*1.08</f>
        <v>161352000</v>
      </c>
      <c r="P5" s="295">
        <v>45972</v>
      </c>
      <c r="Q5" s="296">
        <f>M5*1.08-O5</f>
        <v>0</v>
      </c>
      <c r="R5" s="297" t="e">
        <f>(M5-K5*90%)*75%</f>
        <v>#REF!</v>
      </c>
      <c r="S5" s="298" t="e">
        <f>[4]HĐ02!C15*90%</f>
        <v>#REF!</v>
      </c>
    </row>
    <row r="6" spans="1:19" ht="24.75" customHeight="1">
      <c r="A6" s="330"/>
      <c r="B6" s="330"/>
      <c r="C6" s="330"/>
      <c r="D6" s="330"/>
      <c r="E6" s="330"/>
      <c r="F6" s="330"/>
      <c r="G6" s="330"/>
      <c r="H6" s="190">
        <v>219708546</v>
      </c>
      <c r="I6" s="191">
        <v>45943</v>
      </c>
      <c r="J6" s="330"/>
      <c r="K6" s="292"/>
      <c r="L6" s="293"/>
      <c r="M6" s="293"/>
      <c r="N6" s="294"/>
      <c r="O6" s="292"/>
      <c r="P6" s="292"/>
      <c r="Q6" s="296"/>
      <c r="R6" s="297"/>
      <c r="S6" s="299"/>
    </row>
    <row r="7" spans="1:19" ht="24.75" customHeight="1">
      <c r="A7" s="330"/>
      <c r="B7" s="330"/>
      <c r="C7" s="330"/>
      <c r="D7" s="330"/>
      <c r="E7" s="330"/>
      <c r="F7" s="330"/>
      <c r="G7" s="330"/>
      <c r="H7" s="190">
        <v>3123818</v>
      </c>
      <c r="I7" s="191">
        <v>45943</v>
      </c>
      <c r="J7" s="330"/>
      <c r="K7" s="292"/>
      <c r="L7" s="293"/>
      <c r="M7" s="293"/>
      <c r="N7" s="294"/>
      <c r="O7" s="292"/>
      <c r="P7" s="292"/>
      <c r="Q7" s="296"/>
      <c r="R7" s="297"/>
      <c r="S7" s="299"/>
    </row>
    <row r="8" spans="1:19" ht="58.5" customHeight="1">
      <c r="A8" s="181" t="str">
        <f>HYPERLINK("https://docs.google.com/spreadsheets/d/15wb_t3QfGjOFKQFBhp0BxNL5lJbMdgZAzZ-n4E7-0Mo/edit?gid=223435461#gid=223435461","09/BIM-CICHĐ2025")</f>
        <v>09/BIM-CICHĐ2025</v>
      </c>
      <c r="B8" s="182" t="s">
        <v>146</v>
      </c>
      <c r="C8" s="45" t="s">
        <v>47</v>
      </c>
      <c r="D8" s="272">
        <v>152545844</v>
      </c>
      <c r="E8" s="185">
        <v>45700</v>
      </c>
      <c r="F8" s="205">
        <v>141246152</v>
      </c>
      <c r="G8" s="189">
        <v>45904</v>
      </c>
      <c r="H8" s="190">
        <v>152545844</v>
      </c>
      <c r="I8" s="191">
        <v>45905</v>
      </c>
      <c r="J8" s="213">
        <f>F8*1.08-H8</f>
        <v>0.15999999642372131</v>
      </c>
      <c r="K8" s="292" t="e">
        <f>[5]HĐ09!F5</f>
        <v>#REF!</v>
      </c>
      <c r="L8" s="292"/>
      <c r="M8" s="293"/>
      <c r="N8" s="294"/>
      <c r="O8" s="292"/>
      <c r="P8" s="292"/>
      <c r="Q8" s="296">
        <f>M8-O8</f>
        <v>0</v>
      </c>
      <c r="R8" s="300"/>
      <c r="S8" s="299"/>
    </row>
    <row r="9" spans="1:19" ht="32.25" customHeight="1">
      <c r="A9" s="391" t="str">
        <f>HYPERLINK("https://docs.google.com/spreadsheets/d/15wb_t3QfGjOFKQFBhp0BxNL5lJbMdgZAzZ-n4E7-0Mo/edit?gid=890671097#gid=890671097","16/BIM-CICHĐ2025")</f>
        <v>16/BIM-CICHĐ2025</v>
      </c>
      <c r="B9" s="393" t="s">
        <v>74</v>
      </c>
      <c r="C9" s="393" t="s">
        <v>75</v>
      </c>
      <c r="D9" s="392" t="e">
        <f>[6]HĐ16!C11</f>
        <v>#REF!</v>
      </c>
      <c r="E9" s="357">
        <v>45866</v>
      </c>
      <c r="F9" s="205">
        <v>428800000</v>
      </c>
      <c r="G9" s="189">
        <v>45916</v>
      </c>
      <c r="H9" s="389">
        <v>634088000</v>
      </c>
      <c r="I9" s="408">
        <v>45936</v>
      </c>
      <c r="J9" s="389">
        <f>F9*1.08+F10*1.1-H9</f>
        <v>0</v>
      </c>
      <c r="K9" s="292">
        <f>300000000*26.8%</f>
        <v>80400000</v>
      </c>
      <c r="L9" s="293">
        <v>346000000</v>
      </c>
      <c r="M9" s="293">
        <v>20270707</v>
      </c>
      <c r="N9" s="301">
        <v>45916</v>
      </c>
      <c r="O9" s="409">
        <v>82690504</v>
      </c>
      <c r="P9" s="410">
        <v>45944</v>
      </c>
      <c r="Q9" s="409">
        <f>M9*1.1+M10*1.08-O9</f>
        <v>1.0600000023841858</v>
      </c>
      <c r="R9" s="411">
        <f>(M9+M10-17704242)*75%</f>
        <v>43864242.75</v>
      </c>
      <c r="S9" s="299"/>
    </row>
    <row r="10" spans="1:19" ht="30" customHeight="1">
      <c r="A10" s="330"/>
      <c r="B10" s="330"/>
      <c r="C10" s="330"/>
      <c r="D10" s="330"/>
      <c r="E10" s="330"/>
      <c r="F10" s="302">
        <v>155440000</v>
      </c>
      <c r="G10" s="189">
        <v>45916</v>
      </c>
      <c r="H10" s="330"/>
      <c r="I10" s="330"/>
      <c r="J10" s="330"/>
      <c r="K10" s="292"/>
      <c r="L10" s="292"/>
      <c r="M10" s="293">
        <v>55919192</v>
      </c>
      <c r="N10" s="301">
        <v>45916</v>
      </c>
      <c r="O10" s="330"/>
      <c r="P10" s="330"/>
      <c r="Q10" s="330"/>
      <c r="R10" s="330"/>
      <c r="S10" s="299"/>
    </row>
    <row r="11" spans="1:19" ht="16.5" customHeight="1">
      <c r="A11" s="391" t="str">
        <f>HYPERLINK("https://docs.google.com/spreadsheets/d/15wb_t3QfGjOFKQFBhp0BxNL5lJbMdgZAzZ-n4E7-0Mo/edit?gid=2009862464#gid=2009862464","26/BIM-CICHĐ2025")</f>
        <v>26/BIM-CICHĐ2025</v>
      </c>
      <c r="B11" s="393" t="s">
        <v>77</v>
      </c>
      <c r="C11" s="393" t="s">
        <v>75</v>
      </c>
      <c r="D11" s="392">
        <v>7246800000</v>
      </c>
      <c r="E11" s="357">
        <v>45866</v>
      </c>
      <c r="F11" s="205"/>
      <c r="G11" s="189"/>
      <c r="H11" s="190">
        <f>1464000000*30%*1.08</f>
        <v>474336000.00000006</v>
      </c>
      <c r="I11" s="191">
        <v>45897</v>
      </c>
      <c r="J11" s="213">
        <f t="shared" ref="J11:J12" si="0">F11*1.08-H11</f>
        <v>-474336000.00000006</v>
      </c>
      <c r="K11" s="296">
        <f>300000000*73.2%</f>
        <v>219600000</v>
      </c>
      <c r="L11" s="293">
        <v>945000000</v>
      </c>
      <c r="M11" s="293"/>
      <c r="N11" s="301"/>
      <c r="O11" s="293">
        <f>L15*30%*1.08</f>
        <v>61854545.160000004</v>
      </c>
      <c r="P11" s="301">
        <v>45944</v>
      </c>
      <c r="Q11" s="296"/>
      <c r="R11" s="297">
        <f>(208090909-48356364)*75%</f>
        <v>119800908.75</v>
      </c>
      <c r="S11" s="298">
        <f>ROUND((1731912000/1.08*8%),-5)</f>
        <v>128300000</v>
      </c>
    </row>
    <row r="12" spans="1:19" ht="16.5" customHeight="1">
      <c r="A12" s="330"/>
      <c r="B12" s="330"/>
      <c r="C12" s="330"/>
      <c r="D12" s="330"/>
      <c r="E12" s="330"/>
      <c r="F12" s="205"/>
      <c r="G12" s="189"/>
      <c r="H12" s="190">
        <f>878400000*20%*1.08</f>
        <v>189734400</v>
      </c>
      <c r="I12" s="191">
        <v>45897</v>
      </c>
      <c r="J12" s="213">
        <f t="shared" si="0"/>
        <v>-189734400</v>
      </c>
      <c r="K12" s="293">
        <v>84290909</v>
      </c>
      <c r="L12" s="293">
        <v>362727273</v>
      </c>
      <c r="M12" s="293"/>
      <c r="N12" s="294"/>
      <c r="O12" s="292">
        <f>L13*20%*1.08</f>
        <v>24741818.280000001</v>
      </c>
      <c r="P12" s="301">
        <v>45944</v>
      </c>
      <c r="Q12" s="296"/>
      <c r="R12" s="300"/>
      <c r="S12" s="299"/>
    </row>
    <row r="13" spans="1:19" ht="16.5" customHeight="1">
      <c r="A13" s="330"/>
      <c r="B13" s="330"/>
      <c r="C13" s="330"/>
      <c r="D13" s="330"/>
      <c r="E13" s="330"/>
      <c r="F13" s="205">
        <v>530700000</v>
      </c>
      <c r="G13" s="189">
        <v>45944</v>
      </c>
      <c r="H13" s="190">
        <v>583770000</v>
      </c>
      <c r="I13" s="191">
        <v>45954</v>
      </c>
      <c r="J13" s="213">
        <f>F13*1.1-H13</f>
        <v>0</v>
      </c>
      <c r="K13" s="293">
        <v>26618182</v>
      </c>
      <c r="L13" s="293">
        <v>114545455</v>
      </c>
      <c r="M13" s="293">
        <f>L14*25%</f>
        <v>69204545.5</v>
      </c>
      <c r="N13" s="294">
        <v>45944</v>
      </c>
      <c r="O13" s="293">
        <v>76125000</v>
      </c>
      <c r="P13" s="301">
        <v>46016</v>
      </c>
      <c r="Q13" s="296">
        <f>O13-M13*1.1</f>
        <v>-5.0000011920928955E-2</v>
      </c>
      <c r="R13" s="300">
        <f>184100000</f>
        <v>184100000</v>
      </c>
      <c r="S13" s="298">
        <f>ROUND((F13*8%),-5)</f>
        <v>42500000</v>
      </c>
    </row>
    <row r="14" spans="1:19" ht="16.5" customHeight="1">
      <c r="A14" s="330"/>
      <c r="B14" s="330"/>
      <c r="C14" s="330"/>
      <c r="D14" s="330"/>
      <c r="E14" s="330"/>
      <c r="F14" s="394">
        <v>1947120000</v>
      </c>
      <c r="G14" s="388">
        <v>45974</v>
      </c>
      <c r="H14" s="190">
        <f>2781600000*20%*1.08</f>
        <v>600825600</v>
      </c>
      <c r="I14" s="191">
        <v>45897</v>
      </c>
      <c r="J14" s="405">
        <f>F14*1.08-H14-H15</f>
        <v>0</v>
      </c>
      <c r="K14" s="293">
        <v>64327273</v>
      </c>
      <c r="L14" s="293">
        <v>276818182</v>
      </c>
      <c r="M14" s="409">
        <f>L12*70%</f>
        <v>253909091.09999999</v>
      </c>
      <c r="N14" s="410">
        <v>45967</v>
      </c>
      <c r="O14" s="292">
        <f>L12*20%*1.08</f>
        <v>78349090.96800001</v>
      </c>
      <c r="P14" s="301">
        <v>45944</v>
      </c>
      <c r="Q14" s="409">
        <f>M14*1.08-O14-O15</f>
        <v>0</v>
      </c>
      <c r="R14" s="300"/>
      <c r="S14" s="298">
        <f>ROUND(((H15/1.08+H17/1.1)*8%),-5)</f>
        <v>153700000</v>
      </c>
    </row>
    <row r="15" spans="1:19" ht="16.5" customHeight="1">
      <c r="A15" s="330"/>
      <c r="B15" s="330"/>
      <c r="C15" s="330"/>
      <c r="D15" s="330"/>
      <c r="E15" s="330"/>
      <c r="F15" s="330"/>
      <c r="G15" s="330"/>
      <c r="H15" s="190">
        <f>1502064000</f>
        <v>1502064000</v>
      </c>
      <c r="I15" s="191">
        <v>45986</v>
      </c>
      <c r="J15" s="330"/>
      <c r="K15" s="293">
        <v>44363636</v>
      </c>
      <c r="L15" s="293">
        <v>190909090</v>
      </c>
      <c r="M15" s="330"/>
      <c r="N15" s="330"/>
      <c r="O15" s="292">
        <f>L12*50%*1.08</f>
        <v>195872727.42000002</v>
      </c>
      <c r="P15" s="301">
        <v>46016</v>
      </c>
      <c r="Q15" s="330"/>
      <c r="R15" s="300"/>
      <c r="S15" s="299"/>
    </row>
    <row r="16" spans="1:19" ht="16.5" customHeight="1">
      <c r="A16" s="330"/>
      <c r="B16" s="330"/>
      <c r="C16" s="330"/>
      <c r="D16" s="330"/>
      <c r="E16" s="330"/>
      <c r="F16" s="394">
        <v>955260000</v>
      </c>
      <c r="G16" s="388">
        <v>45974</v>
      </c>
      <c r="H16" s="190">
        <f>2122800000*20%*1.1</f>
        <v>467016000.00000006</v>
      </c>
      <c r="I16" s="191">
        <v>45897</v>
      </c>
      <c r="J16" s="405">
        <f>F16*1.1-H16-H17</f>
        <v>0</v>
      </c>
      <c r="K16" s="293"/>
      <c r="L16" s="293"/>
      <c r="M16" s="409">
        <f>L14*45%</f>
        <v>124568181.90000001</v>
      </c>
      <c r="N16" s="410">
        <v>45967</v>
      </c>
      <c r="O16" s="292">
        <f>L14*20%*1.1</f>
        <v>60900000.040000014</v>
      </c>
      <c r="P16" s="301">
        <v>45944</v>
      </c>
      <c r="Q16" s="409">
        <f>M16*1.1-O16-O17</f>
        <v>0</v>
      </c>
      <c r="R16" s="300"/>
      <c r="S16" s="299"/>
    </row>
    <row r="17" spans="1:19" ht="16.5" customHeight="1">
      <c r="A17" s="330"/>
      <c r="B17" s="330"/>
      <c r="C17" s="330"/>
      <c r="D17" s="330"/>
      <c r="E17" s="330"/>
      <c r="F17" s="330"/>
      <c r="G17" s="330"/>
      <c r="H17" s="190">
        <v>583770000</v>
      </c>
      <c r="I17" s="191">
        <v>45986</v>
      </c>
      <c r="J17" s="330"/>
      <c r="K17" s="292"/>
      <c r="L17" s="293"/>
      <c r="M17" s="330"/>
      <c r="N17" s="330"/>
      <c r="O17" s="292">
        <f>L14*25%*1.1</f>
        <v>76125000.050000012</v>
      </c>
      <c r="P17" s="301">
        <v>46016</v>
      </c>
      <c r="Q17" s="330"/>
      <c r="R17" s="300"/>
      <c r="S17" s="299"/>
    </row>
    <row r="18" spans="1:19" ht="63.75">
      <c r="A18" s="181" t="str">
        <f>HYPERLINK("https://docs.google.com/spreadsheets/d/15wb_t3QfGjOFKQFBhp0BxNL5lJbMdgZAzZ-n4E7-0Mo/edit?gid=325900765#gid=325900765","33/BIM-CICHĐ2025")</f>
        <v>33/BIM-CICHĐ2025</v>
      </c>
      <c r="B18" s="182" t="s">
        <v>80</v>
      </c>
      <c r="C18" s="182" t="s">
        <v>79</v>
      </c>
      <c r="D18" s="272">
        <v>126584000</v>
      </c>
      <c r="E18" s="185">
        <v>45854</v>
      </c>
      <c r="F18" s="212"/>
      <c r="G18" s="206"/>
      <c r="H18" s="213">
        <v>37975200</v>
      </c>
      <c r="I18" s="191">
        <v>45883</v>
      </c>
      <c r="J18" s="213">
        <f t="shared" ref="J18:J21" si="1">F18*1.08-H18</f>
        <v>-37975200</v>
      </c>
      <c r="K18" s="292" t="e">
        <f>[7]HĐ33!F5</f>
        <v>#REF!</v>
      </c>
      <c r="L18" s="293">
        <v>68000000</v>
      </c>
      <c r="M18" s="293"/>
      <c r="N18" s="294"/>
      <c r="O18" s="292">
        <f>68000000*1.08*30%</f>
        <v>22032000</v>
      </c>
      <c r="P18" s="295">
        <v>45941</v>
      </c>
      <c r="Q18" s="296">
        <f>M18*1.08-O18</f>
        <v>-22032000</v>
      </c>
      <c r="R18" s="300" t="e">
        <f t="shared" ref="R18:R21" si="2">(L18-K18)*30%*75%</f>
        <v>#REF!</v>
      </c>
      <c r="S18" s="299"/>
    </row>
    <row r="19" spans="1:19" ht="63.75">
      <c r="A19" s="181" t="str">
        <f>HYPERLINK("https://docs.google.com/spreadsheets/d/15wb_t3QfGjOFKQFBhp0BxNL5lJbMdgZAzZ-n4E7-0Mo/edit?gid=47430839#gid=47430839","34/BIM-CICHĐ2025")</f>
        <v>34/BIM-CICHĐ2025</v>
      </c>
      <c r="B19" s="182" t="s">
        <v>81</v>
      </c>
      <c r="C19" s="182" t="s">
        <v>79</v>
      </c>
      <c r="D19" s="272">
        <v>816644000</v>
      </c>
      <c r="E19" s="185">
        <v>45854</v>
      </c>
      <c r="F19" s="212"/>
      <c r="G19" s="206"/>
      <c r="H19" s="213">
        <v>244993200</v>
      </c>
      <c r="I19" s="191">
        <v>45883</v>
      </c>
      <c r="J19" s="213">
        <f t="shared" si="1"/>
        <v>-244993200</v>
      </c>
      <c r="K19" s="292" t="e">
        <f>[8]HĐ34!F5</f>
        <v>#REF!</v>
      </c>
      <c r="L19" s="293">
        <v>380000000</v>
      </c>
      <c r="M19" s="293"/>
      <c r="N19" s="294"/>
      <c r="O19" s="292">
        <f t="shared" ref="O19:O21" si="3">L19*30%*1.08</f>
        <v>123120000.00000001</v>
      </c>
      <c r="P19" s="295">
        <v>45941</v>
      </c>
      <c r="Q19" s="296">
        <f t="shared" ref="Q19:Q21" si="4">M19-O19</f>
        <v>-123120000.00000001</v>
      </c>
      <c r="R19" s="300" t="e">
        <f t="shared" si="2"/>
        <v>#REF!</v>
      </c>
      <c r="S19" s="299"/>
    </row>
    <row r="20" spans="1:19" ht="63.75">
      <c r="A20" s="181" t="str">
        <f>HYPERLINK("https://docs.google.com/spreadsheets/d/15wb_t3QfGjOFKQFBhp0BxNL5lJbMdgZAzZ-n4E7-0Mo/edit?gid=1980884150#gid=1980884150","35/BIM-CICHĐ2025")</f>
        <v>35/BIM-CICHĐ2025</v>
      </c>
      <c r="B20" s="182" t="s">
        <v>82</v>
      </c>
      <c r="C20" s="182" t="s">
        <v>79</v>
      </c>
      <c r="D20" s="272">
        <v>138738000</v>
      </c>
      <c r="E20" s="185">
        <v>45854</v>
      </c>
      <c r="F20" s="212"/>
      <c r="G20" s="206"/>
      <c r="H20" s="213">
        <v>41621400</v>
      </c>
      <c r="I20" s="191">
        <v>45883</v>
      </c>
      <c r="J20" s="213">
        <f t="shared" si="1"/>
        <v>-41621400</v>
      </c>
      <c r="K20" s="293" t="e">
        <f>[9]HĐ35!C8</f>
        <v>#REF!</v>
      </c>
      <c r="L20" s="293">
        <v>75000000</v>
      </c>
      <c r="M20" s="293"/>
      <c r="N20" s="294"/>
      <c r="O20" s="292">
        <f t="shared" si="3"/>
        <v>24300000</v>
      </c>
      <c r="P20" s="295">
        <v>45941</v>
      </c>
      <c r="Q20" s="296">
        <f t="shared" si="4"/>
        <v>-24300000</v>
      </c>
      <c r="R20" s="300" t="e">
        <f t="shared" si="2"/>
        <v>#REF!</v>
      </c>
      <c r="S20" s="299"/>
    </row>
    <row r="21" spans="1:19" ht="63.75">
      <c r="A21" s="181" t="str">
        <f>HYPERLINK("https://docs.google.com/spreadsheets/d/15wb_t3QfGjOFKQFBhp0BxNL5lJbMdgZAzZ-n4E7-0Mo/edit?gid=606557710#gid=606557710","36/BIM-CICHĐ2025")</f>
        <v>36/BIM-CICHĐ2025</v>
      </c>
      <c r="B21" s="182" t="s">
        <v>83</v>
      </c>
      <c r="C21" s="182" t="s">
        <v>79</v>
      </c>
      <c r="D21" s="272">
        <v>864536000</v>
      </c>
      <c r="E21" s="185">
        <v>45854</v>
      </c>
      <c r="F21" s="212"/>
      <c r="G21" s="206"/>
      <c r="H21" s="213">
        <v>259360800</v>
      </c>
      <c r="I21" s="191">
        <v>45883</v>
      </c>
      <c r="J21" s="213">
        <f t="shared" si="1"/>
        <v>-259360800</v>
      </c>
      <c r="K21" s="292" t="e">
        <f>[10]HĐ36!F5</f>
        <v>#REF!</v>
      </c>
      <c r="L21" s="293">
        <v>400000000</v>
      </c>
      <c r="M21" s="293"/>
      <c r="N21" s="294"/>
      <c r="O21" s="292">
        <f t="shared" si="3"/>
        <v>129600000.00000001</v>
      </c>
      <c r="P21" s="295">
        <v>45941</v>
      </c>
      <c r="Q21" s="296">
        <f t="shared" si="4"/>
        <v>-129600000.00000001</v>
      </c>
      <c r="R21" s="300" t="e">
        <f t="shared" si="2"/>
        <v>#REF!</v>
      </c>
      <c r="S21" s="299"/>
    </row>
    <row r="22" spans="1:19">
      <c r="A22" s="210"/>
      <c r="B22" s="182"/>
      <c r="C22" s="182"/>
      <c r="D22" s="197"/>
      <c r="E22" s="185"/>
      <c r="F22" s="212"/>
      <c r="G22" s="206"/>
      <c r="H22" s="213"/>
      <c r="I22" s="51"/>
      <c r="J22" s="213"/>
      <c r="K22" s="292"/>
      <c r="L22" s="303"/>
      <c r="M22" s="304"/>
      <c r="N22" s="292"/>
      <c r="O22" s="292"/>
      <c r="P22" s="292"/>
      <c r="Q22" s="296"/>
      <c r="R22" s="300"/>
      <c r="S22" s="299"/>
    </row>
    <row r="23" spans="1:19">
      <c r="A23" s="210"/>
      <c r="B23" s="182"/>
      <c r="C23" s="182"/>
      <c r="D23" s="197"/>
      <c r="E23" s="185"/>
      <c r="F23" s="212"/>
      <c r="G23" s="206"/>
      <c r="H23" s="213"/>
      <c r="I23" s="51"/>
      <c r="J23" s="213"/>
      <c r="K23" s="292"/>
      <c r="L23" s="303"/>
      <c r="M23" s="304"/>
      <c r="N23" s="292"/>
      <c r="O23" s="292"/>
      <c r="P23" s="292"/>
      <c r="Q23" s="296"/>
      <c r="R23" s="300"/>
      <c r="S23" s="299"/>
    </row>
    <row r="24" spans="1:19">
      <c r="A24" s="210"/>
      <c r="B24" s="182"/>
      <c r="C24" s="182"/>
      <c r="D24" s="197"/>
      <c r="E24" s="185"/>
      <c r="F24" s="212"/>
      <c r="G24" s="206"/>
      <c r="H24" s="213"/>
      <c r="I24" s="51"/>
      <c r="J24" s="213"/>
      <c r="K24" s="292"/>
      <c r="L24" s="303"/>
      <c r="M24" s="304"/>
      <c r="N24" s="292"/>
      <c r="O24" s="292"/>
      <c r="P24" s="292"/>
      <c r="Q24" s="296"/>
      <c r="R24" s="300"/>
      <c r="S24" s="299"/>
    </row>
    <row r="25" spans="1:19">
      <c r="A25" s="210"/>
      <c r="B25" s="182"/>
      <c r="C25" s="182"/>
      <c r="D25" s="197"/>
      <c r="E25" s="185"/>
      <c r="F25" s="212"/>
      <c r="G25" s="206"/>
      <c r="H25" s="213"/>
      <c r="I25" s="51"/>
      <c r="J25" s="213"/>
      <c r="K25" s="292"/>
      <c r="L25" s="303"/>
      <c r="M25" s="304"/>
      <c r="N25" s="292"/>
      <c r="O25" s="292"/>
      <c r="P25" s="292"/>
      <c r="Q25" s="296"/>
      <c r="R25" s="300"/>
      <c r="S25" s="299"/>
    </row>
    <row r="26" spans="1:19">
      <c r="A26" s="210"/>
      <c r="B26" s="182"/>
      <c r="C26" s="182"/>
      <c r="D26" s="197"/>
      <c r="E26" s="185"/>
      <c r="F26" s="212"/>
      <c r="G26" s="206"/>
      <c r="H26" s="213"/>
      <c r="I26" s="51"/>
      <c r="J26" s="213"/>
      <c r="K26" s="292"/>
      <c r="L26" s="303"/>
      <c r="M26" s="304"/>
      <c r="N26" s="292"/>
      <c r="O26" s="292"/>
      <c r="P26" s="292"/>
      <c r="Q26" s="296"/>
      <c r="R26" s="300"/>
      <c r="S26" s="299"/>
    </row>
    <row r="27" spans="1:19">
      <c r="A27" s="210"/>
      <c r="B27" s="182"/>
      <c r="C27" s="182"/>
      <c r="D27" s="197"/>
      <c r="E27" s="185"/>
      <c r="F27" s="212"/>
      <c r="G27" s="206"/>
      <c r="H27" s="213"/>
      <c r="I27" s="51"/>
      <c r="J27" s="213"/>
      <c r="K27" s="292"/>
      <c r="L27" s="303"/>
      <c r="M27" s="304"/>
      <c r="N27" s="292"/>
      <c r="O27" s="292"/>
      <c r="P27" s="292"/>
      <c r="Q27" s="296"/>
      <c r="R27" s="300"/>
      <c r="S27" s="299"/>
    </row>
    <row r="28" spans="1:19">
      <c r="A28" s="210"/>
      <c r="B28" s="182"/>
      <c r="C28" s="182"/>
      <c r="D28" s="197"/>
      <c r="E28" s="185"/>
      <c r="F28" s="212"/>
      <c r="G28" s="206"/>
      <c r="H28" s="213"/>
      <c r="I28" s="51"/>
      <c r="J28" s="213"/>
      <c r="K28" s="292"/>
      <c r="L28" s="303"/>
      <c r="M28" s="304"/>
      <c r="N28" s="292"/>
      <c r="O28" s="292"/>
      <c r="P28" s="292"/>
      <c r="Q28" s="296"/>
      <c r="R28" s="300"/>
      <c r="S28" s="299"/>
    </row>
    <row r="29" spans="1:19">
      <c r="A29" s="210"/>
      <c r="B29" s="182"/>
      <c r="C29" s="182"/>
      <c r="D29" s="197"/>
      <c r="E29" s="185"/>
      <c r="F29" s="212"/>
      <c r="G29" s="206"/>
      <c r="H29" s="213"/>
      <c r="I29" s="51"/>
      <c r="J29" s="213"/>
      <c r="K29" s="292"/>
      <c r="L29" s="303"/>
      <c r="M29" s="304"/>
      <c r="N29" s="292"/>
      <c r="O29" s="292"/>
      <c r="P29" s="292"/>
      <c r="Q29" s="296"/>
      <c r="R29" s="300"/>
      <c r="S29" s="299"/>
    </row>
    <row r="30" spans="1:19">
      <c r="A30" s="210"/>
      <c r="B30" s="182"/>
      <c r="C30" s="182"/>
      <c r="D30" s="197"/>
      <c r="E30" s="185"/>
      <c r="F30" s="212"/>
      <c r="G30" s="206"/>
      <c r="H30" s="213"/>
      <c r="I30" s="51"/>
      <c r="J30" s="213"/>
      <c r="K30" s="292"/>
      <c r="L30" s="303"/>
      <c r="M30" s="304"/>
      <c r="N30" s="292"/>
      <c r="O30" s="292"/>
      <c r="P30" s="292"/>
      <c r="Q30" s="296"/>
      <c r="R30" s="300"/>
      <c r="S30" s="299"/>
    </row>
    <row r="31" spans="1:19">
      <c r="A31" s="210"/>
      <c r="B31" s="182"/>
      <c r="C31" s="182"/>
      <c r="D31" s="197"/>
      <c r="E31" s="185"/>
      <c r="F31" s="212"/>
      <c r="G31" s="206"/>
      <c r="H31" s="213"/>
      <c r="I31" s="51"/>
      <c r="J31" s="213"/>
      <c r="K31" s="292"/>
      <c r="L31" s="303"/>
      <c r="M31" s="304"/>
      <c r="N31" s="292"/>
      <c r="O31" s="292"/>
      <c r="P31" s="292"/>
      <c r="Q31" s="296"/>
      <c r="R31" s="300"/>
      <c r="S31" s="299"/>
    </row>
    <row r="32" spans="1:19">
      <c r="A32" s="210"/>
      <c r="B32" s="182"/>
      <c r="C32" s="182"/>
      <c r="D32" s="197"/>
      <c r="E32" s="185"/>
      <c r="F32" s="212"/>
      <c r="G32" s="206"/>
      <c r="H32" s="213"/>
      <c r="I32" s="51"/>
      <c r="J32" s="213"/>
      <c r="K32" s="292"/>
      <c r="L32" s="303"/>
      <c r="M32" s="304"/>
      <c r="N32" s="292"/>
      <c r="O32" s="292"/>
      <c r="P32" s="292"/>
      <c r="Q32" s="296"/>
      <c r="R32" s="300"/>
      <c r="S32" s="299"/>
    </row>
    <row r="33" spans="1:19">
      <c r="A33" s="210"/>
      <c r="B33" s="182"/>
      <c r="C33" s="182"/>
      <c r="D33" s="197"/>
      <c r="E33" s="185"/>
      <c r="F33" s="212"/>
      <c r="G33" s="206"/>
      <c r="H33" s="213"/>
      <c r="I33" s="51"/>
      <c r="J33" s="213"/>
      <c r="K33" s="292"/>
      <c r="L33" s="303"/>
      <c r="M33" s="304"/>
      <c r="N33" s="292"/>
      <c r="O33" s="292"/>
      <c r="P33" s="292"/>
      <c r="Q33" s="296"/>
      <c r="R33" s="300"/>
      <c r="S33" s="299"/>
    </row>
    <row r="34" spans="1:19">
      <c r="A34" s="210"/>
      <c r="B34" s="182"/>
      <c r="C34" s="182"/>
      <c r="D34" s="197"/>
      <c r="E34" s="185"/>
      <c r="F34" s="212"/>
      <c r="G34" s="206"/>
      <c r="H34" s="213"/>
      <c r="I34" s="51"/>
      <c r="J34" s="213"/>
      <c r="K34" s="292"/>
      <c r="L34" s="303"/>
      <c r="M34" s="304"/>
      <c r="N34" s="292"/>
      <c r="O34" s="292"/>
      <c r="P34" s="292"/>
      <c r="Q34" s="296"/>
      <c r="R34" s="300"/>
      <c r="S34" s="299"/>
    </row>
    <row r="35" spans="1:19">
      <c r="A35" s="210"/>
      <c r="B35" s="182"/>
      <c r="C35" s="182"/>
      <c r="D35" s="197"/>
      <c r="E35" s="185"/>
      <c r="F35" s="212"/>
      <c r="G35" s="206"/>
      <c r="H35" s="213"/>
      <c r="I35" s="51"/>
      <c r="J35" s="213"/>
      <c r="K35" s="292"/>
      <c r="L35" s="303"/>
      <c r="M35" s="304"/>
      <c r="N35" s="292"/>
      <c r="O35" s="292"/>
      <c r="P35" s="292"/>
      <c r="Q35" s="296"/>
      <c r="R35" s="300"/>
      <c r="S35" s="299"/>
    </row>
    <row r="36" spans="1:19">
      <c r="A36" s="210"/>
      <c r="B36" s="182"/>
      <c r="C36" s="182"/>
      <c r="D36" s="197"/>
      <c r="E36" s="185"/>
      <c r="F36" s="212"/>
      <c r="G36" s="206"/>
      <c r="H36" s="213"/>
      <c r="I36" s="51"/>
      <c r="J36" s="213"/>
      <c r="K36" s="292"/>
      <c r="L36" s="303"/>
      <c r="M36" s="304"/>
      <c r="N36" s="292"/>
      <c r="O36" s="292"/>
      <c r="P36" s="292"/>
      <c r="Q36" s="296"/>
      <c r="R36" s="300"/>
      <c r="S36" s="299"/>
    </row>
    <row r="37" spans="1:19">
      <c r="A37" s="210"/>
      <c r="B37" s="182"/>
      <c r="C37" s="182"/>
      <c r="D37" s="197"/>
      <c r="E37" s="185"/>
      <c r="F37" s="212"/>
      <c r="G37" s="206"/>
      <c r="H37" s="213"/>
      <c r="I37" s="51"/>
      <c r="J37" s="213"/>
      <c r="K37" s="292"/>
      <c r="L37" s="303"/>
      <c r="M37" s="304"/>
      <c r="N37" s="292"/>
      <c r="O37" s="292"/>
      <c r="P37" s="292"/>
      <c r="Q37" s="296"/>
      <c r="R37" s="300"/>
      <c r="S37" s="299"/>
    </row>
    <row r="38" spans="1:19">
      <c r="A38" s="210"/>
      <c r="B38" s="182"/>
      <c r="C38" s="182"/>
      <c r="D38" s="197"/>
      <c r="E38" s="185"/>
      <c r="F38" s="212"/>
      <c r="G38" s="206"/>
      <c r="H38" s="213"/>
      <c r="I38" s="51"/>
      <c r="J38" s="213"/>
      <c r="K38" s="292"/>
      <c r="L38" s="303"/>
      <c r="M38" s="304"/>
      <c r="N38" s="292"/>
      <c r="O38" s="292"/>
      <c r="P38" s="292"/>
      <c r="Q38" s="296"/>
      <c r="R38" s="300"/>
      <c r="S38" s="299"/>
    </row>
    <row r="39" spans="1:19">
      <c r="A39" s="210"/>
      <c r="B39" s="182"/>
      <c r="C39" s="182"/>
      <c r="D39" s="197"/>
      <c r="E39" s="185"/>
      <c r="F39" s="212"/>
      <c r="G39" s="206"/>
      <c r="H39" s="213"/>
      <c r="I39" s="51"/>
      <c r="J39" s="213"/>
      <c r="K39" s="292"/>
      <c r="L39" s="303"/>
      <c r="M39" s="304"/>
      <c r="N39" s="292"/>
      <c r="O39" s="292"/>
      <c r="P39" s="292"/>
      <c r="Q39" s="296"/>
      <c r="R39" s="300"/>
      <c r="S39" s="299"/>
    </row>
    <row r="40" spans="1:19">
      <c r="A40" s="210"/>
      <c r="B40" s="182"/>
      <c r="C40" s="182"/>
      <c r="D40" s="197"/>
      <c r="E40" s="185"/>
      <c r="F40" s="212"/>
      <c r="G40" s="206"/>
      <c r="H40" s="213"/>
      <c r="I40" s="51"/>
      <c r="J40" s="213"/>
      <c r="K40" s="292"/>
      <c r="L40" s="303"/>
      <c r="M40" s="304"/>
      <c r="N40" s="292"/>
      <c r="O40" s="292"/>
      <c r="P40" s="292"/>
      <c r="Q40" s="296"/>
      <c r="R40" s="300"/>
      <c r="S40" s="299"/>
    </row>
    <row r="41" spans="1:19">
      <c r="A41" s="210"/>
      <c r="B41" s="182"/>
      <c r="C41" s="182"/>
      <c r="D41" s="197"/>
      <c r="E41" s="185"/>
      <c r="F41" s="212"/>
      <c r="G41" s="206"/>
      <c r="H41" s="213"/>
      <c r="I41" s="51"/>
      <c r="J41" s="213"/>
      <c r="K41" s="292"/>
      <c r="L41" s="303"/>
      <c r="M41" s="304"/>
      <c r="N41" s="292"/>
      <c r="O41" s="292"/>
      <c r="P41" s="292"/>
      <c r="Q41" s="296"/>
      <c r="R41" s="300"/>
      <c r="S41" s="299"/>
    </row>
    <row r="42" spans="1:19">
      <c r="A42" s="210"/>
      <c r="B42" s="182"/>
      <c r="C42" s="182"/>
      <c r="D42" s="197"/>
      <c r="E42" s="185"/>
      <c r="F42" s="212"/>
      <c r="G42" s="206"/>
      <c r="H42" s="213"/>
      <c r="I42" s="51"/>
      <c r="J42" s="213"/>
      <c r="K42" s="292"/>
      <c r="L42" s="303"/>
      <c r="M42" s="304"/>
      <c r="N42" s="292"/>
      <c r="O42" s="292"/>
      <c r="P42" s="292"/>
      <c r="Q42" s="296"/>
      <c r="R42" s="300"/>
      <c r="S42" s="299"/>
    </row>
    <row r="43" spans="1:19">
      <c r="A43" s="210"/>
      <c r="B43" s="182"/>
      <c r="C43" s="182"/>
      <c r="D43" s="197"/>
      <c r="E43" s="185"/>
      <c r="F43" s="212"/>
      <c r="G43" s="206"/>
      <c r="H43" s="213"/>
      <c r="I43" s="51"/>
      <c r="J43" s="213"/>
      <c r="K43" s="292"/>
      <c r="L43" s="303"/>
      <c r="M43" s="304"/>
      <c r="N43" s="292"/>
      <c r="O43" s="292"/>
      <c r="P43" s="292"/>
      <c r="Q43" s="296"/>
      <c r="R43" s="300"/>
      <c r="S43" s="299"/>
    </row>
    <row r="44" spans="1:19">
      <c r="A44" s="210"/>
      <c r="B44" s="182"/>
      <c r="C44" s="182"/>
      <c r="D44" s="197"/>
      <c r="E44" s="185"/>
      <c r="F44" s="212"/>
      <c r="G44" s="206"/>
      <c r="H44" s="213"/>
      <c r="I44" s="51"/>
      <c r="J44" s="213"/>
      <c r="K44" s="292"/>
      <c r="L44" s="303"/>
      <c r="M44" s="304"/>
      <c r="N44" s="292"/>
      <c r="O44" s="292"/>
      <c r="P44" s="292"/>
      <c r="Q44" s="296"/>
      <c r="R44" s="300"/>
      <c r="S44" s="299"/>
    </row>
    <row r="45" spans="1:19">
      <c r="A45" s="210"/>
      <c r="B45" s="182"/>
      <c r="C45" s="182"/>
      <c r="D45" s="197"/>
      <c r="E45" s="185"/>
      <c r="F45" s="212"/>
      <c r="G45" s="206"/>
      <c r="H45" s="213"/>
      <c r="I45" s="51"/>
      <c r="J45" s="213"/>
      <c r="K45" s="292"/>
      <c r="L45" s="303"/>
      <c r="M45" s="304"/>
      <c r="N45" s="292"/>
      <c r="O45" s="292"/>
      <c r="P45" s="292"/>
      <c r="Q45" s="296"/>
      <c r="R45" s="300"/>
      <c r="S45" s="299"/>
    </row>
    <row r="46" spans="1:19">
      <c r="A46" s="210"/>
      <c r="B46" s="182"/>
      <c r="C46" s="182"/>
      <c r="D46" s="197"/>
      <c r="E46" s="185"/>
      <c r="F46" s="212"/>
      <c r="G46" s="206"/>
      <c r="H46" s="213"/>
      <c r="I46" s="51"/>
      <c r="J46" s="213"/>
      <c r="K46" s="292"/>
      <c r="L46" s="303"/>
      <c r="M46" s="304"/>
      <c r="N46" s="292"/>
      <c r="O46" s="292"/>
      <c r="P46" s="292"/>
      <c r="Q46" s="296"/>
      <c r="R46" s="300"/>
      <c r="S46" s="299"/>
    </row>
    <row r="47" spans="1:19">
      <c r="A47" s="210"/>
      <c r="B47" s="182"/>
      <c r="C47" s="182"/>
      <c r="D47" s="197"/>
      <c r="E47" s="185"/>
      <c r="F47" s="212"/>
      <c r="G47" s="206"/>
      <c r="H47" s="213"/>
      <c r="I47" s="51"/>
      <c r="J47" s="213"/>
      <c r="K47" s="292"/>
      <c r="L47" s="303"/>
      <c r="M47" s="304"/>
      <c r="N47" s="292"/>
      <c r="O47" s="292"/>
      <c r="P47" s="292"/>
      <c r="Q47" s="296"/>
      <c r="R47" s="300"/>
      <c r="S47" s="299"/>
    </row>
    <row r="48" spans="1:19">
      <c r="A48" s="210"/>
      <c r="B48" s="182"/>
      <c r="C48" s="182"/>
      <c r="D48" s="197"/>
      <c r="E48" s="185"/>
      <c r="F48" s="212"/>
      <c r="G48" s="206"/>
      <c r="H48" s="213"/>
      <c r="I48" s="51"/>
      <c r="J48" s="213"/>
      <c r="K48" s="292"/>
      <c r="L48" s="303"/>
      <c r="M48" s="304"/>
      <c r="N48" s="292"/>
      <c r="O48" s="292"/>
      <c r="P48" s="292"/>
      <c r="Q48" s="296"/>
      <c r="R48" s="300"/>
      <c r="S48" s="299"/>
    </row>
    <row r="49" spans="1:19">
      <c r="A49" s="210"/>
      <c r="B49" s="182"/>
      <c r="C49" s="182"/>
      <c r="D49" s="197"/>
      <c r="E49" s="185"/>
      <c r="F49" s="212"/>
      <c r="G49" s="206"/>
      <c r="H49" s="213"/>
      <c r="I49" s="51"/>
      <c r="J49" s="213"/>
      <c r="K49" s="292"/>
      <c r="L49" s="303"/>
      <c r="M49" s="304"/>
      <c r="N49" s="292"/>
      <c r="O49" s="292"/>
      <c r="P49" s="292"/>
      <c r="Q49" s="303"/>
      <c r="R49" s="305"/>
      <c r="S49" s="299"/>
    </row>
    <row r="50" spans="1:19">
      <c r="A50" s="210"/>
      <c r="B50" s="182"/>
      <c r="C50" s="182"/>
      <c r="D50" s="197"/>
      <c r="E50" s="185"/>
      <c r="F50" s="212"/>
      <c r="G50" s="206"/>
      <c r="H50" s="213"/>
      <c r="I50" s="51"/>
      <c r="J50" s="213"/>
      <c r="K50" s="292"/>
      <c r="L50" s="303"/>
      <c r="M50" s="304"/>
      <c r="N50" s="292"/>
      <c r="O50" s="292"/>
      <c r="P50" s="292"/>
      <c r="Q50" s="303"/>
      <c r="R50" s="305"/>
      <c r="S50" s="299"/>
    </row>
    <row r="51" spans="1:19">
      <c r="A51" s="210"/>
      <c r="B51" s="182"/>
      <c r="C51" s="182"/>
      <c r="D51" s="197"/>
      <c r="E51" s="185"/>
      <c r="F51" s="212"/>
      <c r="G51" s="206"/>
      <c r="H51" s="213"/>
      <c r="I51" s="51"/>
      <c r="J51" s="213"/>
      <c r="K51" s="292"/>
      <c r="L51" s="303"/>
      <c r="M51" s="304"/>
      <c r="N51" s="292"/>
      <c r="O51" s="292"/>
      <c r="P51" s="292"/>
      <c r="Q51" s="303"/>
      <c r="R51" s="305"/>
      <c r="S51" s="299"/>
    </row>
    <row r="52" spans="1:19">
      <c r="A52" s="210"/>
      <c r="B52" s="182"/>
      <c r="C52" s="182"/>
      <c r="D52" s="197"/>
      <c r="E52" s="185"/>
      <c r="F52" s="212"/>
      <c r="G52" s="206"/>
      <c r="H52" s="213"/>
      <c r="I52" s="51"/>
      <c r="J52" s="213"/>
      <c r="K52" s="292"/>
      <c r="L52" s="303"/>
      <c r="M52" s="304"/>
      <c r="N52" s="292"/>
      <c r="O52" s="292"/>
      <c r="P52" s="292"/>
      <c r="Q52" s="303"/>
      <c r="R52" s="305"/>
      <c r="S52" s="299"/>
    </row>
    <row r="53" spans="1:19">
      <c r="A53" s="210"/>
      <c r="B53" s="182"/>
      <c r="C53" s="182"/>
      <c r="D53" s="197"/>
      <c r="E53" s="185"/>
      <c r="F53" s="212"/>
      <c r="G53" s="206"/>
      <c r="H53" s="213"/>
      <c r="I53" s="51"/>
      <c r="J53" s="213"/>
      <c r="K53" s="292"/>
      <c r="L53" s="303"/>
      <c r="M53" s="304"/>
      <c r="N53" s="292"/>
      <c r="O53" s="292"/>
      <c r="P53" s="292"/>
      <c r="Q53" s="303"/>
      <c r="R53" s="305"/>
      <c r="S53" s="299"/>
    </row>
    <row r="54" spans="1:19">
      <c r="A54" s="210"/>
      <c r="B54" s="182"/>
      <c r="C54" s="182"/>
      <c r="D54" s="197"/>
      <c r="E54" s="185"/>
      <c r="F54" s="212"/>
      <c r="G54" s="206"/>
      <c r="H54" s="213"/>
      <c r="I54" s="51"/>
      <c r="J54" s="213"/>
      <c r="K54" s="292"/>
      <c r="L54" s="303"/>
      <c r="M54" s="304"/>
      <c r="N54" s="292"/>
      <c r="O54" s="292"/>
      <c r="P54" s="292"/>
      <c r="Q54" s="303"/>
      <c r="R54" s="305"/>
      <c r="S54" s="299"/>
    </row>
    <row r="55" spans="1:19">
      <c r="A55" s="210"/>
      <c r="B55" s="182"/>
      <c r="C55" s="182"/>
      <c r="D55" s="197"/>
      <c r="E55" s="185"/>
      <c r="F55" s="212"/>
      <c r="G55" s="206"/>
      <c r="H55" s="213"/>
      <c r="I55" s="51"/>
      <c r="J55" s="213"/>
      <c r="K55" s="292"/>
      <c r="L55" s="303"/>
      <c r="M55" s="304"/>
      <c r="N55" s="292"/>
      <c r="O55" s="292"/>
      <c r="P55" s="292"/>
      <c r="Q55" s="303"/>
      <c r="R55" s="305"/>
      <c r="S55" s="299"/>
    </row>
    <row r="56" spans="1:19">
      <c r="A56" s="210"/>
      <c r="B56" s="182"/>
      <c r="C56" s="182"/>
      <c r="D56" s="197"/>
      <c r="E56" s="185"/>
      <c r="F56" s="212"/>
      <c r="G56" s="206"/>
      <c r="H56" s="213"/>
      <c r="I56" s="51"/>
      <c r="J56" s="213"/>
      <c r="K56" s="292"/>
      <c r="L56" s="303"/>
      <c r="M56" s="304"/>
      <c r="N56" s="292"/>
      <c r="O56" s="292"/>
      <c r="P56" s="292"/>
      <c r="Q56" s="303"/>
      <c r="R56" s="305"/>
      <c r="S56" s="299"/>
    </row>
    <row r="57" spans="1:19">
      <c r="A57" s="210"/>
      <c r="B57" s="182"/>
      <c r="C57" s="182"/>
      <c r="D57" s="197"/>
      <c r="E57" s="185"/>
      <c r="F57" s="212"/>
      <c r="G57" s="206"/>
      <c r="H57" s="213"/>
      <c r="I57" s="51"/>
      <c r="J57" s="213"/>
      <c r="K57" s="292"/>
      <c r="L57" s="303"/>
      <c r="M57" s="304"/>
      <c r="N57" s="292"/>
      <c r="O57" s="292"/>
      <c r="P57" s="292"/>
      <c r="Q57" s="303"/>
      <c r="R57" s="305"/>
      <c r="S57" s="299"/>
    </row>
    <row r="58" spans="1:19">
      <c r="A58" s="210"/>
      <c r="B58" s="182"/>
      <c r="C58" s="182"/>
      <c r="D58" s="197"/>
      <c r="E58" s="185"/>
      <c r="F58" s="212"/>
      <c r="G58" s="206"/>
      <c r="H58" s="213"/>
      <c r="I58" s="51"/>
      <c r="J58" s="213"/>
      <c r="K58" s="292"/>
      <c r="L58" s="303"/>
      <c r="M58" s="304"/>
      <c r="N58" s="292"/>
      <c r="O58" s="292"/>
      <c r="P58" s="292"/>
      <c r="Q58" s="303"/>
      <c r="R58" s="305"/>
      <c r="S58" s="299"/>
    </row>
    <row r="59" spans="1:19">
      <c r="K59" s="290"/>
      <c r="L59" s="290"/>
      <c r="M59" s="290"/>
      <c r="N59" s="290"/>
      <c r="O59" s="290"/>
      <c r="P59" s="290"/>
      <c r="Q59" s="290"/>
      <c r="R59" s="288"/>
      <c r="S59" s="289"/>
    </row>
    <row r="60" spans="1:19">
      <c r="K60" s="290"/>
      <c r="L60" s="290"/>
      <c r="M60" s="290"/>
      <c r="N60" s="290"/>
      <c r="O60" s="290"/>
      <c r="P60" s="290"/>
      <c r="Q60" s="290"/>
      <c r="R60" s="288"/>
      <c r="S60" s="289"/>
    </row>
    <row r="61" spans="1:19">
      <c r="K61" s="290"/>
      <c r="L61" s="290"/>
      <c r="M61" s="290"/>
      <c r="N61" s="290"/>
      <c r="O61" s="290"/>
      <c r="P61" s="290"/>
      <c r="Q61" s="290"/>
      <c r="R61" s="288"/>
      <c r="S61" s="289"/>
    </row>
    <row r="62" spans="1:19">
      <c r="K62" s="290"/>
      <c r="L62" s="290"/>
      <c r="M62" s="290"/>
      <c r="N62" s="290"/>
      <c r="O62" s="290"/>
      <c r="P62" s="290"/>
      <c r="Q62" s="290"/>
      <c r="R62" s="288"/>
      <c r="S62" s="289"/>
    </row>
    <row r="63" spans="1:19">
      <c r="K63" s="290"/>
      <c r="L63" s="290"/>
      <c r="M63" s="290"/>
      <c r="N63" s="290"/>
      <c r="O63" s="290"/>
      <c r="P63" s="290"/>
      <c r="Q63" s="290"/>
      <c r="R63" s="288"/>
      <c r="S63" s="289"/>
    </row>
    <row r="64" spans="1:19">
      <c r="K64" s="290"/>
      <c r="L64" s="290"/>
      <c r="M64" s="290"/>
      <c r="N64" s="290"/>
      <c r="O64" s="290"/>
      <c r="P64" s="290"/>
      <c r="Q64" s="290"/>
      <c r="R64" s="288"/>
      <c r="S64" s="289"/>
    </row>
    <row r="65" spans="11:19">
      <c r="K65" s="290"/>
      <c r="L65" s="290"/>
      <c r="M65" s="290"/>
      <c r="N65" s="290"/>
      <c r="O65" s="290"/>
      <c r="P65" s="290"/>
      <c r="Q65" s="290"/>
      <c r="R65" s="288"/>
      <c r="S65" s="289"/>
    </row>
    <row r="66" spans="11:19">
      <c r="K66" s="290"/>
      <c r="L66" s="290"/>
      <c r="M66" s="290"/>
      <c r="N66" s="290"/>
      <c r="O66" s="290"/>
      <c r="P66" s="290"/>
      <c r="Q66" s="290"/>
      <c r="R66" s="288"/>
      <c r="S66" s="289"/>
    </row>
    <row r="67" spans="11:19">
      <c r="K67" s="290"/>
      <c r="L67" s="290"/>
      <c r="M67" s="290"/>
      <c r="N67" s="290"/>
      <c r="O67" s="290"/>
      <c r="P67" s="290"/>
      <c r="Q67" s="290"/>
      <c r="R67" s="288"/>
      <c r="S67" s="289"/>
    </row>
    <row r="68" spans="11:19">
      <c r="K68" s="290"/>
      <c r="L68" s="290"/>
      <c r="M68" s="290"/>
      <c r="N68" s="290"/>
      <c r="O68" s="290"/>
      <c r="P68" s="290"/>
      <c r="Q68" s="290"/>
      <c r="R68" s="288"/>
      <c r="S68" s="289"/>
    </row>
    <row r="69" spans="11:19">
      <c r="K69" s="290"/>
      <c r="L69" s="290"/>
      <c r="M69" s="290"/>
      <c r="N69" s="290"/>
      <c r="O69" s="290"/>
      <c r="P69" s="290"/>
      <c r="Q69" s="290"/>
      <c r="R69" s="288"/>
      <c r="S69" s="289"/>
    </row>
    <row r="70" spans="11:19">
      <c r="K70" s="290"/>
      <c r="L70" s="290"/>
      <c r="M70" s="290"/>
      <c r="N70" s="290"/>
      <c r="O70" s="290"/>
      <c r="P70" s="290"/>
      <c r="Q70" s="290"/>
      <c r="R70" s="288"/>
      <c r="S70" s="289"/>
    </row>
    <row r="71" spans="11:19">
      <c r="K71" s="290"/>
      <c r="L71" s="290"/>
      <c r="M71" s="290"/>
      <c r="N71" s="290"/>
      <c r="O71" s="290"/>
      <c r="P71" s="290"/>
      <c r="Q71" s="290"/>
      <c r="R71" s="288"/>
      <c r="S71" s="289"/>
    </row>
    <row r="72" spans="11:19">
      <c r="K72" s="290"/>
      <c r="L72" s="290"/>
      <c r="M72" s="290"/>
      <c r="N72" s="290"/>
      <c r="O72" s="290"/>
      <c r="P72" s="290"/>
      <c r="Q72" s="290"/>
      <c r="R72" s="288"/>
      <c r="S72" s="289"/>
    </row>
    <row r="73" spans="11:19">
      <c r="K73" s="290"/>
      <c r="L73" s="290"/>
      <c r="M73" s="290"/>
      <c r="N73" s="290"/>
      <c r="O73" s="290"/>
      <c r="P73" s="290"/>
      <c r="Q73" s="290"/>
      <c r="R73" s="288"/>
      <c r="S73" s="289"/>
    </row>
    <row r="74" spans="11:19">
      <c r="K74" s="290"/>
      <c r="L74" s="290"/>
      <c r="M74" s="290"/>
      <c r="N74" s="290"/>
      <c r="O74" s="290"/>
      <c r="P74" s="290"/>
      <c r="Q74" s="290"/>
      <c r="R74" s="288"/>
      <c r="S74" s="289"/>
    </row>
    <row r="75" spans="11:19">
      <c r="K75" s="290"/>
      <c r="L75" s="290"/>
      <c r="M75" s="290"/>
      <c r="N75" s="290"/>
      <c r="O75" s="290"/>
      <c r="P75" s="290"/>
      <c r="Q75" s="290"/>
      <c r="R75" s="288"/>
      <c r="S75" s="289"/>
    </row>
    <row r="76" spans="11:19">
      <c r="K76" s="290"/>
      <c r="L76" s="290"/>
      <c r="M76" s="290"/>
      <c r="N76" s="290"/>
      <c r="O76" s="290"/>
      <c r="P76" s="290"/>
      <c r="Q76" s="290"/>
      <c r="R76" s="288"/>
      <c r="S76" s="289"/>
    </row>
    <row r="77" spans="11:19">
      <c r="K77" s="290"/>
      <c r="L77" s="290"/>
      <c r="M77" s="290"/>
      <c r="N77" s="290"/>
      <c r="O77" s="290"/>
      <c r="P77" s="290"/>
      <c r="Q77" s="290"/>
      <c r="R77" s="288"/>
      <c r="S77" s="289"/>
    </row>
    <row r="78" spans="11:19">
      <c r="K78" s="290"/>
      <c r="L78" s="290"/>
      <c r="M78" s="290"/>
      <c r="N78" s="290"/>
      <c r="O78" s="290"/>
      <c r="P78" s="290"/>
      <c r="Q78" s="290"/>
      <c r="R78" s="288"/>
      <c r="S78" s="289"/>
    </row>
    <row r="79" spans="11:19">
      <c r="K79" s="290"/>
      <c r="L79" s="290"/>
      <c r="M79" s="290"/>
      <c r="N79" s="290"/>
      <c r="O79" s="290"/>
      <c r="P79" s="290"/>
      <c r="Q79" s="290"/>
      <c r="R79" s="288"/>
      <c r="S79" s="289"/>
    </row>
    <row r="80" spans="11:19">
      <c r="K80" s="290"/>
      <c r="L80" s="290"/>
      <c r="M80" s="290"/>
      <c r="N80" s="290"/>
      <c r="O80" s="290"/>
      <c r="P80" s="290"/>
      <c r="Q80" s="290"/>
      <c r="R80" s="288"/>
      <c r="S80" s="289"/>
    </row>
    <row r="81" spans="11:19">
      <c r="K81" s="290"/>
      <c r="L81" s="290"/>
      <c r="M81" s="290"/>
      <c r="N81" s="290"/>
      <c r="O81" s="290"/>
      <c r="P81" s="290"/>
      <c r="Q81" s="290"/>
      <c r="R81" s="288"/>
      <c r="S81" s="289"/>
    </row>
    <row r="82" spans="11:19">
      <c r="K82" s="290"/>
      <c r="L82" s="290"/>
      <c r="M82" s="290"/>
      <c r="N82" s="290"/>
      <c r="O82" s="290"/>
      <c r="P82" s="290"/>
      <c r="Q82" s="290"/>
      <c r="R82" s="288"/>
      <c r="S82" s="289"/>
    </row>
    <row r="83" spans="11:19">
      <c r="K83" s="290"/>
      <c r="L83" s="290"/>
      <c r="M83" s="290"/>
      <c r="N83" s="290"/>
      <c r="O83" s="290"/>
      <c r="P83" s="290"/>
      <c r="Q83" s="290"/>
      <c r="R83" s="288"/>
      <c r="S83" s="289"/>
    </row>
    <row r="84" spans="11:19">
      <c r="K84" s="290"/>
      <c r="L84" s="290"/>
      <c r="M84" s="290"/>
      <c r="N84" s="290"/>
      <c r="O84" s="290"/>
      <c r="P84" s="290"/>
      <c r="Q84" s="290"/>
      <c r="R84" s="288"/>
      <c r="S84" s="289"/>
    </row>
    <row r="85" spans="11:19">
      <c r="K85" s="290"/>
      <c r="L85" s="290"/>
      <c r="M85" s="290"/>
      <c r="N85" s="290"/>
      <c r="O85" s="290"/>
      <c r="P85" s="290"/>
      <c r="Q85" s="290"/>
      <c r="R85" s="288"/>
      <c r="S85" s="289"/>
    </row>
    <row r="86" spans="11:19">
      <c r="K86" s="290"/>
      <c r="L86" s="290"/>
      <c r="M86" s="290"/>
      <c r="N86" s="290"/>
      <c r="O86" s="290"/>
      <c r="P86" s="290"/>
      <c r="Q86" s="290"/>
      <c r="R86" s="288"/>
      <c r="S86" s="289"/>
    </row>
    <row r="87" spans="11:19">
      <c r="K87" s="290"/>
      <c r="L87" s="290"/>
      <c r="M87" s="290"/>
      <c r="N87" s="290"/>
      <c r="O87" s="290"/>
      <c r="P87" s="290"/>
      <c r="Q87" s="290"/>
      <c r="R87" s="288"/>
      <c r="S87" s="289"/>
    </row>
    <row r="88" spans="11:19">
      <c r="K88" s="290"/>
      <c r="L88" s="290"/>
      <c r="M88" s="290"/>
      <c r="N88" s="290"/>
      <c r="O88" s="290"/>
      <c r="P88" s="290"/>
      <c r="Q88" s="290"/>
      <c r="R88" s="288"/>
      <c r="S88" s="289"/>
    </row>
    <row r="89" spans="11:19">
      <c r="K89" s="290"/>
      <c r="L89" s="290"/>
      <c r="M89" s="290"/>
      <c r="N89" s="290"/>
      <c r="O89" s="290"/>
      <c r="P89" s="290"/>
      <c r="Q89" s="290"/>
      <c r="R89" s="288"/>
      <c r="S89" s="289"/>
    </row>
    <row r="90" spans="11:19">
      <c r="K90" s="290"/>
      <c r="L90" s="290"/>
      <c r="M90" s="290"/>
      <c r="N90" s="290"/>
      <c r="O90" s="290"/>
      <c r="P90" s="290"/>
      <c r="Q90" s="290"/>
      <c r="R90" s="288"/>
      <c r="S90" s="289"/>
    </row>
    <row r="91" spans="11:19">
      <c r="K91" s="290"/>
      <c r="L91" s="290"/>
      <c r="M91" s="290"/>
      <c r="N91" s="290"/>
      <c r="O91" s="290"/>
      <c r="P91" s="290"/>
      <c r="Q91" s="290"/>
      <c r="R91" s="288"/>
      <c r="S91" s="289"/>
    </row>
    <row r="92" spans="11:19">
      <c r="K92" s="290"/>
      <c r="L92" s="290"/>
      <c r="M92" s="290"/>
      <c r="N92" s="290"/>
      <c r="O92" s="290"/>
      <c r="P92" s="290"/>
      <c r="Q92" s="290"/>
      <c r="R92" s="288"/>
      <c r="S92" s="289"/>
    </row>
    <row r="93" spans="11:19">
      <c r="K93" s="290"/>
      <c r="L93" s="290"/>
      <c r="M93" s="290"/>
      <c r="N93" s="290"/>
      <c r="O93" s="290"/>
      <c r="P93" s="290"/>
      <c r="Q93" s="290"/>
      <c r="R93" s="288"/>
      <c r="S93" s="289"/>
    </row>
    <row r="94" spans="11:19">
      <c r="K94" s="290"/>
      <c r="L94" s="290"/>
      <c r="M94" s="290"/>
      <c r="N94" s="290"/>
      <c r="O94" s="290"/>
      <c r="P94" s="290"/>
      <c r="Q94" s="290"/>
      <c r="R94" s="288"/>
      <c r="S94" s="289"/>
    </row>
    <row r="95" spans="11:19">
      <c r="K95" s="290"/>
      <c r="L95" s="290"/>
      <c r="M95" s="290"/>
      <c r="N95" s="290"/>
      <c r="O95" s="290"/>
      <c r="P95" s="290"/>
      <c r="Q95" s="290"/>
      <c r="R95" s="288"/>
      <c r="S95" s="289"/>
    </row>
    <row r="96" spans="11:19">
      <c r="K96" s="290"/>
      <c r="L96" s="290"/>
      <c r="M96" s="290"/>
      <c r="N96" s="290"/>
      <c r="O96" s="290"/>
      <c r="P96" s="290"/>
      <c r="Q96" s="290"/>
      <c r="R96" s="288"/>
      <c r="S96" s="289"/>
    </row>
    <row r="97" spans="11:19">
      <c r="K97" s="290"/>
      <c r="L97" s="290"/>
      <c r="M97" s="290"/>
      <c r="N97" s="290"/>
      <c r="O97" s="290"/>
      <c r="P97" s="290"/>
      <c r="Q97" s="290"/>
      <c r="R97" s="288"/>
      <c r="S97" s="289"/>
    </row>
    <row r="98" spans="11:19">
      <c r="K98" s="290"/>
      <c r="L98" s="290"/>
      <c r="M98" s="290"/>
      <c r="N98" s="290"/>
      <c r="O98" s="290"/>
      <c r="P98" s="290"/>
      <c r="Q98" s="290"/>
      <c r="R98" s="288"/>
      <c r="S98" s="289"/>
    </row>
    <row r="99" spans="11:19">
      <c r="K99" s="290"/>
      <c r="L99" s="290"/>
      <c r="M99" s="290"/>
      <c r="N99" s="290"/>
      <c r="O99" s="290"/>
      <c r="P99" s="290"/>
      <c r="Q99" s="290"/>
      <c r="R99" s="288"/>
      <c r="S99" s="289"/>
    </row>
    <row r="100" spans="11:19">
      <c r="K100" s="290"/>
      <c r="L100" s="290"/>
      <c r="M100" s="290"/>
      <c r="N100" s="290"/>
      <c r="O100" s="290"/>
      <c r="P100" s="290"/>
      <c r="Q100" s="290"/>
      <c r="R100" s="288"/>
      <c r="S100" s="289"/>
    </row>
    <row r="101" spans="11:19">
      <c r="K101" s="290"/>
      <c r="L101" s="290"/>
      <c r="M101" s="290"/>
      <c r="N101" s="290"/>
      <c r="O101" s="290"/>
      <c r="P101" s="290"/>
      <c r="Q101" s="290"/>
      <c r="R101" s="288"/>
      <c r="S101" s="289"/>
    </row>
    <row r="102" spans="11:19">
      <c r="K102" s="290"/>
      <c r="L102" s="290"/>
      <c r="M102" s="290"/>
      <c r="N102" s="290"/>
      <c r="O102" s="290"/>
      <c r="P102" s="290"/>
      <c r="Q102" s="290"/>
      <c r="R102" s="288"/>
      <c r="S102" s="289"/>
    </row>
    <row r="103" spans="11:19">
      <c r="K103" s="290"/>
      <c r="L103" s="290"/>
      <c r="M103" s="290"/>
      <c r="N103" s="290"/>
      <c r="O103" s="290"/>
      <c r="P103" s="290"/>
      <c r="Q103" s="290"/>
      <c r="R103" s="288"/>
      <c r="S103" s="289"/>
    </row>
    <row r="104" spans="11:19">
      <c r="K104" s="290"/>
      <c r="L104" s="290"/>
      <c r="M104" s="290"/>
      <c r="N104" s="290"/>
      <c r="O104" s="290"/>
      <c r="P104" s="290"/>
      <c r="Q104" s="290"/>
      <c r="R104" s="288"/>
      <c r="S104" s="289"/>
    </row>
    <row r="105" spans="11:19">
      <c r="K105" s="290"/>
      <c r="L105" s="290"/>
      <c r="M105" s="290"/>
      <c r="N105" s="290"/>
      <c r="O105" s="290"/>
      <c r="P105" s="290"/>
      <c r="Q105" s="290"/>
      <c r="R105" s="288"/>
      <c r="S105" s="289"/>
    </row>
    <row r="106" spans="11:19">
      <c r="K106" s="290"/>
      <c r="L106" s="290"/>
      <c r="M106" s="290"/>
      <c r="N106" s="290"/>
      <c r="O106" s="290"/>
      <c r="P106" s="290"/>
      <c r="Q106" s="290"/>
      <c r="R106" s="288"/>
      <c r="S106" s="289"/>
    </row>
    <row r="107" spans="11:19">
      <c r="K107" s="290"/>
      <c r="L107" s="290"/>
      <c r="M107" s="290"/>
      <c r="N107" s="290"/>
      <c r="O107" s="290"/>
      <c r="P107" s="290"/>
      <c r="Q107" s="290"/>
      <c r="R107" s="288"/>
      <c r="S107" s="289"/>
    </row>
    <row r="108" spans="11:19">
      <c r="K108" s="290"/>
      <c r="L108" s="290"/>
      <c r="M108" s="290"/>
      <c r="N108" s="290"/>
      <c r="O108" s="290"/>
      <c r="P108" s="290"/>
      <c r="Q108" s="290"/>
      <c r="R108" s="288"/>
      <c r="S108" s="289"/>
    </row>
    <row r="109" spans="11:19">
      <c r="K109" s="290"/>
      <c r="L109" s="290"/>
      <c r="M109" s="290"/>
      <c r="N109" s="290"/>
      <c r="O109" s="290"/>
      <c r="P109" s="290"/>
      <c r="Q109" s="290"/>
      <c r="R109" s="288"/>
      <c r="S109" s="289"/>
    </row>
    <row r="110" spans="11:19">
      <c r="K110" s="290"/>
      <c r="L110" s="290"/>
      <c r="M110" s="290"/>
      <c r="N110" s="290"/>
      <c r="O110" s="290"/>
      <c r="P110" s="290"/>
      <c r="Q110" s="290"/>
      <c r="R110" s="288"/>
      <c r="S110" s="289"/>
    </row>
    <row r="111" spans="11:19">
      <c r="K111" s="290"/>
      <c r="L111" s="290"/>
      <c r="M111" s="290"/>
      <c r="N111" s="290"/>
      <c r="O111" s="290"/>
      <c r="P111" s="290"/>
      <c r="Q111" s="290"/>
      <c r="R111" s="288"/>
      <c r="S111" s="289"/>
    </row>
    <row r="112" spans="11:19">
      <c r="K112" s="290"/>
      <c r="L112" s="290"/>
      <c r="M112" s="290"/>
      <c r="N112" s="290"/>
      <c r="O112" s="290"/>
      <c r="P112" s="290"/>
      <c r="Q112" s="290"/>
      <c r="R112" s="288"/>
      <c r="S112" s="289"/>
    </row>
    <row r="113" spans="11:19">
      <c r="K113" s="290"/>
      <c r="L113" s="290"/>
      <c r="M113" s="290"/>
      <c r="N113" s="290"/>
      <c r="O113" s="290"/>
      <c r="P113" s="290"/>
      <c r="Q113" s="290"/>
      <c r="R113" s="288"/>
      <c r="S113" s="289"/>
    </row>
    <row r="114" spans="11:19">
      <c r="K114" s="290"/>
      <c r="L114" s="290"/>
      <c r="M114" s="290"/>
      <c r="N114" s="290"/>
      <c r="O114" s="290"/>
      <c r="P114" s="290"/>
      <c r="Q114" s="290"/>
      <c r="R114" s="288"/>
      <c r="S114" s="289"/>
    </row>
    <row r="115" spans="11:19">
      <c r="K115" s="290"/>
      <c r="L115" s="290"/>
      <c r="M115" s="290"/>
      <c r="N115" s="290"/>
      <c r="O115" s="290"/>
      <c r="P115" s="290"/>
      <c r="Q115" s="290"/>
      <c r="R115" s="288"/>
      <c r="S115" s="289"/>
    </row>
    <row r="116" spans="11:19">
      <c r="K116" s="290"/>
      <c r="L116" s="290"/>
      <c r="M116" s="290"/>
      <c r="N116" s="290"/>
      <c r="O116" s="290"/>
      <c r="P116" s="290"/>
      <c r="Q116" s="290"/>
      <c r="R116" s="288"/>
      <c r="S116" s="289"/>
    </row>
    <row r="117" spans="11:19">
      <c r="K117" s="290"/>
      <c r="L117" s="290"/>
      <c r="M117" s="290"/>
      <c r="N117" s="290"/>
      <c r="O117" s="290"/>
      <c r="P117" s="290"/>
      <c r="Q117" s="290"/>
      <c r="R117" s="288"/>
      <c r="S117" s="289"/>
    </row>
    <row r="118" spans="11:19">
      <c r="K118" s="290"/>
      <c r="L118" s="290"/>
      <c r="M118" s="290"/>
      <c r="N118" s="290"/>
      <c r="O118" s="290"/>
      <c r="P118" s="290"/>
      <c r="Q118" s="290"/>
      <c r="R118" s="288"/>
      <c r="S118" s="289"/>
    </row>
    <row r="119" spans="11:19">
      <c r="K119" s="290"/>
      <c r="L119" s="290"/>
      <c r="M119" s="290"/>
      <c r="N119" s="290"/>
      <c r="O119" s="290"/>
      <c r="P119" s="290"/>
      <c r="Q119" s="290"/>
      <c r="R119" s="288"/>
      <c r="S119" s="289"/>
    </row>
    <row r="120" spans="11:19">
      <c r="K120" s="290"/>
      <c r="L120" s="290"/>
      <c r="M120" s="290"/>
      <c r="N120" s="290"/>
      <c r="O120" s="290"/>
      <c r="P120" s="290"/>
      <c r="Q120" s="290"/>
      <c r="R120" s="288"/>
      <c r="S120" s="289"/>
    </row>
    <row r="121" spans="11:19">
      <c r="K121" s="290"/>
      <c r="L121" s="290"/>
      <c r="M121" s="290"/>
      <c r="N121" s="290"/>
      <c r="O121" s="290"/>
      <c r="P121" s="290"/>
      <c r="Q121" s="290"/>
      <c r="R121" s="288"/>
      <c r="S121" s="289"/>
    </row>
    <row r="122" spans="11:19">
      <c r="K122" s="290"/>
      <c r="L122" s="290"/>
      <c r="M122" s="290"/>
      <c r="N122" s="290"/>
      <c r="O122" s="290"/>
      <c r="P122" s="290"/>
      <c r="Q122" s="290"/>
      <c r="R122" s="288"/>
      <c r="S122" s="289"/>
    </row>
    <row r="123" spans="11:19">
      <c r="K123" s="290"/>
      <c r="L123" s="290"/>
      <c r="M123" s="290"/>
      <c r="N123" s="290"/>
      <c r="O123" s="290"/>
      <c r="P123" s="290"/>
      <c r="Q123" s="290"/>
      <c r="R123" s="288"/>
      <c r="S123" s="289"/>
    </row>
    <row r="124" spans="11:19">
      <c r="K124" s="290"/>
      <c r="L124" s="290"/>
      <c r="M124" s="290"/>
      <c r="N124" s="290"/>
      <c r="O124" s="290"/>
      <c r="P124" s="290"/>
      <c r="Q124" s="290"/>
      <c r="R124" s="288"/>
      <c r="S124" s="289"/>
    </row>
    <row r="125" spans="11:19">
      <c r="K125" s="290"/>
      <c r="L125" s="290"/>
      <c r="M125" s="290"/>
      <c r="N125" s="290"/>
      <c r="O125" s="290"/>
      <c r="P125" s="290"/>
      <c r="Q125" s="290"/>
      <c r="R125" s="288"/>
      <c r="S125" s="289"/>
    </row>
    <row r="126" spans="11:19">
      <c r="K126" s="290"/>
      <c r="L126" s="290"/>
      <c r="M126" s="290"/>
      <c r="N126" s="290"/>
      <c r="O126" s="290"/>
      <c r="P126" s="290"/>
      <c r="Q126" s="290"/>
      <c r="R126" s="288"/>
      <c r="S126" s="289"/>
    </row>
    <row r="127" spans="11:19">
      <c r="K127" s="290"/>
      <c r="L127" s="290"/>
      <c r="M127" s="290"/>
      <c r="N127" s="290"/>
      <c r="O127" s="290"/>
      <c r="P127" s="290"/>
      <c r="Q127" s="290"/>
      <c r="R127" s="288"/>
      <c r="S127" s="289"/>
    </row>
    <row r="128" spans="11:19">
      <c r="K128" s="290"/>
      <c r="L128" s="290"/>
      <c r="M128" s="290"/>
      <c r="N128" s="290"/>
      <c r="O128" s="290"/>
      <c r="P128" s="290"/>
      <c r="Q128" s="290"/>
      <c r="R128" s="288"/>
      <c r="S128" s="289"/>
    </row>
    <row r="129" spans="11:19">
      <c r="K129" s="290"/>
      <c r="L129" s="290"/>
      <c r="M129" s="290"/>
      <c r="N129" s="290"/>
      <c r="O129" s="290"/>
      <c r="P129" s="290"/>
      <c r="Q129" s="290"/>
      <c r="R129" s="288"/>
      <c r="S129" s="289"/>
    </row>
    <row r="130" spans="11:19">
      <c r="K130" s="290"/>
      <c r="L130" s="290"/>
      <c r="M130" s="290"/>
      <c r="N130" s="290"/>
      <c r="O130" s="290"/>
      <c r="P130" s="290"/>
      <c r="Q130" s="290"/>
      <c r="R130" s="288"/>
      <c r="S130" s="289"/>
    </row>
    <row r="131" spans="11:19">
      <c r="K131" s="290"/>
      <c r="L131" s="290"/>
      <c r="M131" s="290"/>
      <c r="N131" s="290"/>
      <c r="O131" s="290"/>
      <c r="P131" s="290"/>
      <c r="Q131" s="290"/>
      <c r="R131" s="288"/>
      <c r="S131" s="289"/>
    </row>
    <row r="132" spans="11:19">
      <c r="K132" s="290"/>
      <c r="L132" s="290"/>
      <c r="M132" s="290"/>
      <c r="N132" s="290"/>
      <c r="O132" s="290"/>
      <c r="P132" s="290"/>
      <c r="Q132" s="290"/>
      <c r="R132" s="288"/>
      <c r="S132" s="289"/>
    </row>
    <row r="133" spans="11:19">
      <c r="K133" s="290"/>
      <c r="L133" s="290"/>
      <c r="M133" s="290"/>
      <c r="N133" s="290"/>
      <c r="O133" s="290"/>
      <c r="P133" s="290"/>
      <c r="Q133" s="290"/>
      <c r="R133" s="288"/>
      <c r="S133" s="289"/>
    </row>
    <row r="134" spans="11:19">
      <c r="K134" s="290"/>
      <c r="L134" s="290"/>
      <c r="M134" s="290"/>
      <c r="N134" s="290"/>
      <c r="O134" s="290"/>
      <c r="P134" s="290"/>
      <c r="Q134" s="290"/>
      <c r="R134" s="288"/>
      <c r="S134" s="289"/>
    </row>
    <row r="135" spans="11:19">
      <c r="K135" s="290"/>
      <c r="L135" s="290"/>
      <c r="M135" s="290"/>
      <c r="N135" s="290"/>
      <c r="O135" s="290"/>
      <c r="P135" s="290"/>
      <c r="Q135" s="290"/>
      <c r="R135" s="288"/>
      <c r="S135" s="289"/>
    </row>
    <row r="136" spans="11:19">
      <c r="K136" s="290"/>
      <c r="L136" s="290"/>
      <c r="M136" s="290"/>
      <c r="N136" s="290"/>
      <c r="O136" s="290"/>
      <c r="P136" s="290"/>
      <c r="Q136" s="290"/>
      <c r="R136" s="288"/>
      <c r="S136" s="289"/>
    </row>
    <row r="137" spans="11:19">
      <c r="K137" s="290"/>
      <c r="L137" s="290"/>
      <c r="M137" s="290"/>
      <c r="N137" s="290"/>
      <c r="O137" s="290"/>
      <c r="P137" s="290"/>
      <c r="Q137" s="290"/>
      <c r="R137" s="288"/>
      <c r="S137" s="289"/>
    </row>
    <row r="138" spans="11:19">
      <c r="K138" s="290"/>
      <c r="L138" s="290"/>
      <c r="M138" s="290"/>
      <c r="N138" s="290"/>
      <c r="O138" s="290"/>
      <c r="P138" s="290"/>
      <c r="Q138" s="290"/>
      <c r="R138" s="288"/>
      <c r="S138" s="289"/>
    </row>
    <row r="139" spans="11:19">
      <c r="K139" s="290"/>
      <c r="L139" s="290"/>
      <c r="M139" s="290"/>
      <c r="N139" s="290"/>
      <c r="O139" s="290"/>
      <c r="P139" s="290"/>
      <c r="Q139" s="290"/>
      <c r="R139" s="288"/>
      <c r="S139" s="289"/>
    </row>
    <row r="140" spans="11:19">
      <c r="K140" s="290"/>
      <c r="L140" s="290"/>
      <c r="M140" s="290"/>
      <c r="N140" s="290"/>
      <c r="O140" s="290"/>
      <c r="P140" s="290"/>
      <c r="Q140" s="290"/>
      <c r="R140" s="288"/>
      <c r="S140" s="289"/>
    </row>
    <row r="141" spans="11:19">
      <c r="K141" s="290"/>
      <c r="L141" s="290"/>
      <c r="M141" s="290"/>
      <c r="N141" s="290"/>
      <c r="O141" s="290"/>
      <c r="P141" s="290"/>
      <c r="Q141" s="290"/>
      <c r="R141" s="288"/>
      <c r="S141" s="289"/>
    </row>
    <row r="142" spans="11:19">
      <c r="K142" s="290"/>
      <c r="L142" s="290"/>
      <c r="M142" s="290"/>
      <c r="N142" s="290"/>
      <c r="O142" s="290"/>
      <c r="P142" s="290"/>
      <c r="Q142" s="290"/>
      <c r="R142" s="288"/>
      <c r="S142" s="289"/>
    </row>
    <row r="143" spans="11:19">
      <c r="K143" s="290"/>
      <c r="L143" s="290"/>
      <c r="M143" s="290"/>
      <c r="N143" s="290"/>
      <c r="O143" s="290"/>
      <c r="P143" s="290"/>
      <c r="Q143" s="290"/>
      <c r="R143" s="288"/>
      <c r="S143" s="289"/>
    </row>
    <row r="144" spans="11:19">
      <c r="K144" s="290"/>
      <c r="L144" s="290"/>
      <c r="M144" s="290"/>
      <c r="N144" s="290"/>
      <c r="O144" s="290"/>
      <c r="P144" s="290"/>
      <c r="Q144" s="290"/>
      <c r="R144" s="288"/>
      <c r="S144" s="289"/>
    </row>
    <row r="145" spans="11:19">
      <c r="K145" s="290"/>
      <c r="L145" s="290"/>
      <c r="M145" s="290"/>
      <c r="N145" s="290"/>
      <c r="O145" s="290"/>
      <c r="P145" s="290"/>
      <c r="Q145" s="290"/>
      <c r="R145" s="288"/>
      <c r="S145" s="289"/>
    </row>
    <row r="146" spans="11:19">
      <c r="K146" s="290"/>
      <c r="L146" s="290"/>
      <c r="M146" s="290"/>
      <c r="N146" s="290"/>
      <c r="O146" s="290"/>
      <c r="P146" s="290"/>
      <c r="Q146" s="290"/>
      <c r="R146" s="288"/>
      <c r="S146" s="289"/>
    </row>
    <row r="147" spans="11:19">
      <c r="K147" s="290"/>
      <c r="L147" s="290"/>
      <c r="M147" s="290"/>
      <c r="N147" s="290"/>
      <c r="O147" s="290"/>
      <c r="P147" s="290"/>
      <c r="Q147" s="290"/>
      <c r="R147" s="288"/>
      <c r="S147" s="289"/>
    </row>
    <row r="148" spans="11:19">
      <c r="K148" s="290"/>
      <c r="L148" s="290"/>
      <c r="M148" s="290"/>
      <c r="N148" s="290"/>
      <c r="O148" s="290"/>
      <c r="P148" s="290"/>
      <c r="Q148" s="290"/>
      <c r="R148" s="288"/>
      <c r="S148" s="289"/>
    </row>
    <row r="149" spans="11:19">
      <c r="K149" s="290"/>
      <c r="L149" s="290"/>
      <c r="M149" s="290"/>
      <c r="N149" s="290"/>
      <c r="O149" s="290"/>
      <c r="P149" s="290"/>
      <c r="Q149" s="290"/>
      <c r="R149" s="288"/>
      <c r="S149" s="289"/>
    </row>
    <row r="150" spans="11:19">
      <c r="K150" s="290"/>
      <c r="L150" s="290"/>
      <c r="M150" s="290"/>
      <c r="N150" s="290"/>
      <c r="O150" s="290"/>
      <c r="P150" s="290"/>
      <c r="Q150" s="290"/>
      <c r="R150" s="288"/>
      <c r="S150" s="289"/>
    </row>
    <row r="151" spans="11:19">
      <c r="K151" s="290"/>
      <c r="L151" s="290"/>
      <c r="M151" s="290"/>
      <c r="N151" s="290"/>
      <c r="O151" s="290"/>
      <c r="P151" s="290"/>
      <c r="Q151" s="290"/>
      <c r="R151" s="288"/>
      <c r="S151" s="289"/>
    </row>
    <row r="152" spans="11:19">
      <c r="K152" s="290"/>
      <c r="L152" s="290"/>
      <c r="M152" s="290"/>
      <c r="N152" s="290"/>
      <c r="O152" s="290"/>
      <c r="P152" s="290"/>
      <c r="Q152" s="290"/>
      <c r="R152" s="288"/>
      <c r="S152" s="289"/>
    </row>
    <row r="153" spans="11:19">
      <c r="K153" s="290"/>
      <c r="L153" s="290"/>
      <c r="M153" s="290"/>
      <c r="N153" s="290"/>
      <c r="O153" s="290"/>
      <c r="P153" s="290"/>
      <c r="Q153" s="290"/>
      <c r="R153" s="288"/>
      <c r="S153" s="289"/>
    </row>
    <row r="154" spans="11:19">
      <c r="K154" s="290"/>
      <c r="L154" s="290"/>
      <c r="M154" s="290"/>
      <c r="N154" s="290"/>
      <c r="O154" s="290"/>
      <c r="P154" s="290"/>
      <c r="Q154" s="290"/>
      <c r="R154" s="288"/>
      <c r="S154" s="289"/>
    </row>
    <row r="155" spans="11:19">
      <c r="K155" s="290"/>
      <c r="L155" s="290"/>
      <c r="M155" s="290"/>
      <c r="N155" s="290"/>
      <c r="O155" s="290"/>
      <c r="P155" s="290"/>
      <c r="Q155" s="290"/>
      <c r="R155" s="288"/>
      <c r="S155" s="289"/>
    </row>
    <row r="156" spans="11:19">
      <c r="K156" s="290"/>
      <c r="L156" s="290"/>
      <c r="M156" s="290"/>
      <c r="N156" s="290"/>
      <c r="O156" s="290"/>
      <c r="P156" s="290"/>
      <c r="Q156" s="290"/>
      <c r="R156" s="288"/>
      <c r="S156" s="289"/>
    </row>
    <row r="157" spans="11:19">
      <c r="K157" s="290"/>
      <c r="L157" s="290"/>
      <c r="M157" s="290"/>
      <c r="N157" s="290"/>
      <c r="O157" s="290"/>
      <c r="P157" s="290"/>
      <c r="Q157" s="290"/>
      <c r="R157" s="288"/>
      <c r="S157" s="289"/>
    </row>
    <row r="158" spans="11:19">
      <c r="K158" s="290"/>
      <c r="L158" s="290"/>
      <c r="M158" s="290"/>
      <c r="N158" s="290"/>
      <c r="O158" s="290"/>
      <c r="P158" s="290"/>
      <c r="Q158" s="290"/>
      <c r="R158" s="288"/>
      <c r="S158" s="289"/>
    </row>
    <row r="159" spans="11:19">
      <c r="K159" s="290"/>
      <c r="L159" s="290"/>
      <c r="M159" s="290"/>
      <c r="N159" s="290"/>
      <c r="O159" s="290"/>
      <c r="P159" s="290"/>
      <c r="Q159" s="290"/>
      <c r="R159" s="288"/>
      <c r="S159" s="289"/>
    </row>
    <row r="160" spans="11:19">
      <c r="K160" s="290"/>
      <c r="L160" s="290"/>
      <c r="M160" s="290"/>
      <c r="N160" s="290"/>
      <c r="O160" s="290"/>
      <c r="P160" s="290"/>
      <c r="Q160" s="290"/>
      <c r="R160" s="288"/>
      <c r="S160" s="289"/>
    </row>
    <row r="161" spans="11:19">
      <c r="K161" s="290"/>
      <c r="L161" s="290"/>
      <c r="M161" s="290"/>
      <c r="N161" s="290"/>
      <c r="O161" s="290"/>
      <c r="P161" s="290"/>
      <c r="Q161" s="290"/>
      <c r="R161" s="288"/>
      <c r="S161" s="289"/>
    </row>
    <row r="162" spans="11:19">
      <c r="K162" s="290"/>
      <c r="L162" s="290"/>
      <c r="M162" s="290"/>
      <c r="N162" s="290"/>
      <c r="O162" s="290"/>
      <c r="P162" s="290"/>
      <c r="Q162" s="290"/>
      <c r="R162" s="288"/>
      <c r="S162" s="289"/>
    </row>
    <row r="163" spans="11:19">
      <c r="K163" s="290"/>
      <c r="L163" s="290"/>
      <c r="M163" s="290"/>
      <c r="N163" s="290"/>
      <c r="O163" s="290"/>
      <c r="P163" s="290"/>
      <c r="Q163" s="290"/>
      <c r="R163" s="288"/>
      <c r="S163" s="289"/>
    </row>
    <row r="164" spans="11:19">
      <c r="K164" s="290"/>
      <c r="L164" s="290"/>
      <c r="M164" s="290"/>
      <c r="N164" s="290"/>
      <c r="O164" s="290"/>
      <c r="P164" s="290"/>
      <c r="Q164" s="290"/>
      <c r="R164" s="288"/>
      <c r="S164" s="289"/>
    </row>
    <row r="165" spans="11:19">
      <c r="K165" s="290"/>
      <c r="L165" s="290"/>
      <c r="M165" s="290"/>
      <c r="N165" s="290"/>
      <c r="O165" s="290"/>
      <c r="P165" s="290"/>
      <c r="Q165" s="290"/>
      <c r="R165" s="288"/>
      <c r="S165" s="289"/>
    </row>
    <row r="166" spans="11:19">
      <c r="K166" s="290"/>
      <c r="L166" s="290"/>
      <c r="M166" s="290"/>
      <c r="N166" s="290"/>
      <c r="O166" s="290"/>
      <c r="P166" s="290"/>
      <c r="Q166" s="290"/>
      <c r="R166" s="288"/>
      <c r="S166" s="289"/>
    </row>
    <row r="167" spans="11:19">
      <c r="K167" s="290"/>
      <c r="L167" s="290"/>
      <c r="M167" s="290"/>
      <c r="N167" s="290"/>
      <c r="O167" s="290"/>
      <c r="P167" s="290"/>
      <c r="Q167" s="290"/>
      <c r="R167" s="288"/>
      <c r="S167" s="289"/>
    </row>
    <row r="168" spans="11:19">
      <c r="K168" s="290"/>
      <c r="L168" s="290"/>
      <c r="M168" s="290"/>
      <c r="N168" s="290"/>
      <c r="O168" s="290"/>
      <c r="P168" s="290"/>
      <c r="Q168" s="290"/>
      <c r="R168" s="288"/>
      <c r="S168" s="289"/>
    </row>
    <row r="169" spans="11:19">
      <c r="K169" s="290"/>
      <c r="L169" s="290"/>
      <c r="M169" s="290"/>
      <c r="N169" s="290"/>
      <c r="O169" s="290"/>
      <c r="P169" s="290"/>
      <c r="Q169" s="290"/>
      <c r="R169" s="288"/>
      <c r="S169" s="289"/>
    </row>
    <row r="170" spans="11:19">
      <c r="K170" s="290"/>
      <c r="L170" s="290"/>
      <c r="M170" s="290"/>
      <c r="N170" s="290"/>
      <c r="O170" s="290"/>
      <c r="P170" s="290"/>
      <c r="Q170" s="290"/>
      <c r="R170" s="288"/>
      <c r="S170" s="289"/>
    </row>
    <row r="171" spans="11:19">
      <c r="K171" s="290"/>
      <c r="L171" s="290"/>
      <c r="M171" s="290"/>
      <c r="N171" s="290"/>
      <c r="O171" s="290"/>
      <c r="P171" s="290"/>
      <c r="Q171" s="290"/>
      <c r="R171" s="288"/>
      <c r="S171" s="289"/>
    </row>
    <row r="172" spans="11:19">
      <c r="K172" s="290"/>
      <c r="L172" s="290"/>
      <c r="M172" s="290"/>
      <c r="N172" s="290"/>
      <c r="O172" s="290"/>
      <c r="P172" s="290"/>
      <c r="Q172" s="290"/>
      <c r="R172" s="288"/>
      <c r="S172" s="289"/>
    </row>
    <row r="173" spans="11:19">
      <c r="K173" s="290"/>
      <c r="L173" s="290"/>
      <c r="M173" s="290"/>
      <c r="N173" s="290"/>
      <c r="O173" s="290"/>
      <c r="P173" s="290"/>
      <c r="Q173" s="290"/>
      <c r="R173" s="288"/>
      <c r="S173" s="289"/>
    </row>
    <row r="174" spans="11:19">
      <c r="K174" s="290"/>
      <c r="L174" s="290"/>
      <c r="M174" s="290"/>
      <c r="N174" s="290"/>
      <c r="O174" s="290"/>
      <c r="P174" s="290"/>
      <c r="Q174" s="290"/>
      <c r="R174" s="288"/>
      <c r="S174" s="289"/>
    </row>
    <row r="175" spans="11:19">
      <c r="K175" s="290"/>
      <c r="L175" s="290"/>
      <c r="M175" s="290"/>
      <c r="N175" s="290"/>
      <c r="O175" s="290"/>
      <c r="P175" s="290"/>
      <c r="Q175" s="290"/>
      <c r="R175" s="288"/>
      <c r="S175" s="289"/>
    </row>
    <row r="176" spans="11:19">
      <c r="K176" s="290"/>
      <c r="L176" s="290"/>
      <c r="M176" s="290"/>
      <c r="N176" s="290"/>
      <c r="O176" s="290"/>
      <c r="P176" s="290"/>
      <c r="Q176" s="290"/>
      <c r="R176" s="288"/>
      <c r="S176" s="289"/>
    </row>
    <row r="177" spans="11:19">
      <c r="K177" s="290"/>
      <c r="L177" s="290"/>
      <c r="M177" s="290"/>
      <c r="N177" s="290"/>
      <c r="O177" s="290"/>
      <c r="P177" s="290"/>
      <c r="Q177" s="290"/>
      <c r="R177" s="288"/>
      <c r="S177" s="289"/>
    </row>
    <row r="178" spans="11:19">
      <c r="K178" s="290"/>
      <c r="L178" s="290"/>
      <c r="M178" s="290"/>
      <c r="N178" s="290"/>
      <c r="O178" s="290"/>
      <c r="P178" s="290"/>
      <c r="Q178" s="290"/>
      <c r="R178" s="288"/>
      <c r="S178" s="289"/>
    </row>
    <row r="179" spans="11:19">
      <c r="K179" s="290"/>
      <c r="L179" s="290"/>
      <c r="M179" s="290"/>
      <c r="N179" s="290"/>
      <c r="O179" s="290"/>
      <c r="P179" s="290"/>
      <c r="Q179" s="290"/>
      <c r="R179" s="288"/>
      <c r="S179" s="289"/>
    </row>
    <row r="180" spans="11:19">
      <c r="K180" s="290"/>
      <c r="L180" s="290"/>
      <c r="M180" s="290"/>
      <c r="N180" s="290"/>
      <c r="O180" s="290"/>
      <c r="P180" s="290"/>
      <c r="Q180" s="290"/>
      <c r="R180" s="288"/>
      <c r="S180" s="289"/>
    </row>
    <row r="181" spans="11:19">
      <c r="K181" s="290"/>
      <c r="L181" s="290"/>
      <c r="M181" s="290"/>
      <c r="N181" s="290"/>
      <c r="O181" s="290"/>
      <c r="P181" s="290"/>
      <c r="Q181" s="290"/>
      <c r="R181" s="288"/>
      <c r="S181" s="289"/>
    </row>
    <row r="182" spans="11:19">
      <c r="K182" s="290"/>
      <c r="L182" s="290"/>
      <c r="M182" s="290"/>
      <c r="N182" s="290"/>
      <c r="O182" s="290"/>
      <c r="P182" s="290"/>
      <c r="Q182" s="290"/>
      <c r="R182" s="288"/>
      <c r="S182" s="289"/>
    </row>
    <row r="183" spans="11:19">
      <c r="K183" s="290"/>
      <c r="L183" s="290"/>
      <c r="M183" s="290"/>
      <c r="N183" s="290"/>
      <c r="O183" s="290"/>
      <c r="P183" s="290"/>
      <c r="Q183" s="290"/>
      <c r="R183" s="288"/>
      <c r="S183" s="289"/>
    </row>
    <row r="184" spans="11:19">
      <c r="K184" s="290"/>
      <c r="L184" s="290"/>
      <c r="M184" s="290"/>
      <c r="N184" s="290"/>
      <c r="O184" s="290"/>
      <c r="P184" s="290"/>
      <c r="Q184" s="290"/>
      <c r="R184" s="288"/>
      <c r="S184" s="289"/>
    </row>
    <row r="185" spans="11:19">
      <c r="K185" s="290"/>
      <c r="L185" s="290"/>
      <c r="M185" s="290"/>
      <c r="N185" s="290"/>
      <c r="O185" s="290"/>
      <c r="P185" s="290"/>
      <c r="Q185" s="290"/>
      <c r="R185" s="288"/>
      <c r="S185" s="289"/>
    </row>
    <row r="186" spans="11:19">
      <c r="K186" s="290"/>
      <c r="L186" s="290"/>
      <c r="M186" s="290"/>
      <c r="N186" s="290"/>
      <c r="O186" s="290"/>
      <c r="P186" s="290"/>
      <c r="Q186" s="290"/>
      <c r="R186" s="288"/>
      <c r="S186" s="289"/>
    </row>
    <row r="187" spans="11:19">
      <c r="K187" s="290"/>
      <c r="L187" s="290"/>
      <c r="M187" s="290"/>
      <c r="N187" s="290"/>
      <c r="O187" s="290"/>
      <c r="P187" s="290"/>
      <c r="Q187" s="290"/>
      <c r="R187" s="288"/>
      <c r="S187" s="289"/>
    </row>
    <row r="188" spans="11:19">
      <c r="K188" s="290"/>
      <c r="L188" s="290"/>
      <c r="M188" s="290"/>
      <c r="N188" s="290"/>
      <c r="O188" s="290"/>
      <c r="P188" s="290"/>
      <c r="Q188" s="290"/>
      <c r="R188" s="288"/>
      <c r="S188" s="289"/>
    </row>
    <row r="189" spans="11:19">
      <c r="K189" s="290"/>
      <c r="L189" s="290"/>
      <c r="M189" s="290"/>
      <c r="N189" s="290"/>
      <c r="O189" s="290"/>
      <c r="P189" s="290"/>
      <c r="Q189" s="290"/>
      <c r="R189" s="288"/>
      <c r="S189" s="289"/>
    </row>
    <row r="190" spans="11:19">
      <c r="K190" s="290"/>
      <c r="L190" s="290"/>
      <c r="M190" s="290"/>
      <c r="N190" s="290"/>
      <c r="O190" s="290"/>
      <c r="P190" s="290"/>
      <c r="Q190" s="290"/>
      <c r="R190" s="288"/>
      <c r="S190" s="289"/>
    </row>
    <row r="191" spans="11:19">
      <c r="K191" s="290"/>
      <c r="L191" s="290"/>
      <c r="M191" s="290"/>
      <c r="N191" s="290"/>
      <c r="O191" s="290"/>
      <c r="P191" s="290"/>
      <c r="Q191" s="290"/>
      <c r="R191" s="288"/>
      <c r="S191" s="289"/>
    </row>
    <row r="192" spans="11:19">
      <c r="K192" s="290"/>
      <c r="L192" s="290"/>
      <c r="M192" s="290"/>
      <c r="N192" s="290"/>
      <c r="O192" s="290"/>
      <c r="P192" s="290"/>
      <c r="Q192" s="290"/>
      <c r="R192" s="288"/>
      <c r="S192" s="289"/>
    </row>
    <row r="193" spans="11:19">
      <c r="K193" s="290"/>
      <c r="L193" s="290"/>
      <c r="M193" s="290"/>
      <c r="N193" s="290"/>
      <c r="O193" s="290"/>
      <c r="P193" s="290"/>
      <c r="Q193" s="290"/>
      <c r="R193" s="288"/>
      <c r="S193" s="289"/>
    </row>
    <row r="194" spans="11:19">
      <c r="K194" s="290"/>
      <c r="L194" s="290"/>
      <c r="M194" s="290"/>
      <c r="N194" s="290"/>
      <c r="O194" s="290"/>
      <c r="P194" s="290"/>
      <c r="Q194" s="290"/>
      <c r="R194" s="288"/>
      <c r="S194" s="289"/>
    </row>
    <row r="195" spans="11:19">
      <c r="K195" s="290"/>
      <c r="L195" s="290"/>
      <c r="M195" s="290"/>
      <c r="N195" s="290"/>
      <c r="O195" s="290"/>
      <c r="P195" s="290"/>
      <c r="Q195" s="290"/>
      <c r="R195" s="288"/>
      <c r="S195" s="289"/>
    </row>
    <row r="196" spans="11:19">
      <c r="K196" s="290"/>
      <c r="L196" s="290"/>
      <c r="M196" s="290"/>
      <c r="N196" s="290"/>
      <c r="O196" s="290"/>
      <c r="P196" s="290"/>
      <c r="Q196" s="290"/>
      <c r="R196" s="288"/>
      <c r="S196" s="289"/>
    </row>
    <row r="197" spans="11:19">
      <c r="K197" s="290"/>
      <c r="L197" s="290"/>
      <c r="M197" s="290"/>
      <c r="N197" s="290"/>
      <c r="O197" s="290"/>
      <c r="P197" s="290"/>
      <c r="Q197" s="290"/>
      <c r="R197" s="288"/>
      <c r="S197" s="289"/>
    </row>
    <row r="198" spans="11:19">
      <c r="K198" s="290"/>
      <c r="L198" s="290"/>
      <c r="M198" s="290"/>
      <c r="N198" s="290"/>
      <c r="O198" s="290"/>
      <c r="P198" s="290"/>
      <c r="Q198" s="290"/>
      <c r="R198" s="288"/>
      <c r="S198" s="289"/>
    </row>
    <row r="199" spans="11:19">
      <c r="K199" s="290"/>
      <c r="L199" s="290"/>
      <c r="M199" s="290"/>
      <c r="N199" s="290"/>
      <c r="O199" s="290"/>
      <c r="P199" s="290"/>
      <c r="Q199" s="290"/>
      <c r="R199" s="288"/>
      <c r="S199" s="289"/>
    </row>
    <row r="200" spans="11:19">
      <c r="K200" s="290"/>
      <c r="L200" s="290"/>
      <c r="M200" s="290"/>
      <c r="N200" s="290"/>
      <c r="O200" s="290"/>
      <c r="P200" s="290"/>
      <c r="Q200" s="290"/>
      <c r="R200" s="288"/>
      <c r="S200" s="289"/>
    </row>
    <row r="201" spans="11:19">
      <c r="K201" s="290"/>
      <c r="L201" s="290"/>
      <c r="M201" s="290"/>
      <c r="N201" s="290"/>
      <c r="O201" s="290"/>
      <c r="P201" s="290"/>
      <c r="Q201" s="290"/>
      <c r="R201" s="288"/>
      <c r="S201" s="289"/>
    </row>
    <row r="202" spans="11:19">
      <c r="K202" s="290"/>
      <c r="L202" s="290"/>
      <c r="M202" s="290"/>
      <c r="N202" s="290"/>
      <c r="O202" s="290"/>
      <c r="P202" s="290"/>
      <c r="Q202" s="290"/>
      <c r="R202" s="288"/>
      <c r="S202" s="289"/>
    </row>
    <row r="203" spans="11:19">
      <c r="K203" s="290"/>
      <c r="L203" s="290"/>
      <c r="M203" s="290"/>
      <c r="N203" s="290"/>
      <c r="O203" s="290"/>
      <c r="P203" s="290"/>
      <c r="Q203" s="290"/>
      <c r="R203" s="288"/>
      <c r="S203" s="289"/>
    </row>
    <row r="204" spans="11:19">
      <c r="K204" s="290"/>
      <c r="L204" s="290"/>
      <c r="M204" s="290"/>
      <c r="N204" s="290"/>
      <c r="O204" s="290"/>
      <c r="P204" s="290"/>
      <c r="Q204" s="290"/>
      <c r="R204" s="288"/>
      <c r="S204" s="289"/>
    </row>
    <row r="205" spans="11:19">
      <c r="K205" s="290"/>
      <c r="L205" s="290"/>
      <c r="M205" s="290"/>
      <c r="N205" s="290"/>
      <c r="O205" s="290"/>
      <c r="P205" s="290"/>
      <c r="Q205" s="290"/>
      <c r="R205" s="288"/>
      <c r="S205" s="289"/>
    </row>
    <row r="206" spans="11:19">
      <c r="K206" s="290"/>
      <c r="L206" s="290"/>
      <c r="M206" s="290"/>
      <c r="N206" s="290"/>
      <c r="O206" s="290"/>
      <c r="P206" s="290"/>
      <c r="Q206" s="290"/>
      <c r="R206" s="288"/>
      <c r="S206" s="289"/>
    </row>
    <row r="207" spans="11:19">
      <c r="K207" s="290"/>
      <c r="L207" s="290"/>
      <c r="M207" s="290"/>
      <c r="N207" s="290"/>
      <c r="O207" s="290"/>
      <c r="P207" s="290"/>
      <c r="Q207" s="290"/>
      <c r="R207" s="288"/>
      <c r="S207" s="289"/>
    </row>
    <row r="208" spans="11:19">
      <c r="K208" s="290"/>
      <c r="L208" s="290"/>
      <c r="M208" s="290"/>
      <c r="N208" s="290"/>
      <c r="O208" s="290"/>
      <c r="P208" s="290"/>
      <c r="Q208" s="290"/>
      <c r="R208" s="288"/>
      <c r="S208" s="289"/>
    </row>
    <row r="209" spans="11:19">
      <c r="K209" s="290"/>
      <c r="L209" s="290"/>
      <c r="M209" s="290"/>
      <c r="N209" s="290"/>
      <c r="O209" s="290"/>
      <c r="P209" s="290"/>
      <c r="Q209" s="290"/>
      <c r="R209" s="288"/>
      <c r="S209" s="289"/>
    </row>
    <row r="210" spans="11:19">
      <c r="K210" s="290"/>
      <c r="L210" s="290"/>
      <c r="M210" s="290"/>
      <c r="N210" s="290"/>
      <c r="O210" s="290"/>
      <c r="P210" s="290"/>
      <c r="Q210" s="290"/>
      <c r="R210" s="288"/>
      <c r="S210" s="289"/>
    </row>
    <row r="211" spans="11:19">
      <c r="K211" s="290"/>
      <c r="L211" s="290"/>
      <c r="M211" s="290"/>
      <c r="N211" s="290"/>
      <c r="O211" s="290"/>
      <c r="P211" s="290"/>
      <c r="Q211" s="290"/>
      <c r="R211" s="288"/>
      <c r="S211" s="289"/>
    </row>
    <row r="212" spans="11:19">
      <c r="K212" s="290"/>
      <c r="L212" s="290"/>
      <c r="M212" s="290"/>
      <c r="N212" s="290"/>
      <c r="O212" s="290"/>
      <c r="P212" s="290"/>
      <c r="Q212" s="290"/>
      <c r="R212" s="288"/>
      <c r="S212" s="289"/>
    </row>
    <row r="213" spans="11:19">
      <c r="K213" s="290"/>
      <c r="L213" s="290"/>
      <c r="M213" s="290"/>
      <c r="N213" s="290"/>
      <c r="O213" s="290"/>
      <c r="P213" s="290"/>
      <c r="Q213" s="290"/>
      <c r="R213" s="288"/>
      <c r="S213" s="289"/>
    </row>
    <row r="214" spans="11:19">
      <c r="K214" s="290"/>
      <c r="L214" s="290"/>
      <c r="M214" s="290"/>
      <c r="N214" s="290"/>
      <c r="O214" s="290"/>
      <c r="P214" s="290"/>
      <c r="Q214" s="290"/>
      <c r="R214" s="288"/>
      <c r="S214" s="289"/>
    </row>
    <row r="215" spans="11:19">
      <c r="K215" s="290"/>
      <c r="L215" s="290"/>
      <c r="M215" s="290"/>
      <c r="N215" s="290"/>
      <c r="O215" s="290"/>
      <c r="P215" s="290"/>
      <c r="Q215" s="290"/>
      <c r="R215" s="288"/>
      <c r="S215" s="289"/>
    </row>
    <row r="216" spans="11:19">
      <c r="K216" s="290"/>
      <c r="L216" s="290"/>
      <c r="M216" s="290"/>
      <c r="N216" s="290"/>
      <c r="O216" s="290"/>
      <c r="P216" s="290"/>
      <c r="Q216" s="290"/>
      <c r="R216" s="288"/>
      <c r="S216" s="289"/>
    </row>
    <row r="217" spans="11:19">
      <c r="K217" s="290"/>
      <c r="L217" s="290"/>
      <c r="M217" s="290"/>
      <c r="N217" s="290"/>
      <c r="O217" s="290"/>
      <c r="P217" s="290"/>
      <c r="Q217" s="290"/>
      <c r="R217" s="288"/>
      <c r="S217" s="289"/>
    </row>
    <row r="218" spans="11:19">
      <c r="K218" s="290"/>
      <c r="L218" s="290"/>
      <c r="M218" s="290"/>
      <c r="N218" s="290"/>
      <c r="O218" s="290"/>
      <c r="P218" s="290"/>
      <c r="Q218" s="290"/>
      <c r="R218" s="288"/>
      <c r="S218" s="289"/>
    </row>
    <row r="219" spans="11:19">
      <c r="K219" s="290"/>
      <c r="L219" s="290"/>
      <c r="M219" s="290"/>
      <c r="N219" s="290"/>
      <c r="O219" s="290"/>
      <c r="P219" s="290"/>
      <c r="Q219" s="290"/>
      <c r="R219" s="288"/>
      <c r="S219" s="289"/>
    </row>
    <row r="220" spans="11:19">
      <c r="K220" s="290"/>
      <c r="L220" s="290"/>
      <c r="M220" s="290"/>
      <c r="N220" s="290"/>
      <c r="O220" s="290"/>
      <c r="P220" s="290"/>
      <c r="Q220" s="290"/>
      <c r="R220" s="288"/>
      <c r="S220" s="289"/>
    </row>
    <row r="221" spans="11:19">
      <c r="K221" s="290"/>
      <c r="L221" s="290"/>
      <c r="M221" s="290"/>
      <c r="N221" s="290"/>
      <c r="O221" s="290"/>
      <c r="P221" s="290"/>
      <c r="Q221" s="290"/>
      <c r="R221" s="288"/>
      <c r="S221" s="289"/>
    </row>
    <row r="222" spans="11:19">
      <c r="K222" s="290"/>
      <c r="L222" s="290"/>
      <c r="M222" s="290"/>
      <c r="N222" s="290"/>
      <c r="O222" s="290"/>
      <c r="P222" s="290"/>
      <c r="Q222" s="290"/>
      <c r="R222" s="288"/>
      <c r="S222" s="289"/>
    </row>
    <row r="223" spans="11:19">
      <c r="K223" s="290"/>
      <c r="L223" s="290"/>
      <c r="M223" s="290"/>
      <c r="N223" s="290"/>
      <c r="O223" s="290"/>
      <c r="P223" s="290"/>
      <c r="Q223" s="290"/>
      <c r="R223" s="288"/>
      <c r="S223" s="289"/>
    </row>
    <row r="224" spans="11:19">
      <c r="K224" s="290"/>
      <c r="L224" s="290"/>
      <c r="M224" s="290"/>
      <c r="N224" s="290"/>
      <c r="O224" s="290"/>
      <c r="P224" s="290"/>
      <c r="Q224" s="290"/>
      <c r="R224" s="288"/>
      <c r="S224" s="289"/>
    </row>
    <row r="225" spans="11:19">
      <c r="K225" s="290"/>
      <c r="L225" s="290"/>
      <c r="M225" s="290"/>
      <c r="N225" s="290"/>
      <c r="O225" s="290"/>
      <c r="P225" s="290"/>
      <c r="Q225" s="290"/>
      <c r="R225" s="288"/>
      <c r="S225" s="289"/>
    </row>
    <row r="226" spans="11:19">
      <c r="K226" s="290"/>
      <c r="L226" s="290"/>
      <c r="M226" s="290"/>
      <c r="N226" s="290"/>
      <c r="O226" s="290"/>
      <c r="P226" s="290"/>
      <c r="Q226" s="290"/>
      <c r="R226" s="288"/>
      <c r="S226" s="289"/>
    </row>
    <row r="227" spans="11:19">
      <c r="K227" s="290"/>
      <c r="L227" s="290"/>
      <c r="M227" s="290"/>
      <c r="N227" s="290"/>
      <c r="O227" s="290"/>
      <c r="P227" s="290"/>
      <c r="Q227" s="290"/>
      <c r="R227" s="288"/>
      <c r="S227" s="289"/>
    </row>
    <row r="228" spans="11:19">
      <c r="K228" s="290"/>
      <c r="L228" s="290"/>
      <c r="M228" s="290"/>
      <c r="N228" s="290"/>
      <c r="O228" s="290"/>
      <c r="P228" s="290"/>
      <c r="Q228" s="290"/>
      <c r="R228" s="288"/>
      <c r="S228" s="289"/>
    </row>
    <row r="229" spans="11:19">
      <c r="K229" s="290"/>
      <c r="L229" s="290"/>
      <c r="M229" s="290"/>
      <c r="N229" s="290"/>
      <c r="O229" s="290"/>
      <c r="P229" s="290"/>
      <c r="Q229" s="290"/>
      <c r="R229" s="288"/>
      <c r="S229" s="289"/>
    </row>
    <row r="230" spans="11:19">
      <c r="K230" s="290"/>
      <c r="L230" s="290"/>
      <c r="M230" s="290"/>
      <c r="N230" s="290"/>
      <c r="O230" s="290"/>
      <c r="P230" s="290"/>
      <c r="Q230" s="290"/>
      <c r="R230" s="288"/>
      <c r="S230" s="289"/>
    </row>
    <row r="231" spans="11:19">
      <c r="K231" s="290"/>
      <c r="L231" s="290"/>
      <c r="M231" s="290"/>
      <c r="N231" s="290"/>
      <c r="O231" s="290"/>
      <c r="P231" s="290"/>
      <c r="Q231" s="290"/>
      <c r="R231" s="288"/>
      <c r="S231" s="289"/>
    </row>
    <row r="232" spans="11:19">
      <c r="K232" s="290"/>
      <c r="L232" s="290"/>
      <c r="M232" s="290"/>
      <c r="N232" s="290"/>
      <c r="O232" s="290"/>
      <c r="P232" s="290"/>
      <c r="Q232" s="290"/>
      <c r="R232" s="288"/>
      <c r="S232" s="289"/>
    </row>
    <row r="233" spans="11:19">
      <c r="K233" s="290"/>
      <c r="L233" s="290"/>
      <c r="M233" s="290"/>
      <c r="N233" s="290"/>
      <c r="O233" s="290"/>
      <c r="P233" s="290"/>
      <c r="Q233" s="290"/>
      <c r="R233" s="288"/>
      <c r="S233" s="289"/>
    </row>
    <row r="234" spans="11:19">
      <c r="K234" s="290"/>
      <c r="L234" s="290"/>
      <c r="M234" s="290"/>
      <c r="N234" s="290"/>
      <c r="O234" s="290"/>
      <c r="P234" s="290"/>
      <c r="Q234" s="290"/>
      <c r="R234" s="288"/>
      <c r="S234" s="289"/>
    </row>
    <row r="235" spans="11:19">
      <c r="K235" s="290"/>
      <c r="L235" s="290"/>
      <c r="M235" s="290"/>
      <c r="N235" s="290"/>
      <c r="O235" s="290"/>
      <c r="P235" s="290"/>
      <c r="Q235" s="290"/>
      <c r="R235" s="288"/>
      <c r="S235" s="289"/>
    </row>
    <row r="236" spans="11:19">
      <c r="K236" s="290"/>
      <c r="L236" s="290"/>
      <c r="M236" s="290"/>
      <c r="N236" s="290"/>
      <c r="O236" s="290"/>
      <c r="P236" s="290"/>
      <c r="Q236" s="290"/>
      <c r="R236" s="288"/>
      <c r="S236" s="289"/>
    </row>
    <row r="237" spans="11:19">
      <c r="K237" s="290"/>
      <c r="L237" s="290"/>
      <c r="M237" s="290"/>
      <c r="N237" s="290"/>
      <c r="O237" s="290"/>
      <c r="P237" s="290"/>
      <c r="Q237" s="290"/>
      <c r="R237" s="288"/>
      <c r="S237" s="289"/>
    </row>
    <row r="238" spans="11:19">
      <c r="K238" s="290"/>
      <c r="L238" s="290"/>
      <c r="M238" s="290"/>
      <c r="N238" s="290"/>
      <c r="O238" s="290"/>
      <c r="P238" s="290"/>
      <c r="Q238" s="290"/>
      <c r="R238" s="288"/>
      <c r="S238" s="289"/>
    </row>
    <row r="239" spans="11:19">
      <c r="K239" s="290"/>
      <c r="L239" s="290"/>
      <c r="M239" s="290"/>
      <c r="N239" s="290"/>
      <c r="O239" s="290"/>
      <c r="P239" s="290"/>
      <c r="Q239" s="290"/>
      <c r="R239" s="288"/>
      <c r="S239" s="289"/>
    </row>
    <row r="240" spans="11:19">
      <c r="K240" s="290"/>
      <c r="L240" s="290"/>
      <c r="M240" s="290"/>
      <c r="N240" s="290"/>
      <c r="O240" s="290"/>
      <c r="P240" s="290"/>
      <c r="Q240" s="290"/>
      <c r="R240" s="288"/>
      <c r="S240" s="289"/>
    </row>
    <row r="241" spans="11:19">
      <c r="K241" s="290"/>
      <c r="L241" s="290"/>
      <c r="M241" s="290"/>
      <c r="N241" s="290"/>
      <c r="O241" s="290"/>
      <c r="P241" s="290"/>
      <c r="Q241" s="290"/>
      <c r="R241" s="288"/>
      <c r="S241" s="289"/>
    </row>
    <row r="242" spans="11:19">
      <c r="K242" s="290"/>
      <c r="L242" s="290"/>
      <c r="M242" s="290"/>
      <c r="N242" s="290"/>
      <c r="O242" s="290"/>
      <c r="P242" s="290"/>
      <c r="Q242" s="290"/>
      <c r="R242" s="288"/>
      <c r="S242" s="289"/>
    </row>
    <row r="243" spans="11:19">
      <c r="K243" s="290"/>
      <c r="L243" s="290"/>
      <c r="M243" s="290"/>
      <c r="N243" s="290"/>
      <c r="O243" s="290"/>
      <c r="P243" s="290"/>
      <c r="Q243" s="290"/>
      <c r="R243" s="288"/>
      <c r="S243" s="289"/>
    </row>
    <row r="244" spans="11:19">
      <c r="K244" s="290"/>
      <c r="L244" s="290"/>
      <c r="M244" s="290"/>
      <c r="N244" s="290"/>
      <c r="O244" s="290"/>
      <c r="P244" s="290"/>
      <c r="Q244" s="290"/>
      <c r="R244" s="288"/>
      <c r="S244" s="289"/>
    </row>
    <row r="245" spans="11:19">
      <c r="K245" s="290"/>
      <c r="L245" s="290"/>
      <c r="M245" s="290"/>
      <c r="N245" s="290"/>
      <c r="O245" s="290"/>
      <c r="P245" s="290"/>
      <c r="Q245" s="290"/>
      <c r="R245" s="288"/>
      <c r="S245" s="289"/>
    </row>
    <row r="246" spans="11:19">
      <c r="K246" s="290"/>
      <c r="L246" s="290"/>
      <c r="M246" s="290"/>
      <c r="N246" s="290"/>
      <c r="O246" s="290"/>
      <c r="P246" s="290"/>
      <c r="Q246" s="290"/>
      <c r="R246" s="288"/>
      <c r="S246" s="289"/>
    </row>
    <row r="247" spans="11:19">
      <c r="K247" s="290"/>
      <c r="L247" s="290"/>
      <c r="M247" s="290"/>
      <c r="N247" s="290"/>
      <c r="O247" s="290"/>
      <c r="P247" s="290"/>
      <c r="Q247" s="290"/>
      <c r="R247" s="288"/>
      <c r="S247" s="289"/>
    </row>
    <row r="248" spans="11:19">
      <c r="K248" s="290"/>
      <c r="L248" s="290"/>
      <c r="M248" s="290"/>
      <c r="N248" s="290"/>
      <c r="O248" s="290"/>
      <c r="P248" s="290"/>
      <c r="Q248" s="290"/>
      <c r="R248" s="288"/>
      <c r="S248" s="289"/>
    </row>
    <row r="249" spans="11:19">
      <c r="K249" s="290"/>
      <c r="L249" s="290"/>
      <c r="M249" s="290"/>
      <c r="N249" s="290"/>
      <c r="O249" s="290"/>
      <c r="P249" s="290"/>
      <c r="Q249" s="290"/>
      <c r="R249" s="288"/>
      <c r="S249" s="289"/>
    </row>
    <row r="250" spans="11:19">
      <c r="K250" s="290"/>
      <c r="L250" s="290"/>
      <c r="M250" s="290"/>
      <c r="N250" s="290"/>
      <c r="O250" s="290"/>
      <c r="P250" s="290"/>
      <c r="Q250" s="290"/>
      <c r="R250" s="288"/>
      <c r="S250" s="289"/>
    </row>
    <row r="251" spans="11:19">
      <c r="K251" s="290"/>
      <c r="L251" s="290"/>
      <c r="M251" s="290"/>
      <c r="N251" s="290"/>
      <c r="O251" s="290"/>
      <c r="P251" s="290"/>
      <c r="Q251" s="290"/>
      <c r="R251" s="288"/>
      <c r="S251" s="289"/>
    </row>
    <row r="252" spans="11:19">
      <c r="K252" s="290"/>
      <c r="L252" s="290"/>
      <c r="M252" s="290"/>
      <c r="N252" s="290"/>
      <c r="O252" s="290"/>
      <c r="P252" s="290"/>
      <c r="Q252" s="290"/>
      <c r="R252" s="288"/>
      <c r="S252" s="289"/>
    </row>
    <row r="253" spans="11:19">
      <c r="K253" s="290"/>
      <c r="L253" s="290"/>
      <c r="M253" s="290"/>
      <c r="N253" s="290"/>
      <c r="O253" s="290"/>
      <c r="P253" s="290"/>
      <c r="Q253" s="290"/>
      <c r="R253" s="288"/>
      <c r="S253" s="289"/>
    </row>
    <row r="254" spans="11:19">
      <c r="K254" s="290"/>
      <c r="L254" s="290"/>
      <c r="M254" s="290"/>
      <c r="N254" s="290"/>
      <c r="O254" s="290"/>
      <c r="P254" s="290"/>
      <c r="Q254" s="290"/>
      <c r="R254" s="288"/>
      <c r="S254" s="289"/>
    </row>
    <row r="255" spans="11:19">
      <c r="K255" s="290"/>
      <c r="L255" s="290"/>
      <c r="M255" s="290"/>
      <c r="N255" s="290"/>
      <c r="O255" s="290"/>
      <c r="P255" s="290"/>
      <c r="Q255" s="290"/>
      <c r="R255" s="288"/>
      <c r="S255" s="289"/>
    </row>
    <row r="256" spans="11:19">
      <c r="K256" s="290"/>
      <c r="L256" s="290"/>
      <c r="M256" s="290"/>
      <c r="N256" s="290"/>
      <c r="O256" s="290"/>
      <c r="P256" s="290"/>
      <c r="Q256" s="290"/>
      <c r="R256" s="288"/>
      <c r="S256" s="289"/>
    </row>
    <row r="257" spans="11:19">
      <c r="K257" s="290"/>
      <c r="L257" s="290"/>
      <c r="M257" s="290"/>
      <c r="N257" s="290"/>
      <c r="O257" s="290"/>
      <c r="P257" s="290"/>
      <c r="Q257" s="290"/>
      <c r="R257" s="288"/>
      <c r="S257" s="289"/>
    </row>
    <row r="258" spans="11:19">
      <c r="K258" s="290"/>
      <c r="L258" s="290"/>
      <c r="M258" s="290"/>
      <c r="N258" s="290"/>
      <c r="O258" s="290"/>
      <c r="P258" s="290"/>
      <c r="Q258" s="290"/>
      <c r="R258" s="288"/>
      <c r="S258" s="289"/>
    </row>
    <row r="259" spans="11:19">
      <c r="K259" s="290"/>
      <c r="L259" s="290"/>
      <c r="M259" s="290"/>
      <c r="N259" s="290"/>
      <c r="O259" s="290"/>
      <c r="P259" s="290"/>
      <c r="Q259" s="290"/>
      <c r="R259" s="288"/>
      <c r="S259" s="289"/>
    </row>
    <row r="260" spans="11:19">
      <c r="K260" s="290"/>
      <c r="L260" s="290"/>
      <c r="M260" s="290"/>
      <c r="N260" s="290"/>
      <c r="O260" s="290"/>
      <c r="P260" s="290"/>
      <c r="Q260" s="290"/>
      <c r="R260" s="288"/>
      <c r="S260" s="289"/>
    </row>
    <row r="261" spans="11:19">
      <c r="K261" s="290"/>
      <c r="L261" s="290"/>
      <c r="M261" s="290"/>
      <c r="N261" s="290"/>
      <c r="O261" s="290"/>
      <c r="P261" s="290"/>
      <c r="Q261" s="290"/>
      <c r="R261" s="288"/>
      <c r="S261" s="289"/>
    </row>
    <row r="262" spans="11:19">
      <c r="K262" s="290"/>
      <c r="L262" s="290"/>
      <c r="M262" s="290"/>
      <c r="N262" s="290"/>
      <c r="O262" s="290"/>
      <c r="P262" s="290"/>
      <c r="Q262" s="290"/>
      <c r="R262" s="288"/>
      <c r="S262" s="289"/>
    </row>
    <row r="263" spans="11:19">
      <c r="K263" s="290"/>
      <c r="L263" s="290"/>
      <c r="M263" s="290"/>
      <c r="N263" s="290"/>
      <c r="O263" s="290"/>
      <c r="P263" s="290"/>
      <c r="Q263" s="290"/>
      <c r="R263" s="288"/>
      <c r="S263" s="289"/>
    </row>
    <row r="264" spans="11:19">
      <c r="K264" s="290"/>
      <c r="L264" s="290"/>
      <c r="M264" s="290"/>
      <c r="N264" s="290"/>
      <c r="O264" s="290"/>
      <c r="P264" s="290"/>
      <c r="Q264" s="290"/>
      <c r="R264" s="288"/>
      <c r="S264" s="289"/>
    </row>
    <row r="265" spans="11:19">
      <c r="K265" s="290"/>
      <c r="L265" s="290"/>
      <c r="M265" s="290"/>
      <c r="N265" s="290"/>
      <c r="O265" s="290"/>
      <c r="P265" s="290"/>
      <c r="Q265" s="290"/>
      <c r="R265" s="288"/>
      <c r="S265" s="289"/>
    </row>
    <row r="266" spans="11:19">
      <c r="K266" s="290"/>
      <c r="L266" s="290"/>
      <c r="M266" s="290"/>
      <c r="N266" s="290"/>
      <c r="O266" s="290"/>
      <c r="P266" s="290"/>
      <c r="Q266" s="290"/>
      <c r="R266" s="288"/>
      <c r="S266" s="289"/>
    </row>
    <row r="267" spans="11:19">
      <c r="K267" s="290"/>
      <c r="L267" s="290"/>
      <c r="M267" s="290"/>
      <c r="N267" s="290"/>
      <c r="O267" s="290"/>
      <c r="P267" s="290"/>
      <c r="Q267" s="290"/>
      <c r="R267" s="288"/>
      <c r="S267" s="289"/>
    </row>
    <row r="268" spans="11:19">
      <c r="K268" s="290"/>
      <c r="L268" s="290"/>
      <c r="M268" s="290"/>
      <c r="N268" s="290"/>
      <c r="O268" s="290"/>
      <c r="P268" s="290"/>
      <c r="Q268" s="290"/>
      <c r="R268" s="288"/>
      <c r="S268" s="289"/>
    </row>
    <row r="269" spans="11:19">
      <c r="K269" s="290"/>
      <c r="L269" s="290"/>
      <c r="M269" s="290"/>
      <c r="N269" s="290"/>
      <c r="O269" s="290"/>
      <c r="P269" s="290"/>
      <c r="Q269" s="290"/>
      <c r="R269" s="288"/>
      <c r="S269" s="289"/>
    </row>
    <row r="270" spans="11:19">
      <c r="K270" s="290"/>
      <c r="L270" s="290"/>
      <c r="M270" s="290"/>
      <c r="N270" s="290"/>
      <c r="O270" s="290"/>
      <c r="P270" s="290"/>
      <c r="Q270" s="290"/>
      <c r="R270" s="288"/>
      <c r="S270" s="289"/>
    </row>
    <row r="271" spans="11:19">
      <c r="K271" s="290"/>
      <c r="L271" s="290"/>
      <c r="M271" s="290"/>
      <c r="N271" s="290"/>
      <c r="O271" s="290"/>
      <c r="P271" s="290"/>
      <c r="Q271" s="290"/>
      <c r="R271" s="288"/>
      <c r="S271" s="289"/>
    </row>
    <row r="272" spans="11:19">
      <c r="K272" s="290"/>
      <c r="L272" s="290"/>
      <c r="M272" s="290"/>
      <c r="N272" s="290"/>
      <c r="O272" s="290"/>
      <c r="P272" s="290"/>
      <c r="Q272" s="290"/>
      <c r="R272" s="288"/>
      <c r="S272" s="289"/>
    </row>
    <row r="273" spans="11:19">
      <c r="K273" s="290"/>
      <c r="L273" s="290"/>
      <c r="M273" s="290"/>
      <c r="N273" s="290"/>
      <c r="O273" s="290"/>
      <c r="P273" s="290"/>
      <c r="Q273" s="290"/>
      <c r="R273" s="288"/>
      <c r="S273" s="289"/>
    </row>
    <row r="274" spans="11:19">
      <c r="K274" s="290"/>
      <c r="L274" s="290"/>
      <c r="M274" s="290"/>
      <c r="N274" s="290"/>
      <c r="O274" s="290"/>
      <c r="P274" s="290"/>
      <c r="Q274" s="290"/>
      <c r="R274" s="288"/>
      <c r="S274" s="289"/>
    </row>
    <row r="275" spans="11:19">
      <c r="K275" s="290"/>
      <c r="L275" s="290"/>
      <c r="M275" s="290"/>
      <c r="N275" s="290"/>
      <c r="O275" s="290"/>
      <c r="P275" s="290"/>
      <c r="Q275" s="290"/>
      <c r="R275" s="288"/>
      <c r="S275" s="289"/>
    </row>
    <row r="276" spans="11:19">
      <c r="K276" s="290"/>
      <c r="L276" s="290"/>
      <c r="M276" s="290"/>
      <c r="N276" s="290"/>
      <c r="O276" s="290"/>
      <c r="P276" s="290"/>
      <c r="Q276" s="290"/>
      <c r="R276" s="288"/>
      <c r="S276" s="289"/>
    </row>
    <row r="277" spans="11:19">
      <c r="K277" s="290"/>
      <c r="L277" s="290"/>
      <c r="M277" s="290"/>
      <c r="N277" s="290"/>
      <c r="O277" s="290"/>
      <c r="P277" s="290"/>
      <c r="Q277" s="290"/>
      <c r="R277" s="288"/>
      <c r="S277" s="289"/>
    </row>
    <row r="278" spans="11:19">
      <c r="K278" s="290"/>
      <c r="L278" s="290"/>
      <c r="M278" s="290"/>
      <c r="N278" s="290"/>
      <c r="O278" s="290"/>
      <c r="P278" s="290"/>
      <c r="Q278" s="290"/>
      <c r="R278" s="288"/>
      <c r="S278" s="289"/>
    </row>
    <row r="279" spans="11:19">
      <c r="K279" s="290"/>
      <c r="L279" s="290"/>
      <c r="M279" s="290"/>
      <c r="N279" s="290"/>
      <c r="O279" s="290"/>
      <c r="P279" s="290"/>
      <c r="Q279" s="290"/>
      <c r="R279" s="288"/>
      <c r="S279" s="289"/>
    </row>
    <row r="280" spans="11:19">
      <c r="K280" s="290"/>
      <c r="L280" s="290"/>
      <c r="M280" s="290"/>
      <c r="N280" s="290"/>
      <c r="O280" s="290"/>
      <c r="P280" s="290"/>
      <c r="Q280" s="290"/>
      <c r="R280" s="288"/>
      <c r="S280" s="289"/>
    </row>
    <row r="281" spans="11:19">
      <c r="K281" s="290"/>
      <c r="L281" s="290"/>
      <c r="M281" s="290"/>
      <c r="N281" s="290"/>
      <c r="O281" s="290"/>
      <c r="P281" s="290"/>
      <c r="Q281" s="290"/>
      <c r="R281" s="288"/>
      <c r="S281" s="289"/>
    </row>
    <row r="282" spans="11:19">
      <c r="K282" s="290"/>
      <c r="L282" s="290"/>
      <c r="M282" s="290"/>
      <c r="N282" s="290"/>
      <c r="O282" s="290"/>
      <c r="P282" s="290"/>
      <c r="Q282" s="290"/>
      <c r="R282" s="288"/>
      <c r="S282" s="289"/>
    </row>
    <row r="283" spans="11:19">
      <c r="K283" s="290"/>
      <c r="L283" s="290"/>
      <c r="M283" s="290"/>
      <c r="N283" s="290"/>
      <c r="O283" s="290"/>
      <c r="P283" s="290"/>
      <c r="Q283" s="290"/>
      <c r="R283" s="288"/>
      <c r="S283" s="289"/>
    </row>
    <row r="284" spans="11:19">
      <c r="K284" s="290"/>
      <c r="L284" s="290"/>
      <c r="M284" s="290"/>
      <c r="N284" s="290"/>
      <c r="O284" s="290"/>
      <c r="P284" s="290"/>
      <c r="Q284" s="290"/>
      <c r="R284" s="288"/>
      <c r="S284" s="289"/>
    </row>
    <row r="285" spans="11:19">
      <c r="K285" s="290"/>
      <c r="L285" s="290"/>
      <c r="M285" s="290"/>
      <c r="N285" s="290"/>
      <c r="O285" s="290"/>
      <c r="P285" s="290"/>
      <c r="Q285" s="290"/>
      <c r="R285" s="288"/>
      <c r="S285" s="289"/>
    </row>
    <row r="286" spans="11:19">
      <c r="K286" s="290"/>
      <c r="L286" s="290"/>
      <c r="M286" s="290"/>
      <c r="N286" s="290"/>
      <c r="O286" s="290"/>
      <c r="P286" s="290"/>
      <c r="Q286" s="290"/>
      <c r="R286" s="288"/>
      <c r="S286" s="289"/>
    </row>
    <row r="287" spans="11:19">
      <c r="K287" s="290"/>
      <c r="L287" s="290"/>
      <c r="M287" s="290"/>
      <c r="N287" s="290"/>
      <c r="O287" s="290"/>
      <c r="P287" s="290"/>
      <c r="Q287" s="290"/>
      <c r="R287" s="288"/>
      <c r="S287" s="289"/>
    </row>
    <row r="288" spans="11:19">
      <c r="K288" s="290"/>
      <c r="L288" s="290"/>
      <c r="M288" s="290"/>
      <c r="N288" s="290"/>
      <c r="O288" s="290"/>
      <c r="P288" s="290"/>
      <c r="Q288" s="290"/>
      <c r="R288" s="288"/>
      <c r="S288" s="289"/>
    </row>
    <row r="289" spans="11:19">
      <c r="K289" s="290"/>
      <c r="L289" s="290"/>
      <c r="M289" s="290"/>
      <c r="N289" s="290"/>
      <c r="O289" s="290"/>
      <c r="P289" s="290"/>
      <c r="Q289" s="290"/>
      <c r="R289" s="288"/>
      <c r="S289" s="289"/>
    </row>
    <row r="290" spans="11:19">
      <c r="K290" s="290"/>
      <c r="L290" s="290"/>
      <c r="M290" s="290"/>
      <c r="N290" s="290"/>
      <c r="O290" s="290"/>
      <c r="P290" s="290"/>
      <c r="Q290" s="290"/>
      <c r="R290" s="288"/>
      <c r="S290" s="289"/>
    </row>
    <row r="291" spans="11:19">
      <c r="K291" s="290"/>
      <c r="L291" s="290"/>
      <c r="M291" s="290"/>
      <c r="N291" s="290"/>
      <c r="O291" s="290"/>
      <c r="P291" s="290"/>
      <c r="Q291" s="290"/>
      <c r="R291" s="288"/>
      <c r="S291" s="289"/>
    </row>
    <row r="292" spans="11:19">
      <c r="K292" s="290"/>
      <c r="L292" s="290"/>
      <c r="M292" s="290"/>
      <c r="N292" s="290"/>
      <c r="O292" s="290"/>
      <c r="P292" s="290"/>
      <c r="Q292" s="290"/>
      <c r="R292" s="288"/>
      <c r="S292" s="289"/>
    </row>
    <row r="293" spans="11:19">
      <c r="K293" s="290"/>
      <c r="L293" s="290"/>
      <c r="M293" s="290"/>
      <c r="N293" s="290"/>
      <c r="O293" s="290"/>
      <c r="P293" s="290"/>
      <c r="Q293" s="290"/>
      <c r="R293" s="288"/>
      <c r="S293" s="289"/>
    </row>
    <row r="294" spans="11:19">
      <c r="K294" s="290"/>
      <c r="L294" s="290"/>
      <c r="M294" s="290"/>
      <c r="N294" s="290"/>
      <c r="O294" s="290"/>
      <c r="P294" s="290"/>
      <c r="Q294" s="290"/>
      <c r="R294" s="288"/>
      <c r="S294" s="289"/>
    </row>
    <row r="295" spans="11:19">
      <c r="K295" s="290"/>
      <c r="L295" s="290"/>
      <c r="M295" s="290"/>
      <c r="N295" s="290"/>
      <c r="O295" s="290"/>
      <c r="P295" s="290"/>
      <c r="Q295" s="290"/>
      <c r="R295" s="288"/>
      <c r="S295" s="289"/>
    </row>
    <row r="296" spans="11:19">
      <c r="K296" s="290"/>
      <c r="L296" s="290"/>
      <c r="M296" s="290"/>
      <c r="N296" s="290"/>
      <c r="O296" s="290"/>
      <c r="P296" s="290"/>
      <c r="Q296" s="290"/>
      <c r="R296" s="288"/>
      <c r="S296" s="289"/>
    </row>
    <row r="297" spans="11:19">
      <c r="K297" s="290"/>
      <c r="L297" s="290"/>
      <c r="M297" s="290"/>
      <c r="N297" s="290"/>
      <c r="O297" s="290"/>
      <c r="P297" s="290"/>
      <c r="Q297" s="290"/>
      <c r="R297" s="288"/>
      <c r="S297" s="289"/>
    </row>
    <row r="298" spans="11:19">
      <c r="K298" s="290"/>
      <c r="L298" s="290"/>
      <c r="M298" s="290"/>
      <c r="N298" s="290"/>
      <c r="O298" s="290"/>
      <c r="P298" s="290"/>
      <c r="Q298" s="290"/>
      <c r="R298" s="288"/>
      <c r="S298" s="289"/>
    </row>
    <row r="299" spans="11:19">
      <c r="K299" s="290"/>
      <c r="L299" s="290"/>
      <c r="M299" s="290"/>
      <c r="N299" s="290"/>
      <c r="O299" s="290"/>
      <c r="P299" s="290"/>
      <c r="Q299" s="290"/>
      <c r="R299" s="288"/>
      <c r="S299" s="289"/>
    </row>
    <row r="300" spans="11:19">
      <c r="K300" s="290"/>
      <c r="L300" s="290"/>
      <c r="M300" s="290"/>
      <c r="N300" s="290"/>
      <c r="O300" s="290"/>
      <c r="P300" s="290"/>
      <c r="Q300" s="290"/>
      <c r="R300" s="288"/>
      <c r="S300" s="289"/>
    </row>
    <row r="301" spans="11:19">
      <c r="K301" s="290"/>
      <c r="L301" s="290"/>
      <c r="M301" s="290"/>
      <c r="N301" s="290"/>
      <c r="O301" s="290"/>
      <c r="P301" s="290"/>
      <c r="Q301" s="290"/>
      <c r="R301" s="288"/>
      <c r="S301" s="289"/>
    </row>
    <row r="302" spans="11:19">
      <c r="K302" s="290"/>
      <c r="L302" s="290"/>
      <c r="M302" s="290"/>
      <c r="N302" s="290"/>
      <c r="O302" s="290"/>
      <c r="P302" s="290"/>
      <c r="Q302" s="290"/>
      <c r="R302" s="288"/>
      <c r="S302" s="289"/>
    </row>
    <row r="303" spans="11:19">
      <c r="K303" s="290"/>
      <c r="L303" s="290"/>
      <c r="M303" s="290"/>
      <c r="N303" s="290"/>
      <c r="O303" s="290"/>
      <c r="P303" s="290"/>
      <c r="Q303" s="290"/>
      <c r="R303" s="288"/>
      <c r="S303" s="289"/>
    </row>
    <row r="304" spans="11:19">
      <c r="K304" s="290"/>
      <c r="L304" s="290"/>
      <c r="M304" s="290"/>
      <c r="N304" s="290"/>
      <c r="O304" s="290"/>
      <c r="P304" s="290"/>
      <c r="Q304" s="290"/>
      <c r="R304" s="288"/>
      <c r="S304" s="289"/>
    </row>
    <row r="305" spans="11:19">
      <c r="K305" s="290"/>
      <c r="L305" s="290"/>
      <c r="M305" s="290"/>
      <c r="N305" s="290"/>
      <c r="O305" s="290"/>
      <c r="P305" s="290"/>
      <c r="Q305" s="290"/>
      <c r="R305" s="288"/>
      <c r="S305" s="289"/>
    </row>
    <row r="306" spans="11:19">
      <c r="K306" s="290"/>
      <c r="L306" s="290"/>
      <c r="M306" s="290"/>
      <c r="N306" s="290"/>
      <c r="O306" s="290"/>
      <c r="P306" s="290"/>
      <c r="Q306" s="290"/>
      <c r="R306" s="288"/>
      <c r="S306" s="289"/>
    </row>
    <row r="307" spans="11:19">
      <c r="K307" s="290"/>
      <c r="L307" s="290"/>
      <c r="M307" s="290"/>
      <c r="N307" s="290"/>
      <c r="O307" s="290"/>
      <c r="P307" s="290"/>
      <c r="Q307" s="290"/>
      <c r="R307" s="288"/>
      <c r="S307" s="289"/>
    </row>
    <row r="308" spans="11:19">
      <c r="K308" s="290"/>
      <c r="L308" s="290"/>
      <c r="M308" s="290"/>
      <c r="N308" s="290"/>
      <c r="O308" s="290"/>
      <c r="P308" s="290"/>
      <c r="Q308" s="290"/>
      <c r="R308" s="288"/>
      <c r="S308" s="289"/>
    </row>
    <row r="309" spans="11:19">
      <c r="K309" s="290"/>
      <c r="L309" s="290"/>
      <c r="M309" s="290"/>
      <c r="N309" s="290"/>
      <c r="O309" s="290"/>
      <c r="P309" s="290"/>
      <c r="Q309" s="290"/>
      <c r="R309" s="288"/>
      <c r="S309" s="289"/>
    </row>
    <row r="310" spans="11:19">
      <c r="K310" s="290"/>
      <c r="L310" s="290"/>
      <c r="M310" s="290"/>
      <c r="N310" s="290"/>
      <c r="O310" s="290"/>
      <c r="P310" s="290"/>
      <c r="Q310" s="290"/>
      <c r="R310" s="288"/>
      <c r="S310" s="289"/>
    </row>
    <row r="311" spans="11:19">
      <c r="K311" s="290"/>
      <c r="L311" s="290"/>
      <c r="M311" s="290"/>
      <c r="N311" s="290"/>
      <c r="O311" s="290"/>
      <c r="P311" s="290"/>
      <c r="Q311" s="290"/>
      <c r="R311" s="288"/>
      <c r="S311" s="289"/>
    </row>
    <row r="312" spans="11:19">
      <c r="K312" s="290"/>
      <c r="L312" s="290"/>
      <c r="M312" s="290"/>
      <c r="N312" s="290"/>
      <c r="O312" s="290"/>
      <c r="P312" s="290"/>
      <c r="Q312" s="290"/>
      <c r="R312" s="288"/>
      <c r="S312" s="289"/>
    </row>
    <row r="313" spans="11:19">
      <c r="K313" s="290"/>
      <c r="L313" s="290"/>
      <c r="M313" s="290"/>
      <c r="N313" s="290"/>
      <c r="O313" s="290"/>
      <c r="P313" s="290"/>
      <c r="Q313" s="290"/>
      <c r="R313" s="288"/>
      <c r="S313" s="289"/>
    </row>
    <row r="314" spans="11:19">
      <c r="K314" s="290"/>
      <c r="L314" s="290"/>
      <c r="M314" s="290"/>
      <c r="N314" s="290"/>
      <c r="O314" s="290"/>
      <c r="P314" s="290"/>
      <c r="Q314" s="290"/>
      <c r="R314" s="288"/>
      <c r="S314" s="289"/>
    </row>
    <row r="315" spans="11:19">
      <c r="K315" s="290"/>
      <c r="L315" s="290"/>
      <c r="M315" s="290"/>
      <c r="N315" s="290"/>
      <c r="O315" s="290"/>
      <c r="P315" s="290"/>
      <c r="Q315" s="290"/>
      <c r="R315" s="288"/>
      <c r="S315" s="289"/>
    </row>
    <row r="316" spans="11:19">
      <c r="K316" s="290"/>
      <c r="L316" s="290"/>
      <c r="M316" s="290"/>
      <c r="N316" s="290"/>
      <c r="O316" s="290"/>
      <c r="P316" s="290"/>
      <c r="Q316" s="290"/>
      <c r="R316" s="288"/>
      <c r="S316" s="289"/>
    </row>
    <row r="317" spans="11:19">
      <c r="K317" s="290"/>
      <c r="L317" s="290"/>
      <c r="M317" s="290"/>
      <c r="N317" s="290"/>
      <c r="O317" s="290"/>
      <c r="P317" s="290"/>
      <c r="Q317" s="290"/>
      <c r="R317" s="288"/>
      <c r="S317" s="289"/>
    </row>
    <row r="318" spans="11:19">
      <c r="K318" s="290"/>
      <c r="L318" s="290"/>
      <c r="M318" s="290"/>
      <c r="N318" s="290"/>
      <c r="O318" s="290"/>
      <c r="P318" s="290"/>
      <c r="Q318" s="290"/>
      <c r="R318" s="288"/>
      <c r="S318" s="289"/>
    </row>
    <row r="319" spans="11:19">
      <c r="K319" s="290"/>
      <c r="L319" s="290"/>
      <c r="M319" s="290"/>
      <c r="N319" s="290"/>
      <c r="O319" s="290"/>
      <c r="P319" s="290"/>
      <c r="Q319" s="290"/>
      <c r="R319" s="288"/>
      <c r="S319" s="289"/>
    </row>
    <row r="320" spans="11:19">
      <c r="K320" s="290"/>
      <c r="L320" s="290"/>
      <c r="M320" s="290"/>
      <c r="N320" s="290"/>
      <c r="O320" s="290"/>
      <c r="P320" s="290"/>
      <c r="Q320" s="290"/>
      <c r="R320" s="288"/>
      <c r="S320" s="289"/>
    </row>
    <row r="321" spans="11:19">
      <c r="K321" s="290"/>
      <c r="L321" s="290"/>
      <c r="M321" s="290"/>
      <c r="N321" s="290"/>
      <c r="O321" s="290"/>
      <c r="P321" s="290"/>
      <c r="Q321" s="290"/>
      <c r="R321" s="288"/>
      <c r="S321" s="289"/>
    </row>
    <row r="322" spans="11:19">
      <c r="K322" s="290"/>
      <c r="L322" s="290"/>
      <c r="M322" s="290"/>
      <c r="N322" s="290"/>
      <c r="O322" s="290"/>
      <c r="P322" s="290"/>
      <c r="Q322" s="290"/>
      <c r="R322" s="288"/>
      <c r="S322" s="289"/>
    </row>
    <row r="323" spans="11:19">
      <c r="K323" s="290"/>
      <c r="L323" s="290"/>
      <c r="M323" s="290"/>
      <c r="N323" s="290"/>
      <c r="O323" s="290"/>
      <c r="P323" s="290"/>
      <c r="Q323" s="290"/>
      <c r="R323" s="288"/>
      <c r="S323" s="289"/>
    </row>
    <row r="324" spans="11:19">
      <c r="K324" s="290"/>
      <c r="L324" s="290"/>
      <c r="M324" s="290"/>
      <c r="N324" s="290"/>
      <c r="O324" s="290"/>
      <c r="P324" s="290"/>
      <c r="Q324" s="290"/>
      <c r="R324" s="288"/>
      <c r="S324" s="289"/>
    </row>
    <row r="325" spans="11:19">
      <c r="K325" s="290"/>
      <c r="L325" s="290"/>
      <c r="M325" s="290"/>
      <c r="N325" s="290"/>
      <c r="O325" s="290"/>
      <c r="P325" s="290"/>
      <c r="Q325" s="290"/>
      <c r="R325" s="288"/>
      <c r="S325" s="289"/>
    </row>
    <row r="326" spans="11:19">
      <c r="K326" s="290"/>
      <c r="L326" s="290"/>
      <c r="M326" s="290"/>
      <c r="N326" s="290"/>
      <c r="O326" s="290"/>
      <c r="P326" s="290"/>
      <c r="Q326" s="290"/>
      <c r="R326" s="288"/>
      <c r="S326" s="289"/>
    </row>
    <row r="327" spans="11:19">
      <c r="K327" s="290"/>
      <c r="L327" s="290"/>
      <c r="M327" s="290"/>
      <c r="N327" s="290"/>
      <c r="O327" s="290"/>
      <c r="P327" s="290"/>
      <c r="Q327" s="290"/>
      <c r="R327" s="288"/>
      <c r="S327" s="289"/>
    </row>
    <row r="328" spans="11:19">
      <c r="K328" s="290"/>
      <c r="L328" s="290"/>
      <c r="M328" s="290"/>
      <c r="N328" s="290"/>
      <c r="O328" s="290"/>
      <c r="P328" s="290"/>
      <c r="Q328" s="290"/>
      <c r="R328" s="288"/>
      <c r="S328" s="289"/>
    </row>
    <row r="329" spans="11:19">
      <c r="K329" s="290"/>
      <c r="L329" s="290"/>
      <c r="M329" s="290"/>
      <c r="N329" s="290"/>
      <c r="O329" s="290"/>
      <c r="P329" s="290"/>
      <c r="Q329" s="290"/>
      <c r="R329" s="288"/>
      <c r="S329" s="289"/>
    </row>
    <row r="330" spans="11:19">
      <c r="K330" s="290"/>
      <c r="L330" s="290"/>
      <c r="M330" s="290"/>
      <c r="N330" s="290"/>
      <c r="O330" s="290"/>
      <c r="P330" s="290"/>
      <c r="Q330" s="290"/>
      <c r="R330" s="288"/>
      <c r="S330" s="289"/>
    </row>
    <row r="331" spans="11:19">
      <c r="K331" s="290"/>
      <c r="L331" s="290"/>
      <c r="M331" s="290"/>
      <c r="N331" s="290"/>
      <c r="O331" s="290"/>
      <c r="P331" s="290"/>
      <c r="Q331" s="290"/>
      <c r="R331" s="288"/>
      <c r="S331" s="289"/>
    </row>
    <row r="332" spans="11:19">
      <c r="K332" s="290"/>
      <c r="L332" s="290"/>
      <c r="M332" s="290"/>
      <c r="N332" s="290"/>
      <c r="O332" s="290"/>
      <c r="P332" s="290"/>
      <c r="Q332" s="290"/>
      <c r="R332" s="288"/>
      <c r="S332" s="289"/>
    </row>
    <row r="333" spans="11:19">
      <c r="K333" s="290"/>
      <c r="L333" s="290"/>
      <c r="M333" s="290"/>
      <c r="N333" s="290"/>
      <c r="O333" s="290"/>
      <c r="P333" s="290"/>
      <c r="Q333" s="290"/>
      <c r="R333" s="288"/>
      <c r="S333" s="289"/>
    </row>
    <row r="334" spans="11:19">
      <c r="K334" s="290"/>
      <c r="L334" s="290"/>
      <c r="M334" s="290"/>
      <c r="N334" s="290"/>
      <c r="O334" s="290"/>
      <c r="P334" s="290"/>
      <c r="Q334" s="290"/>
      <c r="R334" s="288"/>
      <c r="S334" s="289"/>
    </row>
    <row r="335" spans="11:19">
      <c r="K335" s="290"/>
      <c r="L335" s="290"/>
      <c r="M335" s="290"/>
      <c r="N335" s="290"/>
      <c r="O335" s="290"/>
      <c r="P335" s="290"/>
      <c r="Q335" s="290"/>
      <c r="R335" s="288"/>
      <c r="S335" s="289"/>
    </row>
    <row r="336" spans="11:19">
      <c r="K336" s="290"/>
      <c r="L336" s="290"/>
      <c r="M336" s="290"/>
      <c r="N336" s="290"/>
      <c r="O336" s="290"/>
      <c r="P336" s="290"/>
      <c r="Q336" s="290"/>
      <c r="R336" s="288"/>
      <c r="S336" s="289"/>
    </row>
    <row r="337" spans="11:19">
      <c r="K337" s="290"/>
      <c r="L337" s="290"/>
      <c r="M337" s="290"/>
      <c r="N337" s="290"/>
      <c r="O337" s="290"/>
      <c r="P337" s="290"/>
      <c r="Q337" s="290"/>
      <c r="R337" s="288"/>
      <c r="S337" s="289"/>
    </row>
    <row r="338" spans="11:19">
      <c r="K338" s="290"/>
      <c r="L338" s="290"/>
      <c r="M338" s="290"/>
      <c r="N338" s="290"/>
      <c r="O338" s="290"/>
      <c r="P338" s="290"/>
      <c r="Q338" s="290"/>
      <c r="R338" s="288"/>
      <c r="S338" s="289"/>
    </row>
    <row r="339" spans="11:19">
      <c r="K339" s="290"/>
      <c r="L339" s="290"/>
      <c r="M339" s="290"/>
      <c r="N339" s="290"/>
      <c r="O339" s="290"/>
      <c r="P339" s="290"/>
      <c r="Q339" s="290"/>
      <c r="R339" s="288"/>
      <c r="S339" s="289"/>
    </row>
    <row r="340" spans="11:19">
      <c r="K340" s="290"/>
      <c r="L340" s="290"/>
      <c r="M340" s="290"/>
      <c r="N340" s="290"/>
      <c r="O340" s="290"/>
      <c r="P340" s="290"/>
      <c r="Q340" s="290"/>
      <c r="R340" s="288"/>
      <c r="S340" s="289"/>
    </row>
    <row r="341" spans="11:19">
      <c r="K341" s="290"/>
      <c r="L341" s="290"/>
      <c r="M341" s="290"/>
      <c r="N341" s="290"/>
      <c r="O341" s="290"/>
      <c r="P341" s="290"/>
      <c r="Q341" s="290"/>
      <c r="R341" s="288"/>
      <c r="S341" s="289"/>
    </row>
    <row r="342" spans="11:19">
      <c r="K342" s="290"/>
      <c r="L342" s="290"/>
      <c r="M342" s="290"/>
      <c r="N342" s="290"/>
      <c r="O342" s="290"/>
      <c r="P342" s="290"/>
      <c r="Q342" s="290"/>
      <c r="R342" s="288"/>
      <c r="S342" s="289"/>
    </row>
    <row r="343" spans="11:19">
      <c r="K343" s="290"/>
      <c r="L343" s="290"/>
      <c r="M343" s="290"/>
      <c r="N343" s="290"/>
      <c r="O343" s="290"/>
      <c r="P343" s="290"/>
      <c r="Q343" s="290"/>
      <c r="R343" s="288"/>
      <c r="S343" s="289"/>
    </row>
    <row r="344" spans="11:19">
      <c r="K344" s="290"/>
      <c r="L344" s="290"/>
      <c r="M344" s="290"/>
      <c r="N344" s="290"/>
      <c r="O344" s="290"/>
      <c r="P344" s="290"/>
      <c r="Q344" s="290"/>
      <c r="R344" s="288"/>
      <c r="S344" s="289"/>
    </row>
    <row r="345" spans="11:19">
      <c r="K345" s="290"/>
      <c r="L345" s="290"/>
      <c r="M345" s="290"/>
      <c r="N345" s="290"/>
      <c r="O345" s="290"/>
      <c r="P345" s="290"/>
      <c r="Q345" s="290"/>
      <c r="R345" s="288"/>
      <c r="S345" s="289"/>
    </row>
    <row r="346" spans="11:19">
      <c r="K346" s="290"/>
      <c r="L346" s="290"/>
      <c r="M346" s="290"/>
      <c r="N346" s="290"/>
      <c r="O346" s="290"/>
      <c r="P346" s="290"/>
      <c r="Q346" s="290"/>
      <c r="R346" s="288"/>
      <c r="S346" s="289"/>
    </row>
    <row r="347" spans="11:19">
      <c r="K347" s="290"/>
      <c r="L347" s="290"/>
      <c r="M347" s="290"/>
      <c r="N347" s="290"/>
      <c r="O347" s="290"/>
      <c r="P347" s="290"/>
      <c r="Q347" s="290"/>
      <c r="R347" s="288"/>
      <c r="S347" s="289"/>
    </row>
    <row r="348" spans="11:19">
      <c r="K348" s="290"/>
      <c r="L348" s="290"/>
      <c r="M348" s="290"/>
      <c r="N348" s="290"/>
      <c r="O348" s="290"/>
      <c r="P348" s="290"/>
      <c r="Q348" s="290"/>
      <c r="R348" s="288"/>
      <c r="S348" s="289"/>
    </row>
    <row r="349" spans="11:19">
      <c r="K349" s="290"/>
      <c r="L349" s="290"/>
      <c r="M349" s="290"/>
      <c r="N349" s="290"/>
      <c r="O349" s="290"/>
      <c r="P349" s="290"/>
      <c r="Q349" s="290"/>
      <c r="R349" s="288"/>
      <c r="S349" s="289"/>
    </row>
    <row r="350" spans="11:19">
      <c r="K350" s="290"/>
      <c r="L350" s="290"/>
      <c r="M350" s="290"/>
      <c r="N350" s="290"/>
      <c r="O350" s="290"/>
      <c r="P350" s="290"/>
      <c r="Q350" s="290"/>
      <c r="R350" s="288"/>
      <c r="S350" s="289"/>
    </row>
    <row r="351" spans="11:19">
      <c r="K351" s="290"/>
      <c r="L351" s="290"/>
      <c r="M351" s="290"/>
      <c r="N351" s="290"/>
      <c r="O351" s="290"/>
      <c r="P351" s="290"/>
      <c r="Q351" s="290"/>
      <c r="R351" s="288"/>
      <c r="S351" s="289"/>
    </row>
    <row r="352" spans="11:19">
      <c r="K352" s="290"/>
      <c r="L352" s="290"/>
      <c r="M352" s="290"/>
      <c r="N352" s="290"/>
      <c r="O352" s="290"/>
      <c r="P352" s="290"/>
      <c r="Q352" s="290"/>
      <c r="R352" s="288"/>
      <c r="S352" s="289"/>
    </row>
    <row r="353" spans="11:19">
      <c r="K353" s="290"/>
      <c r="L353" s="290"/>
      <c r="M353" s="290"/>
      <c r="N353" s="290"/>
      <c r="O353" s="290"/>
      <c r="P353" s="290"/>
      <c r="Q353" s="290"/>
      <c r="R353" s="288"/>
      <c r="S353" s="289"/>
    </row>
    <row r="354" spans="11:19">
      <c r="K354" s="290"/>
      <c r="L354" s="290"/>
      <c r="M354" s="290"/>
      <c r="N354" s="290"/>
      <c r="O354" s="290"/>
      <c r="P354" s="290"/>
      <c r="Q354" s="290"/>
      <c r="R354" s="288"/>
      <c r="S354" s="289"/>
    </row>
    <row r="355" spans="11:19">
      <c r="K355" s="290"/>
      <c r="L355" s="290"/>
      <c r="M355" s="290"/>
      <c r="N355" s="290"/>
      <c r="O355" s="290"/>
      <c r="P355" s="290"/>
      <c r="Q355" s="290"/>
      <c r="R355" s="288"/>
      <c r="S355" s="289"/>
    </row>
    <row r="356" spans="11:19">
      <c r="K356" s="290"/>
      <c r="L356" s="290"/>
      <c r="M356" s="290"/>
      <c r="N356" s="290"/>
      <c r="O356" s="290"/>
      <c r="P356" s="290"/>
      <c r="Q356" s="290"/>
      <c r="R356" s="288"/>
      <c r="S356" s="289"/>
    </row>
    <row r="357" spans="11:19">
      <c r="K357" s="290"/>
      <c r="L357" s="290"/>
      <c r="M357" s="290"/>
      <c r="N357" s="290"/>
      <c r="O357" s="290"/>
      <c r="P357" s="290"/>
      <c r="Q357" s="290"/>
      <c r="R357" s="288"/>
      <c r="S357" s="289"/>
    </row>
    <row r="358" spans="11:19">
      <c r="K358" s="290"/>
      <c r="L358" s="290"/>
      <c r="M358" s="290"/>
      <c r="N358" s="290"/>
      <c r="O358" s="290"/>
      <c r="P358" s="290"/>
      <c r="Q358" s="290"/>
      <c r="R358" s="288"/>
      <c r="S358" s="289"/>
    </row>
    <row r="359" spans="11:19">
      <c r="K359" s="290"/>
      <c r="L359" s="290"/>
      <c r="M359" s="290"/>
      <c r="N359" s="290"/>
      <c r="O359" s="290"/>
      <c r="P359" s="290"/>
      <c r="Q359" s="290"/>
      <c r="R359" s="288"/>
      <c r="S359" s="289"/>
    </row>
    <row r="360" spans="11:19">
      <c r="K360" s="290"/>
      <c r="L360" s="290"/>
      <c r="M360" s="290"/>
      <c r="N360" s="290"/>
      <c r="O360" s="290"/>
      <c r="P360" s="290"/>
      <c r="Q360" s="290"/>
      <c r="R360" s="288"/>
      <c r="S360" s="289"/>
    </row>
    <row r="361" spans="11:19">
      <c r="K361" s="290"/>
      <c r="L361" s="290"/>
      <c r="M361" s="290"/>
      <c r="N361" s="290"/>
      <c r="O361" s="290"/>
      <c r="P361" s="290"/>
      <c r="Q361" s="290"/>
      <c r="R361" s="288"/>
      <c r="S361" s="289"/>
    </row>
    <row r="362" spans="11:19">
      <c r="K362" s="290"/>
      <c r="L362" s="290"/>
      <c r="M362" s="290"/>
      <c r="N362" s="290"/>
      <c r="O362" s="290"/>
      <c r="P362" s="290"/>
      <c r="Q362" s="290"/>
      <c r="R362" s="288"/>
      <c r="S362" s="289"/>
    </row>
    <row r="363" spans="11:19">
      <c r="K363" s="290"/>
      <c r="L363" s="290"/>
      <c r="M363" s="290"/>
      <c r="N363" s="290"/>
      <c r="O363" s="290"/>
      <c r="P363" s="290"/>
      <c r="Q363" s="290"/>
      <c r="R363" s="288"/>
      <c r="S363" s="289"/>
    </row>
    <row r="364" spans="11:19">
      <c r="K364" s="290"/>
      <c r="L364" s="290"/>
      <c r="M364" s="290"/>
      <c r="N364" s="290"/>
      <c r="O364" s="290"/>
      <c r="P364" s="290"/>
      <c r="Q364" s="290"/>
      <c r="R364" s="288"/>
      <c r="S364" s="289"/>
    </row>
    <row r="365" spans="11:19">
      <c r="K365" s="290"/>
      <c r="L365" s="290"/>
      <c r="M365" s="290"/>
      <c r="N365" s="290"/>
      <c r="O365" s="290"/>
      <c r="P365" s="290"/>
      <c r="Q365" s="290"/>
      <c r="R365" s="288"/>
      <c r="S365" s="289"/>
    </row>
    <row r="366" spans="11:19">
      <c r="K366" s="290"/>
      <c r="L366" s="290"/>
      <c r="M366" s="290"/>
      <c r="N366" s="290"/>
      <c r="O366" s="290"/>
      <c r="P366" s="290"/>
      <c r="Q366" s="290"/>
      <c r="R366" s="288"/>
      <c r="S366" s="289"/>
    </row>
    <row r="367" spans="11:19">
      <c r="K367" s="290"/>
      <c r="L367" s="290"/>
      <c r="M367" s="290"/>
      <c r="N367" s="290"/>
      <c r="O367" s="290"/>
      <c r="P367" s="290"/>
      <c r="Q367" s="290"/>
      <c r="R367" s="288"/>
      <c r="S367" s="289"/>
    </row>
    <row r="368" spans="11:19">
      <c r="K368" s="290"/>
      <c r="L368" s="290"/>
      <c r="M368" s="290"/>
      <c r="N368" s="290"/>
      <c r="O368" s="290"/>
      <c r="P368" s="290"/>
      <c r="Q368" s="290"/>
      <c r="R368" s="288"/>
      <c r="S368" s="289"/>
    </row>
    <row r="369" spans="11:19">
      <c r="K369" s="290"/>
      <c r="L369" s="290"/>
      <c r="M369" s="290"/>
      <c r="N369" s="290"/>
      <c r="O369" s="290"/>
      <c r="P369" s="290"/>
      <c r="Q369" s="290"/>
      <c r="R369" s="288"/>
      <c r="S369" s="289"/>
    </row>
    <row r="370" spans="11:19">
      <c r="K370" s="290"/>
      <c r="L370" s="290"/>
      <c r="M370" s="290"/>
      <c r="N370" s="290"/>
      <c r="O370" s="290"/>
      <c r="P370" s="290"/>
      <c r="Q370" s="290"/>
      <c r="R370" s="288"/>
      <c r="S370" s="289"/>
    </row>
    <row r="371" spans="11:19">
      <c r="K371" s="290"/>
      <c r="L371" s="290"/>
      <c r="M371" s="290"/>
      <c r="N371" s="290"/>
      <c r="O371" s="290"/>
      <c r="P371" s="290"/>
      <c r="Q371" s="290"/>
      <c r="R371" s="288"/>
      <c r="S371" s="289"/>
    </row>
    <row r="372" spans="11:19">
      <c r="K372" s="290"/>
      <c r="L372" s="290"/>
      <c r="M372" s="290"/>
      <c r="N372" s="290"/>
      <c r="O372" s="290"/>
      <c r="P372" s="290"/>
      <c r="Q372" s="290"/>
      <c r="R372" s="288"/>
      <c r="S372" s="289"/>
    </row>
    <row r="373" spans="11:19">
      <c r="K373" s="290"/>
      <c r="L373" s="290"/>
      <c r="M373" s="290"/>
      <c r="N373" s="290"/>
      <c r="O373" s="290"/>
      <c r="P373" s="290"/>
      <c r="Q373" s="290"/>
      <c r="R373" s="288"/>
      <c r="S373" s="289"/>
    </row>
    <row r="374" spans="11:19">
      <c r="K374" s="290"/>
      <c r="L374" s="290"/>
      <c r="M374" s="290"/>
      <c r="N374" s="290"/>
      <c r="O374" s="290"/>
      <c r="P374" s="290"/>
      <c r="Q374" s="290"/>
      <c r="R374" s="288"/>
      <c r="S374" s="289"/>
    </row>
    <row r="375" spans="11:19">
      <c r="K375" s="290"/>
      <c r="L375" s="290"/>
      <c r="M375" s="290"/>
      <c r="N375" s="290"/>
      <c r="O375" s="290"/>
      <c r="P375" s="290"/>
      <c r="Q375" s="290"/>
      <c r="R375" s="288"/>
      <c r="S375" s="289"/>
    </row>
    <row r="376" spans="11:19">
      <c r="K376" s="290"/>
      <c r="L376" s="290"/>
      <c r="M376" s="290"/>
      <c r="N376" s="290"/>
      <c r="O376" s="290"/>
      <c r="P376" s="290"/>
      <c r="Q376" s="290"/>
      <c r="R376" s="288"/>
      <c r="S376" s="289"/>
    </row>
    <row r="377" spans="11:19">
      <c r="K377" s="290"/>
      <c r="L377" s="290"/>
      <c r="M377" s="290"/>
      <c r="N377" s="290"/>
      <c r="O377" s="290"/>
      <c r="P377" s="290"/>
      <c r="Q377" s="290"/>
      <c r="R377" s="288"/>
      <c r="S377" s="289"/>
    </row>
    <row r="378" spans="11:19">
      <c r="K378" s="290"/>
      <c r="L378" s="290"/>
      <c r="M378" s="290"/>
      <c r="N378" s="290"/>
      <c r="O378" s="290"/>
      <c r="P378" s="290"/>
      <c r="Q378" s="290"/>
      <c r="R378" s="288"/>
      <c r="S378" s="289"/>
    </row>
    <row r="379" spans="11:19">
      <c r="K379" s="290"/>
      <c r="L379" s="290"/>
      <c r="M379" s="290"/>
      <c r="N379" s="290"/>
      <c r="O379" s="290"/>
      <c r="P379" s="290"/>
      <c r="Q379" s="290"/>
      <c r="R379" s="288"/>
      <c r="S379" s="289"/>
    </row>
    <row r="380" spans="11:19">
      <c r="K380" s="290"/>
      <c r="L380" s="290"/>
      <c r="M380" s="290"/>
      <c r="N380" s="290"/>
      <c r="O380" s="290"/>
      <c r="P380" s="290"/>
      <c r="Q380" s="290"/>
      <c r="R380" s="288"/>
      <c r="S380" s="289"/>
    </row>
    <row r="381" spans="11:19">
      <c r="K381" s="290"/>
      <c r="L381" s="290"/>
      <c r="M381" s="290"/>
      <c r="N381" s="290"/>
      <c r="O381" s="290"/>
      <c r="P381" s="290"/>
      <c r="Q381" s="290"/>
      <c r="R381" s="288"/>
      <c r="S381" s="289"/>
    </row>
    <row r="382" spans="11:19">
      <c r="K382" s="290"/>
      <c r="L382" s="290"/>
      <c r="M382" s="290"/>
      <c r="N382" s="290"/>
      <c r="O382" s="290"/>
      <c r="P382" s="290"/>
      <c r="Q382" s="290"/>
      <c r="R382" s="288"/>
      <c r="S382" s="289"/>
    </row>
    <row r="383" spans="11:19">
      <c r="K383" s="290"/>
      <c r="L383" s="290"/>
      <c r="M383" s="290"/>
      <c r="N383" s="290"/>
      <c r="O383" s="290"/>
      <c r="P383" s="290"/>
      <c r="Q383" s="290"/>
      <c r="R383" s="288"/>
      <c r="S383" s="289"/>
    </row>
    <row r="384" spans="11:19">
      <c r="K384" s="290"/>
      <c r="L384" s="290"/>
      <c r="M384" s="290"/>
      <c r="N384" s="290"/>
      <c r="O384" s="290"/>
      <c r="P384" s="290"/>
      <c r="Q384" s="290"/>
      <c r="R384" s="288"/>
      <c r="S384" s="289"/>
    </row>
    <row r="385" spans="11:19">
      <c r="K385" s="290"/>
      <c r="L385" s="290"/>
      <c r="M385" s="290"/>
      <c r="N385" s="290"/>
      <c r="O385" s="290"/>
      <c r="P385" s="290"/>
      <c r="Q385" s="290"/>
      <c r="R385" s="288"/>
      <c r="S385" s="289"/>
    </row>
    <row r="386" spans="11:19">
      <c r="K386" s="290"/>
      <c r="L386" s="290"/>
      <c r="M386" s="290"/>
      <c r="N386" s="290"/>
      <c r="O386" s="290"/>
      <c r="P386" s="290"/>
      <c r="Q386" s="290"/>
      <c r="R386" s="288"/>
      <c r="S386" s="289"/>
    </row>
    <row r="387" spans="11:19">
      <c r="K387" s="290"/>
      <c r="L387" s="290"/>
      <c r="M387" s="290"/>
      <c r="N387" s="290"/>
      <c r="O387" s="290"/>
      <c r="P387" s="290"/>
      <c r="Q387" s="290"/>
      <c r="R387" s="288"/>
      <c r="S387" s="289"/>
    </row>
    <row r="388" spans="11:19">
      <c r="K388" s="290"/>
      <c r="L388" s="290"/>
      <c r="M388" s="290"/>
      <c r="N388" s="290"/>
      <c r="O388" s="290"/>
      <c r="P388" s="290"/>
      <c r="Q388" s="290"/>
      <c r="R388" s="288"/>
      <c r="S388" s="289"/>
    </row>
    <row r="389" spans="11:19">
      <c r="K389" s="290"/>
      <c r="L389" s="290"/>
      <c r="M389" s="290"/>
      <c r="N389" s="290"/>
      <c r="O389" s="290"/>
      <c r="P389" s="290"/>
      <c r="Q389" s="290"/>
      <c r="R389" s="288"/>
      <c r="S389" s="289"/>
    </row>
    <row r="390" spans="11:19">
      <c r="K390" s="290"/>
      <c r="L390" s="290"/>
      <c r="M390" s="290"/>
      <c r="N390" s="290"/>
      <c r="O390" s="290"/>
      <c r="P390" s="290"/>
      <c r="Q390" s="290"/>
      <c r="R390" s="288"/>
      <c r="S390" s="289"/>
    </row>
    <row r="391" spans="11:19">
      <c r="K391" s="290"/>
      <c r="L391" s="290"/>
      <c r="M391" s="290"/>
      <c r="N391" s="290"/>
      <c r="O391" s="290"/>
      <c r="P391" s="290"/>
      <c r="Q391" s="290"/>
      <c r="R391" s="288"/>
      <c r="S391" s="289"/>
    </row>
    <row r="392" spans="11:19">
      <c r="K392" s="290"/>
      <c r="L392" s="290"/>
      <c r="M392" s="290"/>
      <c r="N392" s="290"/>
      <c r="O392" s="290"/>
      <c r="P392" s="290"/>
      <c r="Q392" s="290"/>
      <c r="R392" s="288"/>
      <c r="S392" s="289"/>
    </row>
    <row r="393" spans="11:19">
      <c r="K393" s="290"/>
      <c r="L393" s="290"/>
      <c r="M393" s="290"/>
      <c r="N393" s="290"/>
      <c r="O393" s="290"/>
      <c r="P393" s="290"/>
      <c r="Q393" s="290"/>
      <c r="R393" s="288"/>
      <c r="S393" s="289"/>
    </row>
    <row r="394" spans="11:19">
      <c r="K394" s="290"/>
      <c r="L394" s="290"/>
      <c r="M394" s="290"/>
      <c r="N394" s="290"/>
      <c r="O394" s="290"/>
      <c r="P394" s="290"/>
      <c r="Q394" s="290"/>
      <c r="R394" s="288"/>
      <c r="S394" s="289"/>
    </row>
    <row r="395" spans="11:19">
      <c r="K395" s="290"/>
      <c r="L395" s="290"/>
      <c r="M395" s="290"/>
      <c r="N395" s="290"/>
      <c r="O395" s="290"/>
      <c r="P395" s="290"/>
      <c r="Q395" s="290"/>
      <c r="R395" s="288"/>
      <c r="S395" s="289"/>
    </row>
    <row r="396" spans="11:19">
      <c r="K396" s="290"/>
      <c r="L396" s="290"/>
      <c r="M396" s="290"/>
      <c r="N396" s="290"/>
      <c r="O396" s="290"/>
      <c r="P396" s="290"/>
      <c r="Q396" s="290"/>
      <c r="R396" s="288"/>
      <c r="S396" s="289"/>
    </row>
    <row r="397" spans="11:19">
      <c r="K397" s="290"/>
      <c r="L397" s="290"/>
      <c r="M397" s="290"/>
      <c r="N397" s="290"/>
      <c r="O397" s="290"/>
      <c r="P397" s="290"/>
      <c r="Q397" s="290"/>
      <c r="R397" s="288"/>
      <c r="S397" s="289"/>
    </row>
    <row r="398" spans="11:19">
      <c r="K398" s="290"/>
      <c r="L398" s="290"/>
      <c r="M398" s="290"/>
      <c r="N398" s="290"/>
      <c r="O398" s="290"/>
      <c r="P398" s="290"/>
      <c r="Q398" s="290"/>
      <c r="R398" s="288"/>
      <c r="S398" s="289"/>
    </row>
    <row r="399" spans="11:19">
      <c r="K399" s="290"/>
      <c r="L399" s="290"/>
      <c r="M399" s="290"/>
      <c r="N399" s="290"/>
      <c r="O399" s="290"/>
      <c r="P399" s="290"/>
      <c r="Q399" s="290"/>
      <c r="R399" s="288"/>
      <c r="S399" s="289"/>
    </row>
    <row r="400" spans="11:19">
      <c r="K400" s="290"/>
      <c r="L400" s="290"/>
      <c r="M400" s="290"/>
      <c r="N400" s="290"/>
      <c r="O400" s="290"/>
      <c r="P400" s="290"/>
      <c r="Q400" s="290"/>
      <c r="R400" s="288"/>
      <c r="S400" s="289"/>
    </row>
    <row r="401" spans="11:19">
      <c r="K401" s="290"/>
      <c r="L401" s="290"/>
      <c r="M401" s="290"/>
      <c r="N401" s="290"/>
      <c r="O401" s="290"/>
      <c r="P401" s="290"/>
      <c r="Q401" s="290"/>
      <c r="R401" s="288"/>
      <c r="S401" s="289"/>
    </row>
    <row r="402" spans="11:19">
      <c r="K402" s="290"/>
      <c r="L402" s="290"/>
      <c r="M402" s="290"/>
      <c r="N402" s="290"/>
      <c r="O402" s="290"/>
      <c r="P402" s="290"/>
      <c r="Q402" s="290"/>
      <c r="R402" s="288"/>
      <c r="S402" s="289"/>
    </row>
    <row r="403" spans="11:19">
      <c r="K403" s="290"/>
      <c r="L403" s="290"/>
      <c r="M403" s="290"/>
      <c r="N403" s="290"/>
      <c r="O403" s="290"/>
      <c r="P403" s="290"/>
      <c r="Q403" s="290"/>
      <c r="R403" s="288"/>
      <c r="S403" s="289"/>
    </row>
    <row r="404" spans="11:19">
      <c r="K404" s="290"/>
      <c r="L404" s="290"/>
      <c r="M404" s="290"/>
      <c r="N404" s="290"/>
      <c r="O404" s="290"/>
      <c r="P404" s="290"/>
      <c r="Q404" s="290"/>
      <c r="R404" s="288"/>
      <c r="S404" s="289"/>
    </row>
    <row r="405" spans="11:19">
      <c r="K405" s="290"/>
      <c r="L405" s="290"/>
      <c r="M405" s="290"/>
      <c r="N405" s="290"/>
      <c r="O405" s="290"/>
      <c r="P405" s="290"/>
      <c r="Q405" s="290"/>
      <c r="R405" s="288"/>
      <c r="S405" s="289"/>
    </row>
    <row r="406" spans="11:19">
      <c r="K406" s="290"/>
      <c r="L406" s="290"/>
      <c r="M406" s="290"/>
      <c r="N406" s="290"/>
      <c r="O406" s="290"/>
      <c r="P406" s="290"/>
      <c r="Q406" s="290"/>
      <c r="R406" s="288"/>
      <c r="S406" s="289"/>
    </row>
    <row r="407" spans="11:19">
      <c r="K407" s="290"/>
      <c r="L407" s="290"/>
      <c r="M407" s="290"/>
      <c r="N407" s="290"/>
      <c r="O407" s="290"/>
      <c r="P407" s="290"/>
      <c r="Q407" s="290"/>
      <c r="R407" s="288"/>
      <c r="S407" s="289"/>
    </row>
    <row r="408" spans="11:19">
      <c r="K408" s="290"/>
      <c r="L408" s="290"/>
      <c r="M408" s="290"/>
      <c r="N408" s="290"/>
      <c r="O408" s="290"/>
      <c r="P408" s="290"/>
      <c r="Q408" s="290"/>
      <c r="R408" s="288"/>
      <c r="S408" s="289"/>
    </row>
    <row r="409" spans="11:19">
      <c r="K409" s="290"/>
      <c r="L409" s="290"/>
      <c r="M409" s="290"/>
      <c r="N409" s="290"/>
      <c r="O409" s="290"/>
      <c r="P409" s="290"/>
      <c r="Q409" s="290"/>
      <c r="R409" s="288"/>
      <c r="S409" s="289"/>
    </row>
    <row r="410" spans="11:19">
      <c r="K410" s="290"/>
      <c r="L410" s="290"/>
      <c r="M410" s="290"/>
      <c r="N410" s="290"/>
      <c r="O410" s="290"/>
      <c r="P410" s="290"/>
      <c r="Q410" s="290"/>
      <c r="R410" s="288"/>
      <c r="S410" s="289"/>
    </row>
    <row r="411" spans="11:19">
      <c r="K411" s="290"/>
      <c r="L411" s="290"/>
      <c r="M411" s="290"/>
      <c r="N411" s="290"/>
      <c r="O411" s="290"/>
      <c r="P411" s="290"/>
      <c r="Q411" s="290"/>
      <c r="R411" s="288"/>
      <c r="S411" s="289"/>
    </row>
    <row r="412" spans="11:19">
      <c r="K412" s="290"/>
      <c r="L412" s="290"/>
      <c r="M412" s="290"/>
      <c r="N412" s="290"/>
      <c r="O412" s="290"/>
      <c r="P412" s="290"/>
      <c r="Q412" s="290"/>
      <c r="R412" s="288"/>
      <c r="S412" s="289"/>
    </row>
    <row r="413" spans="11:19">
      <c r="K413" s="290"/>
      <c r="L413" s="290"/>
      <c r="M413" s="290"/>
      <c r="N413" s="290"/>
      <c r="O413" s="290"/>
      <c r="P413" s="290"/>
      <c r="Q413" s="290"/>
      <c r="R413" s="288"/>
      <c r="S413" s="289"/>
    </row>
    <row r="414" spans="11:19">
      <c r="K414" s="290"/>
      <c r="L414" s="290"/>
      <c r="M414" s="290"/>
      <c r="N414" s="290"/>
      <c r="O414" s="290"/>
      <c r="P414" s="290"/>
      <c r="Q414" s="290"/>
      <c r="R414" s="288"/>
      <c r="S414" s="289"/>
    </row>
    <row r="415" spans="11:19">
      <c r="K415" s="290"/>
      <c r="L415" s="290"/>
      <c r="M415" s="290"/>
      <c r="N415" s="290"/>
      <c r="O415" s="290"/>
      <c r="P415" s="290"/>
      <c r="Q415" s="290"/>
      <c r="R415" s="288"/>
      <c r="S415" s="289"/>
    </row>
    <row r="416" spans="11:19">
      <c r="K416" s="290"/>
      <c r="L416" s="290"/>
      <c r="M416" s="290"/>
      <c r="N416" s="290"/>
      <c r="O416" s="290"/>
      <c r="P416" s="290"/>
      <c r="Q416" s="290"/>
      <c r="R416" s="288"/>
      <c r="S416" s="289"/>
    </row>
    <row r="417" spans="11:19">
      <c r="K417" s="290"/>
      <c r="L417" s="290"/>
      <c r="M417" s="290"/>
      <c r="N417" s="290"/>
      <c r="O417" s="290"/>
      <c r="P417" s="290"/>
      <c r="Q417" s="290"/>
      <c r="R417" s="288"/>
      <c r="S417" s="289"/>
    </row>
    <row r="418" spans="11:19">
      <c r="K418" s="290"/>
      <c r="L418" s="290"/>
      <c r="M418" s="290"/>
      <c r="N418" s="290"/>
      <c r="O418" s="290"/>
      <c r="P418" s="290"/>
      <c r="Q418" s="290"/>
      <c r="R418" s="288"/>
      <c r="S418" s="289"/>
    </row>
    <row r="419" spans="11:19">
      <c r="K419" s="290"/>
      <c r="L419" s="290"/>
      <c r="M419" s="290"/>
      <c r="N419" s="290"/>
      <c r="O419" s="290"/>
      <c r="P419" s="290"/>
      <c r="Q419" s="290"/>
      <c r="R419" s="288"/>
      <c r="S419" s="289"/>
    </row>
    <row r="420" spans="11:19">
      <c r="K420" s="290"/>
      <c r="L420" s="290"/>
      <c r="M420" s="290"/>
      <c r="N420" s="290"/>
      <c r="O420" s="290"/>
      <c r="P420" s="290"/>
      <c r="Q420" s="290"/>
      <c r="R420" s="288"/>
      <c r="S420" s="289"/>
    </row>
    <row r="421" spans="11:19">
      <c r="K421" s="290"/>
      <c r="L421" s="290"/>
      <c r="M421" s="290"/>
      <c r="N421" s="290"/>
      <c r="O421" s="290"/>
      <c r="P421" s="290"/>
      <c r="Q421" s="290"/>
      <c r="R421" s="288"/>
      <c r="S421" s="289"/>
    </row>
    <row r="422" spans="11:19">
      <c r="K422" s="290"/>
      <c r="L422" s="290"/>
      <c r="M422" s="290"/>
      <c r="N422" s="290"/>
      <c r="O422" s="290"/>
      <c r="P422" s="290"/>
      <c r="Q422" s="290"/>
      <c r="R422" s="288"/>
      <c r="S422" s="289"/>
    </row>
    <row r="423" spans="11:19">
      <c r="K423" s="290"/>
      <c r="L423" s="290"/>
      <c r="M423" s="290"/>
      <c r="N423" s="290"/>
      <c r="O423" s="290"/>
      <c r="P423" s="290"/>
      <c r="Q423" s="290"/>
      <c r="R423" s="288"/>
      <c r="S423" s="289"/>
    </row>
    <row r="424" spans="11:19">
      <c r="K424" s="290"/>
      <c r="L424" s="290"/>
      <c r="M424" s="290"/>
      <c r="N424" s="290"/>
      <c r="O424" s="290"/>
      <c r="P424" s="290"/>
      <c r="Q424" s="290"/>
      <c r="R424" s="288"/>
      <c r="S424" s="289"/>
    </row>
    <row r="425" spans="11:19">
      <c r="K425" s="290"/>
      <c r="L425" s="290"/>
      <c r="M425" s="290"/>
      <c r="N425" s="290"/>
      <c r="O425" s="290"/>
      <c r="P425" s="290"/>
      <c r="Q425" s="290"/>
      <c r="R425" s="288"/>
      <c r="S425" s="289"/>
    </row>
    <row r="426" spans="11:19">
      <c r="K426" s="290"/>
      <c r="L426" s="290"/>
      <c r="M426" s="290"/>
      <c r="N426" s="290"/>
      <c r="O426" s="290"/>
      <c r="P426" s="290"/>
      <c r="Q426" s="290"/>
      <c r="R426" s="288"/>
      <c r="S426" s="289"/>
    </row>
    <row r="427" spans="11:19">
      <c r="K427" s="290"/>
      <c r="L427" s="290"/>
      <c r="M427" s="290"/>
      <c r="N427" s="290"/>
      <c r="O427" s="290"/>
      <c r="P427" s="290"/>
      <c r="Q427" s="290"/>
      <c r="R427" s="288"/>
      <c r="S427" s="289"/>
    </row>
    <row r="428" spans="11:19">
      <c r="K428" s="290"/>
      <c r="L428" s="290"/>
      <c r="M428" s="290"/>
      <c r="N428" s="290"/>
      <c r="O428" s="290"/>
      <c r="P428" s="290"/>
      <c r="Q428" s="290"/>
      <c r="R428" s="288"/>
      <c r="S428" s="289"/>
    </row>
    <row r="429" spans="11:19">
      <c r="K429" s="290"/>
      <c r="L429" s="290"/>
      <c r="M429" s="290"/>
      <c r="N429" s="290"/>
      <c r="O429" s="290"/>
      <c r="P429" s="290"/>
      <c r="Q429" s="290"/>
      <c r="R429" s="288"/>
      <c r="S429" s="289"/>
    </row>
    <row r="430" spans="11:19">
      <c r="K430" s="290"/>
      <c r="L430" s="290"/>
      <c r="M430" s="290"/>
      <c r="N430" s="290"/>
      <c r="O430" s="290"/>
      <c r="P430" s="290"/>
      <c r="Q430" s="290"/>
      <c r="R430" s="288"/>
      <c r="S430" s="289"/>
    </row>
    <row r="431" spans="11:19">
      <c r="K431" s="290"/>
      <c r="L431" s="290"/>
      <c r="M431" s="290"/>
      <c r="N431" s="290"/>
      <c r="O431" s="290"/>
      <c r="P431" s="290"/>
      <c r="Q431" s="290"/>
      <c r="R431" s="288"/>
      <c r="S431" s="289"/>
    </row>
    <row r="432" spans="11:19">
      <c r="K432" s="290"/>
      <c r="L432" s="290"/>
      <c r="M432" s="290"/>
      <c r="N432" s="290"/>
      <c r="O432" s="290"/>
      <c r="P432" s="290"/>
      <c r="Q432" s="290"/>
      <c r="R432" s="288"/>
      <c r="S432" s="289"/>
    </row>
    <row r="433" spans="11:19">
      <c r="K433" s="290"/>
      <c r="L433" s="290"/>
      <c r="M433" s="290"/>
      <c r="N433" s="290"/>
      <c r="O433" s="290"/>
      <c r="P433" s="290"/>
      <c r="Q433" s="290"/>
      <c r="R433" s="288"/>
      <c r="S433" s="289"/>
    </row>
    <row r="434" spans="11:19">
      <c r="K434" s="290"/>
      <c r="L434" s="290"/>
      <c r="M434" s="290"/>
      <c r="N434" s="290"/>
      <c r="O434" s="290"/>
      <c r="P434" s="290"/>
      <c r="Q434" s="290"/>
      <c r="R434" s="288"/>
      <c r="S434" s="289"/>
    </row>
    <row r="435" spans="11:19">
      <c r="K435" s="290"/>
      <c r="L435" s="290"/>
      <c r="M435" s="290"/>
      <c r="N435" s="290"/>
      <c r="O435" s="290"/>
      <c r="P435" s="290"/>
      <c r="Q435" s="290"/>
      <c r="R435" s="288"/>
      <c r="S435" s="289"/>
    </row>
    <row r="436" spans="11:19">
      <c r="K436" s="290"/>
      <c r="L436" s="290"/>
      <c r="M436" s="290"/>
      <c r="N436" s="290"/>
      <c r="O436" s="290"/>
      <c r="P436" s="290"/>
      <c r="Q436" s="290"/>
      <c r="R436" s="288"/>
      <c r="S436" s="289"/>
    </row>
    <row r="437" spans="11:19">
      <c r="K437" s="290"/>
      <c r="L437" s="290"/>
      <c r="M437" s="290"/>
      <c r="N437" s="290"/>
      <c r="O437" s="290"/>
      <c r="P437" s="290"/>
      <c r="Q437" s="290"/>
      <c r="R437" s="288"/>
      <c r="S437" s="289"/>
    </row>
    <row r="438" spans="11:19">
      <c r="K438" s="290"/>
      <c r="L438" s="290"/>
      <c r="M438" s="290"/>
      <c r="N438" s="290"/>
      <c r="O438" s="290"/>
      <c r="P438" s="290"/>
      <c r="Q438" s="290"/>
      <c r="R438" s="288"/>
      <c r="S438" s="289"/>
    </row>
    <row r="439" spans="11:19">
      <c r="K439" s="290"/>
      <c r="L439" s="290"/>
      <c r="M439" s="290"/>
      <c r="N439" s="290"/>
      <c r="O439" s="290"/>
      <c r="P439" s="290"/>
      <c r="Q439" s="290"/>
      <c r="R439" s="288"/>
      <c r="S439" s="289"/>
    </row>
    <row r="440" spans="11:19">
      <c r="K440" s="290"/>
      <c r="L440" s="290"/>
      <c r="M440" s="290"/>
      <c r="N440" s="290"/>
      <c r="O440" s="290"/>
      <c r="P440" s="290"/>
      <c r="Q440" s="290"/>
      <c r="R440" s="288"/>
      <c r="S440" s="289"/>
    </row>
    <row r="441" spans="11:19">
      <c r="K441" s="290"/>
      <c r="L441" s="290"/>
      <c r="M441" s="290"/>
      <c r="N441" s="290"/>
      <c r="O441" s="290"/>
      <c r="P441" s="290"/>
      <c r="Q441" s="290"/>
      <c r="R441" s="288"/>
      <c r="S441" s="289"/>
    </row>
    <row r="442" spans="11:19">
      <c r="K442" s="290"/>
      <c r="L442" s="290"/>
      <c r="M442" s="290"/>
      <c r="N442" s="290"/>
      <c r="O442" s="290"/>
      <c r="P442" s="290"/>
      <c r="Q442" s="290"/>
      <c r="R442" s="288"/>
      <c r="S442" s="289"/>
    </row>
    <row r="443" spans="11:19">
      <c r="K443" s="290"/>
      <c r="L443" s="290"/>
      <c r="M443" s="290"/>
      <c r="N443" s="290"/>
      <c r="O443" s="290"/>
      <c r="P443" s="290"/>
      <c r="Q443" s="290"/>
      <c r="R443" s="288"/>
      <c r="S443" s="289"/>
    </row>
    <row r="444" spans="11:19">
      <c r="K444" s="290"/>
      <c r="L444" s="290"/>
      <c r="M444" s="290"/>
      <c r="N444" s="290"/>
      <c r="O444" s="290"/>
      <c r="P444" s="290"/>
      <c r="Q444" s="290"/>
      <c r="R444" s="288"/>
      <c r="S444" s="289"/>
    </row>
    <row r="445" spans="11:19">
      <c r="K445" s="290"/>
      <c r="L445" s="290"/>
      <c r="M445" s="290"/>
      <c r="N445" s="290"/>
      <c r="O445" s="290"/>
      <c r="P445" s="290"/>
      <c r="Q445" s="290"/>
      <c r="R445" s="288"/>
      <c r="S445" s="289"/>
    </row>
    <row r="446" spans="11:19">
      <c r="K446" s="290"/>
      <c r="L446" s="290"/>
      <c r="M446" s="290"/>
      <c r="N446" s="290"/>
      <c r="O446" s="290"/>
      <c r="P446" s="290"/>
      <c r="Q446" s="290"/>
      <c r="R446" s="288"/>
      <c r="S446" s="289"/>
    </row>
    <row r="447" spans="11:19">
      <c r="K447" s="290"/>
      <c r="L447" s="290"/>
      <c r="M447" s="290"/>
      <c r="N447" s="290"/>
      <c r="O447" s="290"/>
      <c r="P447" s="290"/>
      <c r="Q447" s="290"/>
      <c r="R447" s="288"/>
      <c r="S447" s="289"/>
    </row>
    <row r="448" spans="11:19">
      <c r="K448" s="290"/>
      <c r="L448" s="290"/>
      <c r="M448" s="290"/>
      <c r="N448" s="290"/>
      <c r="O448" s="290"/>
      <c r="P448" s="290"/>
      <c r="Q448" s="290"/>
      <c r="R448" s="288"/>
      <c r="S448" s="289"/>
    </row>
    <row r="449" spans="11:19">
      <c r="K449" s="290"/>
      <c r="L449" s="290"/>
      <c r="M449" s="290"/>
      <c r="N449" s="290"/>
      <c r="O449" s="290"/>
      <c r="P449" s="290"/>
      <c r="Q449" s="290"/>
      <c r="R449" s="288"/>
      <c r="S449" s="289"/>
    </row>
    <row r="450" spans="11:19">
      <c r="K450" s="290"/>
      <c r="L450" s="290"/>
      <c r="M450" s="290"/>
      <c r="N450" s="290"/>
      <c r="O450" s="290"/>
      <c r="P450" s="290"/>
      <c r="Q450" s="290"/>
      <c r="R450" s="288"/>
      <c r="S450" s="289"/>
    </row>
    <row r="451" spans="11:19">
      <c r="K451" s="290"/>
      <c r="L451" s="290"/>
      <c r="M451" s="290"/>
      <c r="N451" s="290"/>
      <c r="O451" s="290"/>
      <c r="P451" s="290"/>
      <c r="Q451" s="290"/>
      <c r="R451" s="288"/>
      <c r="S451" s="289"/>
    </row>
    <row r="452" spans="11:19">
      <c r="K452" s="290"/>
      <c r="L452" s="290"/>
      <c r="M452" s="290"/>
      <c r="N452" s="290"/>
      <c r="O452" s="290"/>
      <c r="P452" s="290"/>
      <c r="Q452" s="290"/>
      <c r="R452" s="288"/>
      <c r="S452" s="289"/>
    </row>
    <row r="453" spans="11:19">
      <c r="K453" s="290"/>
      <c r="L453" s="290"/>
      <c r="M453" s="290"/>
      <c r="N453" s="290"/>
      <c r="O453" s="290"/>
      <c r="P453" s="290"/>
      <c r="Q453" s="290"/>
      <c r="R453" s="288"/>
      <c r="S453" s="289"/>
    </row>
    <row r="454" spans="11:19">
      <c r="K454" s="290"/>
      <c r="L454" s="290"/>
      <c r="M454" s="290"/>
      <c r="N454" s="290"/>
      <c r="O454" s="290"/>
      <c r="P454" s="290"/>
      <c r="Q454" s="290"/>
      <c r="R454" s="288"/>
      <c r="S454" s="289"/>
    </row>
    <row r="455" spans="11:19">
      <c r="K455" s="290"/>
      <c r="L455" s="290"/>
      <c r="M455" s="290"/>
      <c r="N455" s="290"/>
      <c r="O455" s="290"/>
      <c r="P455" s="290"/>
      <c r="Q455" s="290"/>
      <c r="R455" s="288"/>
      <c r="S455" s="289"/>
    </row>
    <row r="456" spans="11:19">
      <c r="K456" s="290"/>
      <c r="L456" s="290"/>
      <c r="M456" s="290"/>
      <c r="N456" s="290"/>
      <c r="O456" s="290"/>
      <c r="P456" s="290"/>
      <c r="Q456" s="290"/>
      <c r="R456" s="288"/>
      <c r="S456" s="289"/>
    </row>
    <row r="457" spans="11:19">
      <c r="K457" s="290"/>
      <c r="L457" s="290"/>
      <c r="M457" s="290"/>
      <c r="N457" s="290"/>
      <c r="O457" s="290"/>
      <c r="P457" s="290"/>
      <c r="Q457" s="290"/>
      <c r="R457" s="288"/>
      <c r="S457" s="289"/>
    </row>
    <row r="458" spans="11:19">
      <c r="K458" s="290"/>
      <c r="L458" s="290"/>
      <c r="M458" s="290"/>
      <c r="N458" s="290"/>
      <c r="O458" s="290"/>
      <c r="P458" s="290"/>
      <c r="Q458" s="290"/>
      <c r="R458" s="288"/>
      <c r="S458" s="289"/>
    </row>
    <row r="459" spans="11:19">
      <c r="K459" s="290"/>
      <c r="L459" s="290"/>
      <c r="M459" s="290"/>
      <c r="N459" s="290"/>
      <c r="O459" s="290"/>
      <c r="P459" s="290"/>
      <c r="Q459" s="290"/>
      <c r="R459" s="288"/>
      <c r="S459" s="289"/>
    </row>
    <row r="460" spans="11:19">
      <c r="K460" s="290"/>
      <c r="L460" s="290"/>
      <c r="M460" s="290"/>
      <c r="N460" s="290"/>
      <c r="O460" s="290"/>
      <c r="P460" s="290"/>
      <c r="Q460" s="290"/>
      <c r="R460" s="288"/>
      <c r="S460" s="289"/>
    </row>
    <row r="461" spans="11:19">
      <c r="K461" s="290"/>
      <c r="L461" s="290"/>
      <c r="M461" s="290"/>
      <c r="N461" s="290"/>
      <c r="O461" s="290"/>
      <c r="P461" s="290"/>
      <c r="Q461" s="290"/>
      <c r="R461" s="288"/>
      <c r="S461" s="289"/>
    </row>
    <row r="462" spans="11:19">
      <c r="K462" s="290"/>
      <c r="L462" s="290"/>
      <c r="M462" s="290"/>
      <c r="N462" s="290"/>
      <c r="O462" s="290"/>
      <c r="P462" s="290"/>
      <c r="Q462" s="290"/>
      <c r="R462" s="288"/>
      <c r="S462" s="289"/>
    </row>
    <row r="463" spans="11:19">
      <c r="K463" s="290"/>
      <c r="L463" s="290"/>
      <c r="M463" s="290"/>
      <c r="N463" s="290"/>
      <c r="O463" s="290"/>
      <c r="P463" s="290"/>
      <c r="Q463" s="290"/>
      <c r="R463" s="288"/>
      <c r="S463" s="289"/>
    </row>
    <row r="464" spans="11:19">
      <c r="K464" s="290"/>
      <c r="L464" s="290"/>
      <c r="M464" s="290"/>
      <c r="N464" s="290"/>
      <c r="O464" s="290"/>
      <c r="P464" s="290"/>
      <c r="Q464" s="290"/>
      <c r="R464" s="288"/>
      <c r="S464" s="289"/>
    </row>
    <row r="465" spans="11:19">
      <c r="K465" s="290"/>
      <c r="L465" s="290"/>
      <c r="M465" s="290"/>
      <c r="N465" s="290"/>
      <c r="O465" s="290"/>
      <c r="P465" s="290"/>
      <c r="Q465" s="290"/>
      <c r="R465" s="288"/>
      <c r="S465" s="289"/>
    </row>
    <row r="466" spans="11:19">
      <c r="K466" s="290"/>
      <c r="L466" s="290"/>
      <c r="M466" s="290"/>
      <c r="N466" s="290"/>
      <c r="O466" s="290"/>
      <c r="P466" s="290"/>
      <c r="Q466" s="290"/>
      <c r="R466" s="288"/>
      <c r="S466" s="289"/>
    </row>
    <row r="467" spans="11:19">
      <c r="K467" s="290"/>
      <c r="L467" s="290"/>
      <c r="M467" s="290"/>
      <c r="N467" s="290"/>
      <c r="O467" s="290"/>
      <c r="P467" s="290"/>
      <c r="Q467" s="290"/>
      <c r="R467" s="288"/>
      <c r="S467" s="289"/>
    </row>
    <row r="468" spans="11:19">
      <c r="K468" s="290"/>
      <c r="L468" s="290"/>
      <c r="M468" s="290"/>
      <c r="N468" s="290"/>
      <c r="O468" s="290"/>
      <c r="P468" s="290"/>
      <c r="Q468" s="290"/>
      <c r="R468" s="288"/>
      <c r="S468" s="289"/>
    </row>
    <row r="469" spans="11:19">
      <c r="K469" s="290"/>
      <c r="L469" s="290"/>
      <c r="M469" s="290"/>
      <c r="N469" s="290"/>
      <c r="O469" s="290"/>
      <c r="P469" s="290"/>
      <c r="Q469" s="290"/>
      <c r="R469" s="288"/>
      <c r="S469" s="289"/>
    </row>
    <row r="470" spans="11:19">
      <c r="K470" s="290"/>
      <c r="L470" s="290"/>
      <c r="M470" s="290"/>
      <c r="N470" s="290"/>
      <c r="O470" s="290"/>
      <c r="P470" s="290"/>
      <c r="Q470" s="290"/>
      <c r="R470" s="288"/>
      <c r="S470" s="289"/>
    </row>
    <row r="471" spans="11:19">
      <c r="K471" s="290"/>
      <c r="L471" s="290"/>
      <c r="M471" s="290"/>
      <c r="N471" s="290"/>
      <c r="O471" s="290"/>
      <c r="P471" s="290"/>
      <c r="Q471" s="290"/>
      <c r="R471" s="288"/>
      <c r="S471" s="289"/>
    </row>
    <row r="472" spans="11:19">
      <c r="K472" s="290"/>
      <c r="L472" s="290"/>
      <c r="M472" s="290"/>
      <c r="N472" s="290"/>
      <c r="O472" s="290"/>
      <c r="P472" s="290"/>
      <c r="Q472" s="290"/>
      <c r="R472" s="288"/>
      <c r="S472" s="289"/>
    </row>
    <row r="473" spans="11:19">
      <c r="K473" s="290"/>
      <c r="L473" s="290"/>
      <c r="M473" s="290"/>
      <c r="N473" s="290"/>
      <c r="O473" s="290"/>
      <c r="P473" s="290"/>
      <c r="Q473" s="290"/>
      <c r="R473" s="288"/>
      <c r="S473" s="289"/>
    </row>
    <row r="474" spans="11:19">
      <c r="K474" s="290"/>
      <c r="L474" s="290"/>
      <c r="M474" s="290"/>
      <c r="N474" s="290"/>
      <c r="O474" s="290"/>
      <c r="P474" s="290"/>
      <c r="Q474" s="290"/>
      <c r="R474" s="288"/>
      <c r="S474" s="289"/>
    </row>
    <row r="475" spans="11:19">
      <c r="K475" s="290"/>
      <c r="L475" s="290"/>
      <c r="M475" s="290"/>
      <c r="N475" s="290"/>
      <c r="O475" s="290"/>
      <c r="P475" s="290"/>
      <c r="Q475" s="290"/>
      <c r="R475" s="288"/>
      <c r="S475" s="289"/>
    </row>
    <row r="476" spans="11:19">
      <c r="K476" s="290"/>
      <c r="L476" s="290"/>
      <c r="M476" s="290"/>
      <c r="N476" s="290"/>
      <c r="O476" s="290"/>
      <c r="P476" s="290"/>
      <c r="Q476" s="290"/>
      <c r="R476" s="288"/>
      <c r="S476" s="289"/>
    </row>
    <row r="477" spans="11:19">
      <c r="K477" s="290"/>
      <c r="L477" s="290"/>
      <c r="M477" s="290"/>
      <c r="N477" s="290"/>
      <c r="O477" s="290"/>
      <c r="P477" s="290"/>
      <c r="Q477" s="290"/>
      <c r="R477" s="288"/>
      <c r="S477" s="289"/>
    </row>
    <row r="478" spans="11:19">
      <c r="K478" s="290"/>
      <c r="L478" s="290"/>
      <c r="M478" s="290"/>
      <c r="N478" s="290"/>
      <c r="O478" s="290"/>
      <c r="P478" s="290"/>
      <c r="Q478" s="290"/>
      <c r="R478" s="288"/>
      <c r="S478" s="289"/>
    </row>
    <row r="479" spans="11:19">
      <c r="K479" s="290"/>
      <c r="L479" s="290"/>
      <c r="M479" s="290"/>
      <c r="N479" s="290"/>
      <c r="O479" s="290"/>
      <c r="P479" s="290"/>
      <c r="Q479" s="290"/>
      <c r="R479" s="288"/>
      <c r="S479" s="289"/>
    </row>
    <row r="480" spans="11:19">
      <c r="K480" s="290"/>
      <c r="L480" s="290"/>
      <c r="M480" s="290"/>
      <c r="N480" s="290"/>
      <c r="O480" s="290"/>
      <c r="P480" s="290"/>
      <c r="Q480" s="290"/>
      <c r="R480" s="288"/>
      <c r="S480" s="289"/>
    </row>
    <row r="481" spans="11:19">
      <c r="K481" s="290"/>
      <c r="L481" s="290"/>
      <c r="M481" s="290"/>
      <c r="N481" s="290"/>
      <c r="O481" s="290"/>
      <c r="P481" s="290"/>
      <c r="Q481" s="290"/>
      <c r="R481" s="288"/>
      <c r="S481" s="289"/>
    </row>
    <row r="482" spans="11:19">
      <c r="K482" s="290"/>
      <c r="L482" s="290"/>
      <c r="M482" s="290"/>
      <c r="N482" s="290"/>
      <c r="O482" s="290"/>
      <c r="P482" s="290"/>
      <c r="Q482" s="290"/>
      <c r="R482" s="288"/>
      <c r="S482" s="289"/>
    </row>
    <row r="483" spans="11:19">
      <c r="K483" s="290"/>
      <c r="L483" s="290"/>
      <c r="M483" s="290"/>
      <c r="N483" s="290"/>
      <c r="O483" s="290"/>
      <c r="P483" s="290"/>
      <c r="Q483" s="290"/>
      <c r="R483" s="288"/>
      <c r="S483" s="289"/>
    </row>
    <row r="484" spans="11:19">
      <c r="K484" s="290"/>
      <c r="L484" s="290"/>
      <c r="M484" s="290"/>
      <c r="N484" s="290"/>
      <c r="O484" s="290"/>
      <c r="P484" s="290"/>
      <c r="Q484" s="290"/>
      <c r="R484" s="288"/>
      <c r="S484" s="289"/>
    </row>
    <row r="485" spans="11:19">
      <c r="K485" s="290"/>
      <c r="L485" s="290"/>
      <c r="M485" s="290"/>
      <c r="N485" s="290"/>
      <c r="O485" s="290"/>
      <c r="P485" s="290"/>
      <c r="Q485" s="290"/>
      <c r="R485" s="288"/>
      <c r="S485" s="289"/>
    </row>
    <row r="486" spans="11:19">
      <c r="K486" s="290"/>
      <c r="L486" s="290"/>
      <c r="M486" s="290"/>
      <c r="N486" s="290"/>
      <c r="O486" s="290"/>
      <c r="P486" s="290"/>
      <c r="Q486" s="290"/>
      <c r="R486" s="288"/>
      <c r="S486" s="289"/>
    </row>
    <row r="487" spans="11:19">
      <c r="K487" s="290"/>
      <c r="L487" s="290"/>
      <c r="M487" s="290"/>
      <c r="N487" s="290"/>
      <c r="O487" s="290"/>
      <c r="P487" s="290"/>
      <c r="Q487" s="290"/>
      <c r="R487" s="288"/>
      <c r="S487" s="289"/>
    </row>
    <row r="488" spans="11:19">
      <c r="K488" s="290"/>
      <c r="L488" s="290"/>
      <c r="M488" s="290"/>
      <c r="N488" s="290"/>
      <c r="O488" s="290"/>
      <c r="P488" s="290"/>
      <c r="Q488" s="290"/>
      <c r="R488" s="288"/>
      <c r="S488" s="289"/>
    </row>
    <row r="489" spans="11:19">
      <c r="K489" s="290"/>
      <c r="L489" s="290"/>
      <c r="M489" s="290"/>
      <c r="N489" s="290"/>
      <c r="O489" s="290"/>
      <c r="P489" s="290"/>
      <c r="Q489" s="290"/>
      <c r="R489" s="288"/>
      <c r="S489" s="289"/>
    </row>
    <row r="490" spans="11:19">
      <c r="K490" s="290"/>
      <c r="L490" s="290"/>
      <c r="M490" s="290"/>
      <c r="N490" s="290"/>
      <c r="O490" s="290"/>
      <c r="P490" s="290"/>
      <c r="Q490" s="290"/>
      <c r="R490" s="288"/>
      <c r="S490" s="289"/>
    </row>
    <row r="491" spans="11:19">
      <c r="K491" s="290"/>
      <c r="L491" s="290"/>
      <c r="M491" s="290"/>
      <c r="N491" s="290"/>
      <c r="O491" s="290"/>
      <c r="P491" s="290"/>
      <c r="Q491" s="290"/>
      <c r="R491" s="288"/>
      <c r="S491" s="289"/>
    </row>
    <row r="492" spans="11:19">
      <c r="K492" s="290"/>
      <c r="L492" s="290"/>
      <c r="M492" s="290"/>
      <c r="N492" s="290"/>
      <c r="O492" s="290"/>
      <c r="P492" s="290"/>
      <c r="Q492" s="290"/>
      <c r="R492" s="288"/>
      <c r="S492" s="289"/>
    </row>
    <row r="493" spans="11:19">
      <c r="K493" s="290"/>
      <c r="L493" s="290"/>
      <c r="M493" s="290"/>
      <c r="N493" s="290"/>
      <c r="O493" s="290"/>
      <c r="P493" s="290"/>
      <c r="Q493" s="290"/>
      <c r="R493" s="288"/>
      <c r="S493" s="289"/>
    </row>
    <row r="494" spans="11:19">
      <c r="K494" s="290"/>
      <c r="L494" s="290"/>
      <c r="M494" s="290"/>
      <c r="N494" s="290"/>
      <c r="O494" s="290"/>
      <c r="P494" s="290"/>
      <c r="Q494" s="290"/>
      <c r="R494" s="288"/>
      <c r="S494" s="289"/>
    </row>
    <row r="495" spans="11:19">
      <c r="K495" s="290"/>
      <c r="L495" s="290"/>
      <c r="M495" s="290"/>
      <c r="N495" s="290"/>
      <c r="O495" s="290"/>
      <c r="P495" s="290"/>
      <c r="Q495" s="290"/>
      <c r="R495" s="288"/>
      <c r="S495" s="289"/>
    </row>
    <row r="496" spans="11:19">
      <c r="K496" s="290"/>
      <c r="L496" s="290"/>
      <c r="M496" s="290"/>
      <c r="N496" s="290"/>
      <c r="O496" s="290"/>
      <c r="P496" s="290"/>
      <c r="Q496" s="290"/>
      <c r="R496" s="288"/>
      <c r="S496" s="289"/>
    </row>
    <row r="497" spans="11:19">
      <c r="K497" s="290"/>
      <c r="L497" s="290"/>
      <c r="M497" s="290"/>
      <c r="N497" s="290"/>
      <c r="O497" s="290"/>
      <c r="P497" s="290"/>
      <c r="Q497" s="290"/>
      <c r="R497" s="288"/>
      <c r="S497" s="289"/>
    </row>
    <row r="498" spans="11:19">
      <c r="K498" s="290"/>
      <c r="L498" s="290"/>
      <c r="M498" s="290"/>
      <c r="N498" s="290"/>
      <c r="O498" s="290"/>
      <c r="P498" s="290"/>
      <c r="Q498" s="290"/>
      <c r="R498" s="288"/>
      <c r="S498" s="289"/>
    </row>
    <row r="499" spans="11:19">
      <c r="K499" s="290"/>
      <c r="L499" s="290"/>
      <c r="M499" s="290"/>
      <c r="N499" s="290"/>
      <c r="O499" s="290"/>
      <c r="P499" s="290"/>
      <c r="Q499" s="290"/>
      <c r="R499" s="288"/>
      <c r="S499" s="289"/>
    </row>
    <row r="500" spans="11:19">
      <c r="K500" s="290"/>
      <c r="L500" s="290"/>
      <c r="M500" s="290"/>
      <c r="N500" s="290"/>
      <c r="O500" s="290"/>
      <c r="P500" s="290"/>
      <c r="Q500" s="290"/>
      <c r="R500" s="288"/>
      <c r="S500" s="289"/>
    </row>
    <row r="501" spans="11:19">
      <c r="K501" s="290"/>
      <c r="L501" s="290"/>
      <c r="M501" s="290"/>
      <c r="N501" s="290"/>
      <c r="O501" s="290"/>
      <c r="P501" s="290"/>
      <c r="Q501" s="290"/>
      <c r="R501" s="288"/>
      <c r="S501" s="289"/>
    </row>
    <row r="502" spans="11:19">
      <c r="K502" s="290"/>
      <c r="L502" s="290"/>
      <c r="M502" s="290"/>
      <c r="N502" s="290"/>
      <c r="O502" s="290"/>
      <c r="P502" s="290"/>
      <c r="Q502" s="290"/>
      <c r="R502" s="288"/>
      <c r="S502" s="289"/>
    </row>
    <row r="503" spans="11:19">
      <c r="K503" s="290"/>
      <c r="L503" s="290"/>
      <c r="M503" s="290"/>
      <c r="N503" s="290"/>
      <c r="O503" s="290"/>
      <c r="P503" s="290"/>
      <c r="Q503" s="290"/>
      <c r="R503" s="288"/>
      <c r="S503" s="289"/>
    </row>
    <row r="504" spans="11:19">
      <c r="K504" s="290"/>
      <c r="L504" s="290"/>
      <c r="M504" s="290"/>
      <c r="N504" s="290"/>
      <c r="O504" s="290"/>
      <c r="P504" s="290"/>
      <c r="Q504" s="290"/>
      <c r="R504" s="288"/>
      <c r="S504" s="289"/>
    </row>
    <row r="505" spans="11:19">
      <c r="K505" s="290"/>
      <c r="L505" s="290"/>
      <c r="M505" s="290"/>
      <c r="N505" s="290"/>
      <c r="O505" s="290"/>
      <c r="P505" s="290"/>
      <c r="Q505" s="290"/>
      <c r="R505" s="288"/>
      <c r="S505" s="289"/>
    </row>
    <row r="506" spans="11:19">
      <c r="K506" s="290"/>
      <c r="L506" s="290"/>
      <c r="M506" s="290"/>
      <c r="N506" s="290"/>
      <c r="O506" s="290"/>
      <c r="P506" s="290"/>
      <c r="Q506" s="290"/>
      <c r="R506" s="288"/>
      <c r="S506" s="289"/>
    </row>
    <row r="507" spans="11:19">
      <c r="K507" s="290"/>
      <c r="L507" s="290"/>
      <c r="M507" s="290"/>
      <c r="N507" s="290"/>
      <c r="O507" s="290"/>
      <c r="P507" s="290"/>
      <c r="Q507" s="290"/>
      <c r="R507" s="288"/>
      <c r="S507" s="289"/>
    </row>
    <row r="508" spans="11:19">
      <c r="K508" s="290"/>
      <c r="L508" s="290"/>
      <c r="M508" s="290"/>
      <c r="N508" s="290"/>
      <c r="O508" s="290"/>
      <c r="P508" s="290"/>
      <c r="Q508" s="290"/>
      <c r="R508" s="288"/>
      <c r="S508" s="289"/>
    </row>
    <row r="509" spans="11:19">
      <c r="K509" s="290"/>
      <c r="L509" s="290"/>
      <c r="M509" s="290"/>
      <c r="N509" s="290"/>
      <c r="O509" s="290"/>
      <c r="P509" s="290"/>
      <c r="Q509" s="290"/>
      <c r="R509" s="288"/>
      <c r="S509" s="289"/>
    </row>
    <row r="510" spans="11:19">
      <c r="K510" s="290"/>
      <c r="L510" s="290"/>
      <c r="M510" s="290"/>
      <c r="N510" s="290"/>
      <c r="O510" s="290"/>
      <c r="P510" s="290"/>
      <c r="Q510" s="290"/>
      <c r="R510" s="288"/>
      <c r="S510" s="289"/>
    </row>
    <row r="511" spans="11:19">
      <c r="K511" s="290"/>
      <c r="L511" s="290"/>
      <c r="M511" s="290"/>
      <c r="N511" s="290"/>
      <c r="O511" s="290"/>
      <c r="P511" s="290"/>
      <c r="Q511" s="290"/>
      <c r="R511" s="288"/>
      <c r="S511" s="289"/>
    </row>
    <row r="512" spans="11:19">
      <c r="K512" s="290"/>
      <c r="L512" s="290"/>
      <c r="M512" s="290"/>
      <c r="N512" s="290"/>
      <c r="O512" s="290"/>
      <c r="P512" s="290"/>
      <c r="Q512" s="290"/>
      <c r="R512" s="288"/>
      <c r="S512" s="289"/>
    </row>
    <row r="513" spans="11:19">
      <c r="K513" s="290"/>
      <c r="L513" s="290"/>
      <c r="M513" s="290"/>
      <c r="N513" s="290"/>
      <c r="O513" s="290"/>
      <c r="P513" s="290"/>
      <c r="Q513" s="290"/>
      <c r="R513" s="288"/>
      <c r="S513" s="289"/>
    </row>
    <row r="514" spans="11:19">
      <c r="K514" s="290"/>
      <c r="L514" s="290"/>
      <c r="M514" s="290"/>
      <c r="N514" s="290"/>
      <c r="O514" s="290"/>
      <c r="P514" s="290"/>
      <c r="Q514" s="290"/>
      <c r="R514" s="288"/>
      <c r="S514" s="289"/>
    </row>
    <row r="515" spans="11:19">
      <c r="K515" s="290"/>
      <c r="L515" s="290"/>
      <c r="M515" s="290"/>
      <c r="N515" s="290"/>
      <c r="O515" s="290"/>
      <c r="P515" s="290"/>
      <c r="Q515" s="290"/>
      <c r="R515" s="288"/>
      <c r="S515" s="289"/>
    </row>
    <row r="516" spans="11:19">
      <c r="K516" s="290"/>
      <c r="L516" s="290"/>
      <c r="M516" s="290"/>
      <c r="N516" s="290"/>
      <c r="O516" s="290"/>
      <c r="P516" s="290"/>
      <c r="Q516" s="290"/>
      <c r="R516" s="288"/>
      <c r="S516" s="289"/>
    </row>
    <row r="517" spans="11:19">
      <c r="K517" s="290"/>
      <c r="L517" s="290"/>
      <c r="M517" s="290"/>
      <c r="N517" s="290"/>
      <c r="O517" s="290"/>
      <c r="P517" s="290"/>
      <c r="Q517" s="290"/>
      <c r="R517" s="288"/>
      <c r="S517" s="289"/>
    </row>
    <row r="518" spans="11:19">
      <c r="K518" s="290"/>
      <c r="L518" s="290"/>
      <c r="M518" s="290"/>
      <c r="N518" s="290"/>
      <c r="O518" s="290"/>
      <c r="P518" s="290"/>
      <c r="Q518" s="290"/>
      <c r="R518" s="288"/>
      <c r="S518" s="289"/>
    </row>
    <row r="519" spans="11:19">
      <c r="K519" s="290"/>
      <c r="L519" s="290"/>
      <c r="M519" s="290"/>
      <c r="N519" s="290"/>
      <c r="O519" s="290"/>
      <c r="P519" s="290"/>
      <c r="Q519" s="290"/>
      <c r="R519" s="288"/>
      <c r="S519" s="289"/>
    </row>
    <row r="520" spans="11:19">
      <c r="K520" s="290"/>
      <c r="L520" s="290"/>
      <c r="M520" s="290"/>
      <c r="N520" s="290"/>
      <c r="O520" s="290"/>
      <c r="P520" s="290"/>
      <c r="Q520" s="290"/>
      <c r="R520" s="288"/>
      <c r="S520" s="289"/>
    </row>
    <row r="521" spans="11:19">
      <c r="K521" s="290"/>
      <c r="L521" s="290"/>
      <c r="M521" s="290"/>
      <c r="N521" s="290"/>
      <c r="O521" s="290"/>
      <c r="P521" s="290"/>
      <c r="Q521" s="290"/>
      <c r="R521" s="288"/>
      <c r="S521" s="289"/>
    </row>
    <row r="522" spans="11:19">
      <c r="K522" s="290"/>
      <c r="L522" s="290"/>
      <c r="M522" s="290"/>
      <c r="N522" s="290"/>
      <c r="O522" s="290"/>
      <c r="P522" s="290"/>
      <c r="Q522" s="290"/>
      <c r="R522" s="288"/>
      <c r="S522" s="289"/>
    </row>
    <row r="523" spans="11:19">
      <c r="K523" s="290"/>
      <c r="L523" s="290"/>
      <c r="M523" s="290"/>
      <c r="N523" s="290"/>
      <c r="O523" s="290"/>
      <c r="P523" s="290"/>
      <c r="Q523" s="290"/>
      <c r="R523" s="288"/>
      <c r="S523" s="289"/>
    </row>
    <row r="524" spans="11:19">
      <c r="K524" s="290"/>
      <c r="L524" s="290"/>
      <c r="M524" s="290"/>
      <c r="N524" s="290"/>
      <c r="O524" s="290"/>
      <c r="P524" s="290"/>
      <c r="Q524" s="290"/>
      <c r="R524" s="288"/>
      <c r="S524" s="289"/>
    </row>
    <row r="525" spans="11:19">
      <c r="K525" s="290"/>
      <c r="L525" s="290"/>
      <c r="M525" s="290"/>
      <c r="N525" s="290"/>
      <c r="O525" s="290"/>
      <c r="P525" s="290"/>
      <c r="Q525" s="290"/>
      <c r="R525" s="288"/>
      <c r="S525" s="289"/>
    </row>
    <row r="526" spans="11:19">
      <c r="K526" s="290"/>
      <c r="L526" s="290"/>
      <c r="M526" s="290"/>
      <c r="N526" s="290"/>
      <c r="O526" s="290"/>
      <c r="P526" s="290"/>
      <c r="Q526" s="290"/>
      <c r="R526" s="288"/>
      <c r="S526" s="289"/>
    </row>
    <row r="527" spans="11:19">
      <c r="K527" s="290"/>
      <c r="L527" s="290"/>
      <c r="M527" s="290"/>
      <c r="N527" s="290"/>
      <c r="O527" s="290"/>
      <c r="P527" s="290"/>
      <c r="Q527" s="290"/>
      <c r="R527" s="288"/>
      <c r="S527" s="289"/>
    </row>
    <row r="528" spans="11:19">
      <c r="K528" s="290"/>
      <c r="L528" s="290"/>
      <c r="M528" s="290"/>
      <c r="N528" s="290"/>
      <c r="O528" s="290"/>
      <c r="P528" s="290"/>
      <c r="Q528" s="290"/>
      <c r="R528" s="288"/>
      <c r="S528" s="289"/>
    </row>
    <row r="529" spans="11:19">
      <c r="K529" s="290"/>
      <c r="L529" s="290"/>
      <c r="M529" s="290"/>
      <c r="N529" s="290"/>
      <c r="O529" s="290"/>
      <c r="P529" s="290"/>
      <c r="Q529" s="290"/>
      <c r="R529" s="288"/>
      <c r="S529" s="289"/>
    </row>
    <row r="530" spans="11:19">
      <c r="K530" s="290"/>
      <c r="L530" s="290"/>
      <c r="M530" s="290"/>
      <c r="N530" s="290"/>
      <c r="O530" s="290"/>
      <c r="P530" s="290"/>
      <c r="Q530" s="290"/>
      <c r="R530" s="288"/>
      <c r="S530" s="289"/>
    </row>
    <row r="531" spans="11:19">
      <c r="K531" s="290"/>
      <c r="L531" s="290"/>
      <c r="M531" s="290"/>
      <c r="N531" s="290"/>
      <c r="O531" s="290"/>
      <c r="P531" s="290"/>
      <c r="Q531" s="290"/>
      <c r="R531" s="288"/>
      <c r="S531" s="289"/>
    </row>
    <row r="532" spans="11:19">
      <c r="K532" s="290"/>
      <c r="L532" s="290"/>
      <c r="M532" s="290"/>
      <c r="N532" s="290"/>
      <c r="O532" s="290"/>
      <c r="P532" s="290"/>
      <c r="Q532" s="290"/>
      <c r="R532" s="288"/>
      <c r="S532" s="289"/>
    </row>
    <row r="533" spans="11:19">
      <c r="K533" s="290"/>
      <c r="L533" s="290"/>
      <c r="M533" s="290"/>
      <c r="N533" s="290"/>
      <c r="O533" s="290"/>
      <c r="P533" s="290"/>
      <c r="Q533" s="290"/>
      <c r="R533" s="288"/>
      <c r="S533" s="289"/>
    </row>
    <row r="534" spans="11:19">
      <c r="K534" s="290"/>
      <c r="L534" s="290"/>
      <c r="M534" s="290"/>
      <c r="N534" s="290"/>
      <c r="O534" s="290"/>
      <c r="P534" s="290"/>
      <c r="Q534" s="290"/>
      <c r="R534" s="288"/>
      <c r="S534" s="289"/>
    </row>
    <row r="535" spans="11:19">
      <c r="K535" s="290"/>
      <c r="L535" s="290"/>
      <c r="M535" s="290"/>
      <c r="N535" s="290"/>
      <c r="O535" s="290"/>
      <c r="P535" s="290"/>
      <c r="Q535" s="290"/>
      <c r="R535" s="288"/>
      <c r="S535" s="289"/>
    </row>
    <row r="536" spans="11:19">
      <c r="K536" s="290"/>
      <c r="L536" s="290"/>
      <c r="M536" s="290"/>
      <c r="N536" s="290"/>
      <c r="O536" s="290"/>
      <c r="P536" s="290"/>
      <c r="Q536" s="290"/>
      <c r="R536" s="288"/>
      <c r="S536" s="289"/>
    </row>
    <row r="537" spans="11:19">
      <c r="K537" s="290"/>
      <c r="L537" s="290"/>
      <c r="M537" s="290"/>
      <c r="N537" s="290"/>
      <c r="O537" s="290"/>
      <c r="P537" s="290"/>
      <c r="Q537" s="290"/>
      <c r="R537" s="288"/>
      <c r="S537" s="289"/>
    </row>
    <row r="538" spans="11:19">
      <c r="K538" s="290"/>
      <c r="L538" s="290"/>
      <c r="M538" s="290"/>
      <c r="N538" s="290"/>
      <c r="O538" s="290"/>
      <c r="P538" s="290"/>
      <c r="Q538" s="290"/>
      <c r="R538" s="288"/>
      <c r="S538" s="289"/>
    </row>
    <row r="539" spans="11:19">
      <c r="K539" s="290"/>
      <c r="L539" s="290"/>
      <c r="M539" s="290"/>
      <c r="N539" s="290"/>
      <c r="O539" s="290"/>
      <c r="P539" s="290"/>
      <c r="Q539" s="290"/>
      <c r="R539" s="288"/>
      <c r="S539" s="289"/>
    </row>
    <row r="540" spans="11:19">
      <c r="K540" s="290"/>
      <c r="L540" s="290"/>
      <c r="M540" s="290"/>
      <c r="N540" s="290"/>
      <c r="O540" s="290"/>
      <c r="P540" s="290"/>
      <c r="Q540" s="290"/>
      <c r="R540" s="288"/>
      <c r="S540" s="289"/>
    </row>
    <row r="541" spans="11:19">
      <c r="K541" s="290"/>
      <c r="L541" s="290"/>
      <c r="M541" s="290"/>
      <c r="N541" s="290"/>
      <c r="O541" s="290"/>
      <c r="P541" s="290"/>
      <c r="Q541" s="290"/>
      <c r="R541" s="288"/>
      <c r="S541" s="289"/>
    </row>
    <row r="542" spans="11:19">
      <c r="K542" s="290"/>
      <c r="L542" s="290"/>
      <c r="M542" s="290"/>
      <c r="N542" s="290"/>
      <c r="O542" s="290"/>
      <c r="P542" s="290"/>
      <c r="Q542" s="290"/>
      <c r="R542" s="288"/>
      <c r="S542" s="289"/>
    </row>
    <row r="543" spans="11:19">
      <c r="K543" s="290"/>
      <c r="L543" s="290"/>
      <c r="M543" s="290"/>
      <c r="N543" s="290"/>
      <c r="O543" s="290"/>
      <c r="P543" s="290"/>
      <c r="Q543" s="290"/>
      <c r="R543" s="288"/>
      <c r="S543" s="289"/>
    </row>
    <row r="544" spans="11:19">
      <c r="K544" s="290"/>
      <c r="L544" s="290"/>
      <c r="M544" s="290"/>
      <c r="N544" s="290"/>
      <c r="O544" s="290"/>
      <c r="P544" s="290"/>
      <c r="Q544" s="290"/>
      <c r="R544" s="288"/>
      <c r="S544" s="289"/>
    </row>
    <row r="545" spans="11:19">
      <c r="K545" s="290"/>
      <c r="L545" s="290"/>
      <c r="M545" s="290"/>
      <c r="N545" s="290"/>
      <c r="O545" s="290"/>
      <c r="P545" s="290"/>
      <c r="Q545" s="290"/>
      <c r="R545" s="288"/>
      <c r="S545" s="289"/>
    </row>
    <row r="546" spans="11:19">
      <c r="K546" s="290"/>
      <c r="L546" s="290"/>
      <c r="M546" s="290"/>
      <c r="N546" s="290"/>
      <c r="O546" s="290"/>
      <c r="P546" s="290"/>
      <c r="Q546" s="290"/>
      <c r="R546" s="288"/>
      <c r="S546" s="289"/>
    </row>
    <row r="547" spans="11:19">
      <c r="K547" s="290"/>
      <c r="L547" s="290"/>
      <c r="M547" s="290"/>
      <c r="N547" s="290"/>
      <c r="O547" s="290"/>
      <c r="P547" s="290"/>
      <c r="Q547" s="290"/>
      <c r="R547" s="288"/>
      <c r="S547" s="289"/>
    </row>
    <row r="548" spans="11:19">
      <c r="K548" s="290"/>
      <c r="L548" s="290"/>
      <c r="M548" s="290"/>
      <c r="N548" s="290"/>
      <c r="O548" s="290"/>
      <c r="P548" s="290"/>
      <c r="Q548" s="290"/>
      <c r="R548" s="288"/>
      <c r="S548" s="289"/>
    </row>
    <row r="549" spans="11:19">
      <c r="K549" s="290"/>
      <c r="L549" s="290"/>
      <c r="M549" s="290"/>
      <c r="N549" s="290"/>
      <c r="O549" s="290"/>
      <c r="P549" s="290"/>
      <c r="Q549" s="290"/>
      <c r="R549" s="288"/>
      <c r="S549" s="289"/>
    </row>
    <row r="550" spans="11:19">
      <c r="K550" s="290"/>
      <c r="L550" s="290"/>
      <c r="M550" s="290"/>
      <c r="N550" s="290"/>
      <c r="O550" s="290"/>
      <c r="P550" s="290"/>
      <c r="Q550" s="290"/>
      <c r="R550" s="288"/>
      <c r="S550" s="289"/>
    </row>
    <row r="551" spans="11:19">
      <c r="K551" s="290"/>
      <c r="L551" s="290"/>
      <c r="M551" s="290"/>
      <c r="N551" s="290"/>
      <c r="O551" s="290"/>
      <c r="P551" s="290"/>
      <c r="Q551" s="290"/>
      <c r="R551" s="288"/>
      <c r="S551" s="289"/>
    </row>
    <row r="552" spans="11:19">
      <c r="K552" s="290"/>
      <c r="L552" s="290"/>
      <c r="M552" s="290"/>
      <c r="N552" s="290"/>
      <c r="O552" s="290"/>
      <c r="P552" s="290"/>
      <c r="Q552" s="290"/>
      <c r="R552" s="288"/>
      <c r="S552" s="289"/>
    </row>
    <row r="553" spans="11:19">
      <c r="K553" s="290"/>
      <c r="L553" s="290"/>
      <c r="M553" s="290"/>
      <c r="N553" s="290"/>
      <c r="O553" s="290"/>
      <c r="P553" s="290"/>
      <c r="Q553" s="290"/>
      <c r="R553" s="288"/>
      <c r="S553" s="289"/>
    </row>
    <row r="554" spans="11:19">
      <c r="K554" s="290"/>
      <c r="L554" s="290"/>
      <c r="M554" s="290"/>
      <c r="N554" s="290"/>
      <c r="O554" s="290"/>
      <c r="P554" s="290"/>
      <c r="Q554" s="290"/>
      <c r="R554" s="288"/>
      <c r="S554" s="289"/>
    </row>
    <row r="555" spans="11:19">
      <c r="K555" s="290"/>
      <c r="L555" s="290"/>
      <c r="M555" s="290"/>
      <c r="N555" s="290"/>
      <c r="O555" s="290"/>
      <c r="P555" s="290"/>
      <c r="Q555" s="290"/>
      <c r="R555" s="288"/>
      <c r="S555" s="289"/>
    </row>
    <row r="556" spans="11:19">
      <c r="K556" s="290"/>
      <c r="L556" s="290"/>
      <c r="M556" s="290"/>
      <c r="N556" s="290"/>
      <c r="O556" s="290"/>
      <c r="P556" s="290"/>
      <c r="Q556" s="290"/>
      <c r="R556" s="288"/>
      <c r="S556" s="289"/>
    </row>
    <row r="557" spans="11:19">
      <c r="K557" s="290"/>
      <c r="L557" s="290"/>
      <c r="M557" s="290"/>
      <c r="N557" s="290"/>
      <c r="O557" s="290"/>
      <c r="P557" s="290"/>
      <c r="Q557" s="290"/>
      <c r="R557" s="288"/>
      <c r="S557" s="289"/>
    </row>
    <row r="558" spans="11:19">
      <c r="K558" s="290"/>
      <c r="L558" s="290"/>
      <c r="M558" s="290"/>
      <c r="N558" s="290"/>
      <c r="O558" s="290"/>
      <c r="P558" s="290"/>
      <c r="Q558" s="290"/>
      <c r="R558" s="288"/>
      <c r="S558" s="289"/>
    </row>
    <row r="559" spans="11:19">
      <c r="K559" s="290"/>
      <c r="L559" s="290"/>
      <c r="M559" s="290"/>
      <c r="N559" s="290"/>
      <c r="O559" s="290"/>
      <c r="P559" s="290"/>
      <c r="Q559" s="290"/>
      <c r="R559" s="288"/>
      <c r="S559" s="289"/>
    </row>
    <row r="560" spans="11:19">
      <c r="K560" s="290"/>
      <c r="L560" s="290"/>
      <c r="M560" s="290"/>
      <c r="N560" s="290"/>
      <c r="O560" s="290"/>
      <c r="P560" s="290"/>
      <c r="Q560" s="290"/>
      <c r="R560" s="288"/>
      <c r="S560" s="289"/>
    </row>
    <row r="561" spans="11:19">
      <c r="K561" s="290"/>
      <c r="L561" s="290"/>
      <c r="M561" s="290"/>
      <c r="N561" s="290"/>
      <c r="O561" s="290"/>
      <c r="P561" s="290"/>
      <c r="Q561" s="290"/>
      <c r="R561" s="288"/>
      <c r="S561" s="289"/>
    </row>
    <row r="562" spans="11:19">
      <c r="K562" s="290"/>
      <c r="L562" s="290"/>
      <c r="M562" s="290"/>
      <c r="N562" s="290"/>
      <c r="O562" s="290"/>
      <c r="P562" s="290"/>
      <c r="Q562" s="290"/>
      <c r="R562" s="288"/>
      <c r="S562" s="289"/>
    </row>
    <row r="563" spans="11:19">
      <c r="K563" s="290"/>
      <c r="L563" s="290"/>
      <c r="M563" s="290"/>
      <c r="N563" s="290"/>
      <c r="O563" s="290"/>
      <c r="P563" s="290"/>
      <c r="Q563" s="290"/>
      <c r="R563" s="288"/>
      <c r="S563" s="289"/>
    </row>
    <row r="564" spans="11:19">
      <c r="K564" s="290"/>
      <c r="L564" s="290"/>
      <c r="M564" s="290"/>
      <c r="N564" s="290"/>
      <c r="O564" s="290"/>
      <c r="P564" s="290"/>
      <c r="Q564" s="290"/>
      <c r="R564" s="288"/>
      <c r="S564" s="289"/>
    </row>
    <row r="565" spans="11:19">
      <c r="K565" s="290"/>
      <c r="L565" s="290"/>
      <c r="M565" s="290"/>
      <c r="N565" s="290"/>
      <c r="O565" s="290"/>
      <c r="P565" s="290"/>
      <c r="Q565" s="290"/>
      <c r="R565" s="288"/>
      <c r="S565" s="289"/>
    </row>
    <row r="566" spans="11:19">
      <c r="K566" s="290"/>
      <c r="L566" s="290"/>
      <c r="M566" s="290"/>
      <c r="N566" s="290"/>
      <c r="O566" s="290"/>
      <c r="P566" s="290"/>
      <c r="Q566" s="290"/>
      <c r="R566" s="288"/>
      <c r="S566" s="289"/>
    </row>
    <row r="567" spans="11:19">
      <c r="K567" s="290"/>
      <c r="L567" s="290"/>
      <c r="M567" s="290"/>
      <c r="N567" s="290"/>
      <c r="O567" s="290"/>
      <c r="P567" s="290"/>
      <c r="Q567" s="290"/>
      <c r="R567" s="288"/>
      <c r="S567" s="289"/>
    </row>
    <row r="568" spans="11:19">
      <c r="K568" s="290"/>
      <c r="L568" s="290"/>
      <c r="M568" s="290"/>
      <c r="N568" s="290"/>
      <c r="O568" s="290"/>
      <c r="P568" s="290"/>
      <c r="Q568" s="290"/>
      <c r="R568" s="288"/>
      <c r="S568" s="289"/>
    </row>
    <row r="569" spans="11:19">
      <c r="K569" s="290"/>
      <c r="L569" s="290"/>
      <c r="M569" s="290"/>
      <c r="N569" s="290"/>
      <c r="O569" s="290"/>
      <c r="P569" s="290"/>
      <c r="Q569" s="290"/>
      <c r="R569" s="288"/>
      <c r="S569" s="289"/>
    </row>
    <row r="570" spans="11:19">
      <c r="K570" s="290"/>
      <c r="L570" s="290"/>
      <c r="M570" s="290"/>
      <c r="N570" s="290"/>
      <c r="O570" s="290"/>
      <c r="P570" s="290"/>
      <c r="Q570" s="290"/>
      <c r="R570" s="288"/>
      <c r="S570" s="289"/>
    </row>
    <row r="571" spans="11:19">
      <c r="K571" s="290"/>
      <c r="L571" s="290"/>
      <c r="M571" s="290"/>
      <c r="N571" s="290"/>
      <c r="O571" s="290"/>
      <c r="P571" s="290"/>
      <c r="Q571" s="290"/>
      <c r="R571" s="288"/>
      <c r="S571" s="289"/>
    </row>
    <row r="572" spans="11:19">
      <c r="K572" s="290"/>
      <c r="L572" s="290"/>
      <c r="M572" s="290"/>
      <c r="N572" s="290"/>
      <c r="O572" s="290"/>
      <c r="P572" s="290"/>
      <c r="Q572" s="290"/>
      <c r="R572" s="288"/>
      <c r="S572" s="289"/>
    </row>
    <row r="573" spans="11:19">
      <c r="K573" s="290"/>
      <c r="L573" s="290"/>
      <c r="M573" s="290"/>
      <c r="N573" s="290"/>
      <c r="O573" s="290"/>
      <c r="P573" s="290"/>
      <c r="Q573" s="290"/>
      <c r="R573" s="288"/>
      <c r="S573" s="289"/>
    </row>
    <row r="574" spans="11:19">
      <c r="K574" s="290"/>
      <c r="L574" s="290"/>
      <c r="M574" s="290"/>
      <c r="N574" s="290"/>
      <c r="O574" s="290"/>
      <c r="P574" s="290"/>
      <c r="Q574" s="290"/>
      <c r="R574" s="288"/>
      <c r="S574" s="289"/>
    </row>
    <row r="575" spans="11:19">
      <c r="K575" s="290"/>
      <c r="L575" s="290"/>
      <c r="M575" s="290"/>
      <c r="N575" s="290"/>
      <c r="O575" s="290"/>
      <c r="P575" s="290"/>
      <c r="Q575" s="290"/>
      <c r="R575" s="288"/>
      <c r="S575" s="289"/>
    </row>
    <row r="576" spans="11:19">
      <c r="K576" s="290"/>
      <c r="L576" s="290"/>
      <c r="M576" s="290"/>
      <c r="N576" s="290"/>
      <c r="O576" s="290"/>
      <c r="P576" s="290"/>
      <c r="Q576" s="290"/>
      <c r="R576" s="288"/>
      <c r="S576" s="289"/>
    </row>
    <row r="577" spans="11:19">
      <c r="K577" s="290"/>
      <c r="L577" s="290"/>
      <c r="M577" s="290"/>
      <c r="N577" s="290"/>
      <c r="O577" s="290"/>
      <c r="P577" s="290"/>
      <c r="Q577" s="290"/>
      <c r="R577" s="288"/>
      <c r="S577" s="289"/>
    </row>
    <row r="578" spans="11:19">
      <c r="K578" s="290"/>
      <c r="L578" s="290"/>
      <c r="M578" s="290"/>
      <c r="N578" s="290"/>
      <c r="O578" s="290"/>
      <c r="P578" s="290"/>
      <c r="Q578" s="290"/>
      <c r="R578" s="288"/>
      <c r="S578" s="289"/>
    </row>
    <row r="579" spans="11:19">
      <c r="K579" s="290"/>
      <c r="L579" s="290"/>
      <c r="M579" s="290"/>
      <c r="N579" s="290"/>
      <c r="O579" s="290"/>
      <c r="P579" s="290"/>
      <c r="Q579" s="290"/>
      <c r="R579" s="288"/>
      <c r="S579" s="289"/>
    </row>
    <row r="580" spans="11:19">
      <c r="K580" s="290"/>
      <c r="L580" s="290"/>
      <c r="M580" s="290"/>
      <c r="N580" s="290"/>
      <c r="O580" s="290"/>
      <c r="P580" s="290"/>
      <c r="Q580" s="290"/>
      <c r="R580" s="288"/>
      <c r="S580" s="289"/>
    </row>
    <row r="581" spans="11:19">
      <c r="K581" s="290"/>
      <c r="L581" s="290"/>
      <c r="M581" s="290"/>
      <c r="N581" s="290"/>
      <c r="O581" s="290"/>
      <c r="P581" s="290"/>
      <c r="Q581" s="290"/>
      <c r="R581" s="288"/>
      <c r="S581" s="289"/>
    </row>
    <row r="582" spans="11:19">
      <c r="K582" s="290"/>
      <c r="L582" s="290"/>
      <c r="M582" s="290"/>
      <c r="N582" s="290"/>
      <c r="O582" s="290"/>
      <c r="P582" s="290"/>
      <c r="Q582" s="290"/>
      <c r="R582" s="288"/>
      <c r="S582" s="289"/>
    </row>
    <row r="583" spans="11:19">
      <c r="K583" s="290"/>
      <c r="L583" s="290"/>
      <c r="M583" s="290"/>
      <c r="N583" s="290"/>
      <c r="O583" s="290"/>
      <c r="P583" s="290"/>
      <c r="Q583" s="290"/>
      <c r="R583" s="288"/>
      <c r="S583" s="289"/>
    </row>
    <row r="584" spans="11:19">
      <c r="K584" s="290"/>
      <c r="L584" s="290"/>
      <c r="M584" s="290"/>
      <c r="N584" s="290"/>
      <c r="O584" s="290"/>
      <c r="P584" s="290"/>
      <c r="Q584" s="290"/>
      <c r="R584" s="288"/>
      <c r="S584" s="289"/>
    </row>
    <row r="585" spans="11:19">
      <c r="K585" s="290"/>
      <c r="L585" s="290"/>
      <c r="M585" s="290"/>
      <c r="N585" s="290"/>
      <c r="O585" s="290"/>
      <c r="P585" s="290"/>
      <c r="Q585" s="290"/>
      <c r="R585" s="288"/>
      <c r="S585" s="289"/>
    </row>
    <row r="586" spans="11:19">
      <c r="K586" s="290"/>
      <c r="L586" s="290"/>
      <c r="M586" s="290"/>
      <c r="N586" s="290"/>
      <c r="O586" s="290"/>
      <c r="P586" s="290"/>
      <c r="Q586" s="290"/>
      <c r="R586" s="288"/>
      <c r="S586" s="289"/>
    </row>
    <row r="587" spans="11:19">
      <c r="K587" s="290"/>
      <c r="L587" s="290"/>
      <c r="M587" s="290"/>
      <c r="N587" s="290"/>
      <c r="O587" s="290"/>
      <c r="P587" s="290"/>
      <c r="Q587" s="290"/>
      <c r="R587" s="288"/>
      <c r="S587" s="289"/>
    </row>
    <row r="588" spans="11:19">
      <c r="K588" s="290"/>
      <c r="L588" s="290"/>
      <c r="M588" s="290"/>
      <c r="N588" s="290"/>
      <c r="O588" s="290"/>
      <c r="P588" s="290"/>
      <c r="Q588" s="290"/>
      <c r="R588" s="288"/>
      <c r="S588" s="289"/>
    </row>
    <row r="589" spans="11:19">
      <c r="K589" s="290"/>
      <c r="L589" s="290"/>
      <c r="M589" s="290"/>
      <c r="N589" s="290"/>
      <c r="O589" s="290"/>
      <c r="P589" s="290"/>
      <c r="Q589" s="290"/>
      <c r="R589" s="288"/>
      <c r="S589" s="289"/>
    </row>
    <row r="590" spans="11:19">
      <c r="K590" s="290"/>
      <c r="L590" s="290"/>
      <c r="M590" s="290"/>
      <c r="N590" s="290"/>
      <c r="O590" s="290"/>
      <c r="P590" s="290"/>
      <c r="Q590" s="290"/>
      <c r="R590" s="288"/>
      <c r="S590" s="289"/>
    </row>
    <row r="591" spans="11:19">
      <c r="K591" s="290"/>
      <c r="L591" s="290"/>
      <c r="M591" s="290"/>
      <c r="N591" s="290"/>
      <c r="O591" s="290"/>
      <c r="P591" s="290"/>
      <c r="Q591" s="290"/>
      <c r="R591" s="288"/>
      <c r="S591" s="289"/>
    </row>
    <row r="592" spans="11:19">
      <c r="K592" s="290"/>
      <c r="L592" s="290"/>
      <c r="M592" s="290"/>
      <c r="N592" s="290"/>
      <c r="O592" s="290"/>
      <c r="P592" s="290"/>
      <c r="Q592" s="290"/>
      <c r="R592" s="288"/>
      <c r="S592" s="289"/>
    </row>
    <row r="593" spans="11:19">
      <c r="K593" s="290"/>
      <c r="L593" s="290"/>
      <c r="M593" s="290"/>
      <c r="N593" s="290"/>
      <c r="O593" s="290"/>
      <c r="P593" s="290"/>
      <c r="Q593" s="290"/>
      <c r="R593" s="288"/>
      <c r="S593" s="289"/>
    </row>
    <row r="594" spans="11:19">
      <c r="K594" s="290"/>
      <c r="L594" s="290"/>
      <c r="M594" s="290"/>
      <c r="N594" s="290"/>
      <c r="O594" s="290"/>
      <c r="P594" s="290"/>
      <c r="Q594" s="290"/>
      <c r="R594" s="288"/>
      <c r="S594" s="289"/>
    </row>
    <row r="595" spans="11:19">
      <c r="K595" s="290"/>
      <c r="L595" s="290"/>
      <c r="M595" s="290"/>
      <c r="N595" s="290"/>
      <c r="O595" s="290"/>
      <c r="P595" s="290"/>
      <c r="Q595" s="290"/>
      <c r="R595" s="288"/>
      <c r="S595" s="289"/>
    </row>
    <row r="596" spans="11:19">
      <c r="K596" s="290"/>
      <c r="L596" s="290"/>
      <c r="M596" s="290"/>
      <c r="N596" s="290"/>
      <c r="O596" s="290"/>
      <c r="P596" s="290"/>
      <c r="Q596" s="290"/>
      <c r="R596" s="288"/>
      <c r="S596" s="289"/>
    </row>
    <row r="597" spans="11:19">
      <c r="K597" s="290"/>
      <c r="L597" s="290"/>
      <c r="M597" s="290"/>
      <c r="N597" s="290"/>
      <c r="O597" s="290"/>
      <c r="P597" s="290"/>
      <c r="Q597" s="290"/>
      <c r="R597" s="288"/>
      <c r="S597" s="289"/>
    </row>
    <row r="598" spans="11:19">
      <c r="K598" s="290"/>
      <c r="L598" s="290"/>
      <c r="M598" s="290"/>
      <c r="N598" s="290"/>
      <c r="O598" s="290"/>
      <c r="P598" s="290"/>
      <c r="Q598" s="290"/>
      <c r="R598" s="288"/>
      <c r="S598" s="289"/>
    </row>
    <row r="599" spans="11:19">
      <c r="K599" s="290"/>
      <c r="L599" s="290"/>
      <c r="M599" s="290"/>
      <c r="N599" s="290"/>
      <c r="O599" s="290"/>
      <c r="P599" s="290"/>
      <c r="Q599" s="290"/>
      <c r="R599" s="288"/>
      <c r="S599" s="289"/>
    </row>
    <row r="600" spans="11:19">
      <c r="K600" s="290"/>
      <c r="L600" s="290"/>
      <c r="M600" s="290"/>
      <c r="N600" s="290"/>
      <c r="O600" s="290"/>
      <c r="P600" s="290"/>
      <c r="Q600" s="290"/>
      <c r="R600" s="288"/>
      <c r="S600" s="289"/>
    </row>
    <row r="601" spans="11:19">
      <c r="K601" s="290"/>
      <c r="L601" s="290"/>
      <c r="M601" s="290"/>
      <c r="N601" s="290"/>
      <c r="O601" s="290"/>
      <c r="P601" s="290"/>
      <c r="Q601" s="290"/>
      <c r="R601" s="288"/>
      <c r="S601" s="289"/>
    </row>
    <row r="602" spans="11:19">
      <c r="K602" s="290"/>
      <c r="L602" s="290"/>
      <c r="M602" s="290"/>
      <c r="N602" s="290"/>
      <c r="O602" s="290"/>
      <c r="P602" s="290"/>
      <c r="Q602" s="290"/>
      <c r="R602" s="288"/>
      <c r="S602" s="289"/>
    </row>
    <row r="603" spans="11:19">
      <c r="K603" s="290"/>
      <c r="L603" s="290"/>
      <c r="M603" s="290"/>
      <c r="N603" s="290"/>
      <c r="O603" s="290"/>
      <c r="P603" s="290"/>
      <c r="Q603" s="290"/>
      <c r="R603" s="288"/>
      <c r="S603" s="289"/>
    </row>
    <row r="604" spans="11:19">
      <c r="K604" s="290"/>
      <c r="L604" s="290"/>
      <c r="M604" s="290"/>
      <c r="N604" s="290"/>
      <c r="O604" s="290"/>
      <c r="P604" s="290"/>
      <c r="Q604" s="290"/>
      <c r="R604" s="288"/>
      <c r="S604" s="289"/>
    </row>
    <row r="605" spans="11:19">
      <c r="K605" s="290"/>
      <c r="L605" s="290"/>
      <c r="M605" s="290"/>
      <c r="N605" s="290"/>
      <c r="O605" s="290"/>
      <c r="P605" s="290"/>
      <c r="Q605" s="290"/>
      <c r="R605" s="288"/>
      <c r="S605" s="289"/>
    </row>
    <row r="606" spans="11:19">
      <c r="K606" s="290"/>
      <c r="L606" s="290"/>
      <c r="M606" s="290"/>
      <c r="N606" s="290"/>
      <c r="O606" s="290"/>
      <c r="P606" s="290"/>
      <c r="Q606" s="290"/>
      <c r="R606" s="288"/>
      <c r="S606" s="289"/>
    </row>
    <row r="607" spans="11:19">
      <c r="K607" s="290"/>
      <c r="L607" s="290"/>
      <c r="M607" s="290"/>
      <c r="N607" s="290"/>
      <c r="O607" s="290"/>
      <c r="P607" s="290"/>
      <c r="Q607" s="290"/>
      <c r="R607" s="288"/>
      <c r="S607" s="289"/>
    </row>
    <row r="608" spans="11:19">
      <c r="K608" s="290"/>
      <c r="L608" s="290"/>
      <c r="M608" s="290"/>
      <c r="N608" s="290"/>
      <c r="O608" s="290"/>
      <c r="P608" s="290"/>
      <c r="Q608" s="290"/>
      <c r="R608" s="288"/>
      <c r="S608" s="289"/>
    </row>
    <row r="609" spans="11:19">
      <c r="K609" s="290"/>
      <c r="L609" s="290"/>
      <c r="M609" s="290"/>
      <c r="N609" s="290"/>
      <c r="O609" s="290"/>
      <c r="P609" s="290"/>
      <c r="Q609" s="290"/>
      <c r="R609" s="288"/>
      <c r="S609" s="289"/>
    </row>
    <row r="610" spans="11:19">
      <c r="K610" s="290"/>
      <c r="L610" s="290"/>
      <c r="M610" s="290"/>
      <c r="N610" s="290"/>
      <c r="O610" s="290"/>
      <c r="P610" s="290"/>
      <c r="Q610" s="290"/>
      <c r="R610" s="288"/>
      <c r="S610" s="289"/>
    </row>
    <row r="611" spans="11:19">
      <c r="K611" s="290"/>
      <c r="L611" s="290"/>
      <c r="M611" s="290"/>
      <c r="N611" s="290"/>
      <c r="O611" s="290"/>
      <c r="P611" s="290"/>
      <c r="Q611" s="290"/>
      <c r="R611" s="288"/>
      <c r="S611" s="289"/>
    </row>
    <row r="612" spans="11:19">
      <c r="K612" s="290"/>
      <c r="L612" s="290"/>
      <c r="M612" s="290"/>
      <c r="N612" s="290"/>
      <c r="O612" s="290"/>
      <c r="P612" s="290"/>
      <c r="Q612" s="290"/>
      <c r="R612" s="288"/>
      <c r="S612" s="289"/>
    </row>
    <row r="613" spans="11:19">
      <c r="K613" s="290"/>
      <c r="L613" s="290"/>
      <c r="M613" s="290"/>
      <c r="N613" s="290"/>
      <c r="O613" s="290"/>
      <c r="P613" s="290"/>
      <c r="Q613" s="290"/>
      <c r="R613" s="288"/>
      <c r="S613" s="289"/>
    </row>
    <row r="614" spans="11:19">
      <c r="K614" s="290"/>
      <c r="L614" s="290"/>
      <c r="M614" s="290"/>
      <c r="N614" s="290"/>
      <c r="O614" s="290"/>
      <c r="P614" s="290"/>
      <c r="Q614" s="290"/>
      <c r="R614" s="288"/>
      <c r="S614" s="289"/>
    </row>
    <row r="615" spans="11:19">
      <c r="K615" s="290"/>
      <c r="L615" s="290"/>
      <c r="M615" s="290"/>
      <c r="N615" s="290"/>
      <c r="O615" s="290"/>
      <c r="P615" s="290"/>
      <c r="Q615" s="290"/>
      <c r="R615" s="288"/>
      <c r="S615" s="289"/>
    </row>
    <row r="616" spans="11:19">
      <c r="K616" s="290"/>
      <c r="L616" s="290"/>
      <c r="M616" s="290"/>
      <c r="N616" s="290"/>
      <c r="O616" s="290"/>
      <c r="P616" s="290"/>
      <c r="Q616" s="290"/>
      <c r="R616" s="288"/>
      <c r="S616" s="289"/>
    </row>
    <row r="617" spans="11:19">
      <c r="K617" s="290"/>
      <c r="L617" s="290"/>
      <c r="M617" s="290"/>
      <c r="N617" s="290"/>
      <c r="O617" s="290"/>
      <c r="P617" s="290"/>
      <c r="Q617" s="290"/>
      <c r="R617" s="288"/>
      <c r="S617" s="289"/>
    </row>
    <row r="618" spans="11:19">
      <c r="K618" s="290"/>
      <c r="L618" s="290"/>
      <c r="M618" s="290"/>
      <c r="N618" s="290"/>
      <c r="O618" s="290"/>
      <c r="P618" s="290"/>
      <c r="Q618" s="290"/>
      <c r="R618" s="288"/>
      <c r="S618" s="289"/>
    </row>
    <row r="619" spans="11:19">
      <c r="K619" s="290"/>
      <c r="L619" s="290"/>
      <c r="M619" s="290"/>
      <c r="N619" s="290"/>
      <c r="O619" s="290"/>
      <c r="P619" s="290"/>
      <c r="Q619" s="290"/>
      <c r="R619" s="288"/>
      <c r="S619" s="289"/>
    </row>
    <row r="620" spans="11:19">
      <c r="K620" s="290"/>
      <c r="L620" s="290"/>
      <c r="M620" s="290"/>
      <c r="N620" s="290"/>
      <c r="O620" s="290"/>
      <c r="P620" s="290"/>
      <c r="Q620" s="290"/>
      <c r="R620" s="288"/>
      <c r="S620" s="289"/>
    </row>
    <row r="621" spans="11:19">
      <c r="K621" s="290"/>
      <c r="L621" s="290"/>
      <c r="M621" s="290"/>
      <c r="N621" s="290"/>
      <c r="O621" s="290"/>
      <c r="P621" s="290"/>
      <c r="Q621" s="290"/>
      <c r="R621" s="288"/>
      <c r="S621" s="289"/>
    </row>
    <row r="622" spans="11:19">
      <c r="K622" s="290"/>
      <c r="L622" s="290"/>
      <c r="M622" s="290"/>
      <c r="N622" s="290"/>
      <c r="O622" s="290"/>
      <c r="P622" s="290"/>
      <c r="Q622" s="290"/>
      <c r="R622" s="288"/>
      <c r="S622" s="289"/>
    </row>
    <row r="623" spans="11:19">
      <c r="K623" s="290"/>
      <c r="L623" s="290"/>
      <c r="M623" s="290"/>
      <c r="N623" s="290"/>
      <c r="O623" s="290"/>
      <c r="P623" s="290"/>
      <c r="Q623" s="290"/>
      <c r="R623" s="288"/>
      <c r="S623" s="289"/>
    </row>
    <row r="624" spans="11:19">
      <c r="K624" s="290"/>
      <c r="L624" s="290"/>
      <c r="M624" s="290"/>
      <c r="N624" s="290"/>
      <c r="O624" s="290"/>
      <c r="P624" s="290"/>
      <c r="Q624" s="290"/>
      <c r="R624" s="288"/>
      <c r="S624" s="289"/>
    </row>
    <row r="625" spans="11:19">
      <c r="K625" s="290"/>
      <c r="L625" s="290"/>
      <c r="M625" s="290"/>
      <c r="N625" s="290"/>
      <c r="O625" s="290"/>
      <c r="P625" s="290"/>
      <c r="Q625" s="290"/>
      <c r="R625" s="288"/>
      <c r="S625" s="289"/>
    </row>
    <row r="626" spans="11:19">
      <c r="K626" s="290"/>
      <c r="L626" s="290"/>
      <c r="M626" s="290"/>
      <c r="N626" s="290"/>
      <c r="O626" s="290"/>
      <c r="P626" s="290"/>
      <c r="Q626" s="290"/>
      <c r="R626" s="288"/>
      <c r="S626" s="289"/>
    </row>
    <row r="627" spans="11:19">
      <c r="K627" s="290"/>
      <c r="L627" s="290"/>
      <c r="M627" s="290"/>
      <c r="N627" s="290"/>
      <c r="O627" s="290"/>
      <c r="P627" s="290"/>
      <c r="Q627" s="290"/>
      <c r="R627" s="288"/>
      <c r="S627" s="289"/>
    </row>
    <row r="628" spans="11:19">
      <c r="K628" s="290"/>
      <c r="L628" s="290"/>
      <c r="M628" s="290"/>
      <c r="N628" s="290"/>
      <c r="O628" s="290"/>
      <c r="P628" s="290"/>
      <c r="Q628" s="290"/>
      <c r="R628" s="288"/>
      <c r="S628" s="289"/>
    </row>
    <row r="629" spans="11:19">
      <c r="K629" s="290"/>
      <c r="L629" s="290"/>
      <c r="M629" s="290"/>
      <c r="N629" s="290"/>
      <c r="O629" s="290"/>
      <c r="P629" s="290"/>
      <c r="Q629" s="290"/>
      <c r="R629" s="288"/>
      <c r="S629" s="289"/>
    </row>
    <row r="630" spans="11:19">
      <c r="K630" s="290"/>
      <c r="L630" s="290"/>
      <c r="M630" s="290"/>
      <c r="N630" s="290"/>
      <c r="O630" s="290"/>
      <c r="P630" s="290"/>
      <c r="Q630" s="290"/>
      <c r="R630" s="288"/>
      <c r="S630" s="289"/>
    </row>
    <row r="631" spans="11:19">
      <c r="K631" s="290"/>
      <c r="L631" s="290"/>
      <c r="M631" s="290"/>
      <c r="N631" s="290"/>
      <c r="O631" s="290"/>
      <c r="P631" s="290"/>
      <c r="Q631" s="290"/>
      <c r="R631" s="288"/>
      <c r="S631" s="289"/>
    </row>
    <row r="632" spans="11:19">
      <c r="K632" s="290"/>
      <c r="L632" s="290"/>
      <c r="M632" s="290"/>
      <c r="N632" s="290"/>
      <c r="O632" s="290"/>
      <c r="P632" s="290"/>
      <c r="Q632" s="290"/>
      <c r="R632" s="288"/>
      <c r="S632" s="289"/>
    </row>
    <row r="633" spans="11:19">
      <c r="K633" s="290"/>
      <c r="L633" s="290"/>
      <c r="M633" s="290"/>
      <c r="N633" s="290"/>
      <c r="O633" s="290"/>
      <c r="P633" s="290"/>
      <c r="Q633" s="290"/>
      <c r="R633" s="288"/>
      <c r="S633" s="289"/>
    </row>
    <row r="634" spans="11:19">
      <c r="K634" s="290"/>
      <c r="L634" s="290"/>
      <c r="M634" s="290"/>
      <c r="N634" s="290"/>
      <c r="O634" s="290"/>
      <c r="P634" s="290"/>
      <c r="Q634" s="290"/>
      <c r="R634" s="288"/>
      <c r="S634" s="289"/>
    </row>
    <row r="635" spans="11:19">
      <c r="K635" s="290"/>
      <c r="L635" s="290"/>
      <c r="M635" s="290"/>
      <c r="N635" s="290"/>
      <c r="O635" s="290"/>
      <c r="P635" s="290"/>
      <c r="Q635" s="290"/>
      <c r="R635" s="288"/>
      <c r="S635" s="289"/>
    </row>
    <row r="636" spans="11:19">
      <c r="K636" s="290"/>
      <c r="L636" s="290"/>
      <c r="M636" s="290"/>
      <c r="N636" s="290"/>
      <c r="O636" s="290"/>
      <c r="P636" s="290"/>
      <c r="Q636" s="290"/>
      <c r="R636" s="288"/>
      <c r="S636" s="289"/>
    </row>
    <row r="637" spans="11:19">
      <c r="K637" s="290"/>
      <c r="L637" s="290"/>
      <c r="M637" s="290"/>
      <c r="N637" s="290"/>
      <c r="O637" s="290"/>
      <c r="P637" s="290"/>
      <c r="Q637" s="290"/>
      <c r="R637" s="288"/>
      <c r="S637" s="289"/>
    </row>
    <row r="638" spans="11:19">
      <c r="K638" s="290"/>
      <c r="L638" s="290"/>
      <c r="M638" s="290"/>
      <c r="N638" s="290"/>
      <c r="O638" s="290"/>
      <c r="P638" s="290"/>
      <c r="Q638" s="290"/>
      <c r="R638" s="288"/>
      <c r="S638" s="289"/>
    </row>
    <row r="639" spans="11:19">
      <c r="K639" s="290"/>
      <c r="L639" s="290"/>
      <c r="M639" s="290"/>
      <c r="N639" s="290"/>
      <c r="O639" s="290"/>
      <c r="P639" s="290"/>
      <c r="Q639" s="290"/>
      <c r="R639" s="288"/>
      <c r="S639" s="289"/>
    </row>
    <row r="640" spans="11:19">
      <c r="K640" s="290"/>
      <c r="L640" s="290"/>
      <c r="M640" s="290"/>
      <c r="N640" s="290"/>
      <c r="O640" s="290"/>
      <c r="P640" s="290"/>
      <c r="Q640" s="290"/>
      <c r="R640" s="288"/>
      <c r="S640" s="289"/>
    </row>
    <row r="641" spans="11:19">
      <c r="K641" s="290"/>
      <c r="L641" s="290"/>
      <c r="M641" s="290"/>
      <c r="N641" s="290"/>
      <c r="O641" s="290"/>
      <c r="P641" s="290"/>
      <c r="Q641" s="290"/>
      <c r="R641" s="288"/>
      <c r="S641" s="289"/>
    </row>
    <row r="642" spans="11:19">
      <c r="K642" s="290"/>
      <c r="L642" s="290"/>
      <c r="M642" s="290"/>
      <c r="N642" s="290"/>
      <c r="O642" s="290"/>
      <c r="P642" s="290"/>
      <c r="Q642" s="290"/>
      <c r="R642" s="288"/>
      <c r="S642" s="289"/>
    </row>
    <row r="643" spans="11:19">
      <c r="K643" s="290"/>
      <c r="L643" s="290"/>
      <c r="M643" s="290"/>
      <c r="N643" s="290"/>
      <c r="O643" s="290"/>
      <c r="P643" s="290"/>
      <c r="Q643" s="290"/>
      <c r="R643" s="288"/>
      <c r="S643" s="289"/>
    </row>
    <row r="644" spans="11:19">
      <c r="K644" s="290"/>
      <c r="L644" s="290"/>
      <c r="M644" s="290"/>
      <c r="N644" s="290"/>
      <c r="O644" s="290"/>
      <c r="P644" s="290"/>
      <c r="Q644" s="290"/>
      <c r="R644" s="288"/>
      <c r="S644" s="289"/>
    </row>
    <row r="645" spans="11:19">
      <c r="K645" s="290"/>
      <c r="L645" s="290"/>
      <c r="M645" s="290"/>
      <c r="N645" s="290"/>
      <c r="O645" s="290"/>
      <c r="P645" s="290"/>
      <c r="Q645" s="290"/>
      <c r="R645" s="288"/>
      <c r="S645" s="289"/>
    </row>
    <row r="646" spans="11:19">
      <c r="K646" s="290"/>
      <c r="L646" s="290"/>
      <c r="M646" s="290"/>
      <c r="N646" s="290"/>
      <c r="O646" s="290"/>
      <c r="P646" s="290"/>
      <c r="Q646" s="290"/>
      <c r="R646" s="288"/>
      <c r="S646" s="289"/>
    </row>
    <row r="647" spans="11:19">
      <c r="K647" s="290"/>
      <c r="L647" s="290"/>
      <c r="M647" s="290"/>
      <c r="N647" s="290"/>
      <c r="O647" s="290"/>
      <c r="P647" s="290"/>
      <c r="Q647" s="290"/>
      <c r="R647" s="288"/>
      <c r="S647" s="289"/>
    </row>
    <row r="648" spans="11:19">
      <c r="K648" s="290"/>
      <c r="L648" s="290"/>
      <c r="M648" s="290"/>
      <c r="N648" s="290"/>
      <c r="O648" s="290"/>
      <c r="P648" s="290"/>
      <c r="Q648" s="290"/>
      <c r="R648" s="288"/>
      <c r="S648" s="289"/>
    </row>
    <row r="649" spans="11:19">
      <c r="K649" s="290"/>
      <c r="L649" s="290"/>
      <c r="M649" s="290"/>
      <c r="N649" s="290"/>
      <c r="O649" s="290"/>
      <c r="P649" s="290"/>
      <c r="Q649" s="290"/>
      <c r="R649" s="288"/>
      <c r="S649" s="289"/>
    </row>
    <row r="650" spans="11:19">
      <c r="K650" s="290"/>
      <c r="L650" s="290"/>
      <c r="M650" s="290"/>
      <c r="N650" s="290"/>
      <c r="O650" s="290"/>
      <c r="P650" s="290"/>
      <c r="Q650" s="290"/>
      <c r="R650" s="288"/>
      <c r="S650" s="289"/>
    </row>
    <row r="651" spans="11:19">
      <c r="K651" s="290"/>
      <c r="L651" s="290"/>
      <c r="M651" s="290"/>
      <c r="N651" s="290"/>
      <c r="O651" s="290"/>
      <c r="P651" s="290"/>
      <c r="Q651" s="290"/>
      <c r="R651" s="288"/>
      <c r="S651" s="289"/>
    </row>
    <row r="652" spans="11:19">
      <c r="K652" s="290"/>
      <c r="L652" s="290"/>
      <c r="M652" s="290"/>
      <c r="N652" s="290"/>
      <c r="O652" s="290"/>
      <c r="P652" s="290"/>
      <c r="Q652" s="290"/>
      <c r="R652" s="288"/>
      <c r="S652" s="289"/>
    </row>
    <row r="653" spans="11:19">
      <c r="K653" s="290"/>
      <c r="L653" s="290"/>
      <c r="M653" s="290"/>
      <c r="N653" s="290"/>
      <c r="O653" s="290"/>
      <c r="P653" s="290"/>
      <c r="Q653" s="290"/>
      <c r="R653" s="288"/>
      <c r="S653" s="289"/>
    </row>
    <row r="654" spans="11:19">
      <c r="K654" s="290"/>
      <c r="L654" s="290"/>
      <c r="M654" s="290"/>
      <c r="N654" s="290"/>
      <c r="O654" s="290"/>
      <c r="P654" s="290"/>
      <c r="Q654" s="290"/>
      <c r="R654" s="288"/>
      <c r="S654" s="289"/>
    </row>
    <row r="655" spans="11:19">
      <c r="K655" s="290"/>
      <c r="L655" s="290"/>
      <c r="M655" s="290"/>
      <c r="N655" s="290"/>
      <c r="O655" s="290"/>
      <c r="P655" s="290"/>
      <c r="Q655" s="290"/>
      <c r="R655" s="288"/>
      <c r="S655" s="289"/>
    </row>
    <row r="656" spans="11:19">
      <c r="K656" s="290"/>
      <c r="L656" s="290"/>
      <c r="M656" s="290"/>
      <c r="N656" s="290"/>
      <c r="O656" s="290"/>
      <c r="P656" s="290"/>
      <c r="Q656" s="290"/>
      <c r="R656" s="288"/>
      <c r="S656" s="289"/>
    </row>
    <row r="657" spans="11:19">
      <c r="K657" s="290"/>
      <c r="L657" s="290"/>
      <c r="M657" s="290"/>
      <c r="N657" s="290"/>
      <c r="O657" s="290"/>
      <c r="P657" s="290"/>
      <c r="Q657" s="290"/>
      <c r="R657" s="288"/>
      <c r="S657" s="289"/>
    </row>
    <row r="658" spans="11:19">
      <c r="K658" s="290"/>
      <c r="L658" s="290"/>
      <c r="M658" s="290"/>
      <c r="N658" s="290"/>
      <c r="O658" s="290"/>
      <c r="P658" s="290"/>
      <c r="Q658" s="290"/>
      <c r="R658" s="288"/>
      <c r="S658" s="289"/>
    </row>
    <row r="659" spans="11:19">
      <c r="K659" s="290"/>
      <c r="L659" s="290"/>
      <c r="M659" s="290"/>
      <c r="N659" s="290"/>
      <c r="O659" s="290"/>
      <c r="P659" s="290"/>
      <c r="Q659" s="290"/>
      <c r="R659" s="288"/>
      <c r="S659" s="289"/>
    </row>
    <row r="660" spans="11:19">
      <c r="K660" s="290"/>
      <c r="L660" s="290"/>
      <c r="M660" s="290"/>
      <c r="N660" s="290"/>
      <c r="O660" s="290"/>
      <c r="P660" s="290"/>
      <c r="Q660" s="290"/>
      <c r="R660" s="288"/>
      <c r="S660" s="289"/>
    </row>
    <row r="661" spans="11:19">
      <c r="K661" s="290"/>
      <c r="L661" s="290"/>
      <c r="M661" s="290"/>
      <c r="N661" s="290"/>
      <c r="O661" s="290"/>
      <c r="P661" s="290"/>
      <c r="Q661" s="290"/>
      <c r="R661" s="288"/>
      <c r="S661" s="289"/>
    </row>
    <row r="662" spans="11:19">
      <c r="K662" s="290"/>
      <c r="L662" s="290"/>
      <c r="M662" s="290"/>
      <c r="N662" s="290"/>
      <c r="O662" s="290"/>
      <c r="P662" s="290"/>
      <c r="Q662" s="290"/>
      <c r="R662" s="288"/>
      <c r="S662" s="289"/>
    </row>
    <row r="663" spans="11:19">
      <c r="K663" s="290"/>
      <c r="L663" s="290"/>
      <c r="M663" s="290"/>
      <c r="N663" s="290"/>
      <c r="O663" s="290"/>
      <c r="P663" s="290"/>
      <c r="Q663" s="290"/>
      <c r="R663" s="288"/>
      <c r="S663" s="289"/>
    </row>
    <row r="664" spans="11:19">
      <c r="K664" s="290"/>
      <c r="L664" s="290"/>
      <c r="M664" s="290"/>
      <c r="N664" s="290"/>
      <c r="O664" s="290"/>
      <c r="P664" s="290"/>
      <c r="Q664" s="290"/>
      <c r="R664" s="288"/>
      <c r="S664" s="289"/>
    </row>
    <row r="665" spans="11:19">
      <c r="K665" s="290"/>
      <c r="L665" s="290"/>
      <c r="M665" s="290"/>
      <c r="N665" s="290"/>
      <c r="O665" s="290"/>
      <c r="P665" s="290"/>
      <c r="Q665" s="290"/>
      <c r="R665" s="288"/>
      <c r="S665" s="289"/>
    </row>
    <row r="666" spans="11:19">
      <c r="K666" s="290"/>
      <c r="L666" s="290"/>
      <c r="M666" s="290"/>
      <c r="N666" s="290"/>
      <c r="O666" s="290"/>
      <c r="P666" s="290"/>
      <c r="Q666" s="290"/>
      <c r="R666" s="288"/>
      <c r="S666" s="289"/>
    </row>
    <row r="667" spans="11:19">
      <c r="K667" s="290"/>
      <c r="L667" s="290"/>
      <c r="M667" s="290"/>
      <c r="N667" s="290"/>
      <c r="O667" s="290"/>
      <c r="P667" s="290"/>
      <c r="Q667" s="290"/>
      <c r="R667" s="288"/>
      <c r="S667" s="289"/>
    </row>
    <row r="668" spans="11:19">
      <c r="K668" s="290"/>
      <c r="L668" s="290"/>
      <c r="M668" s="290"/>
      <c r="N668" s="290"/>
      <c r="O668" s="290"/>
      <c r="P668" s="290"/>
      <c r="Q668" s="290"/>
      <c r="R668" s="288"/>
      <c r="S668" s="289"/>
    </row>
    <row r="669" spans="11:19">
      <c r="K669" s="290"/>
      <c r="L669" s="290"/>
      <c r="M669" s="290"/>
      <c r="N669" s="290"/>
      <c r="O669" s="290"/>
      <c r="P669" s="290"/>
      <c r="Q669" s="290"/>
      <c r="R669" s="288"/>
      <c r="S669" s="289"/>
    </row>
    <row r="670" spans="11:19">
      <c r="K670" s="290"/>
      <c r="L670" s="290"/>
      <c r="M670" s="290"/>
      <c r="N670" s="290"/>
      <c r="O670" s="290"/>
      <c r="P670" s="290"/>
      <c r="Q670" s="290"/>
      <c r="R670" s="288"/>
      <c r="S670" s="289"/>
    </row>
    <row r="671" spans="11:19">
      <c r="K671" s="290"/>
      <c r="L671" s="290"/>
      <c r="M671" s="290"/>
      <c r="N671" s="290"/>
      <c r="O671" s="290"/>
      <c r="P671" s="290"/>
      <c r="Q671" s="290"/>
      <c r="R671" s="288"/>
      <c r="S671" s="289"/>
    </row>
    <row r="672" spans="11:19">
      <c r="K672" s="290"/>
      <c r="L672" s="290"/>
      <c r="M672" s="290"/>
      <c r="N672" s="290"/>
      <c r="O672" s="290"/>
      <c r="P672" s="290"/>
      <c r="Q672" s="290"/>
      <c r="R672" s="288"/>
      <c r="S672" s="289"/>
    </row>
    <row r="673" spans="11:19">
      <c r="K673" s="290"/>
      <c r="L673" s="290"/>
      <c r="M673" s="290"/>
      <c r="N673" s="290"/>
      <c r="O673" s="290"/>
      <c r="P673" s="290"/>
      <c r="Q673" s="290"/>
      <c r="R673" s="288"/>
      <c r="S673" s="289"/>
    </row>
    <row r="674" spans="11:19">
      <c r="K674" s="290"/>
      <c r="L674" s="290"/>
      <c r="M674" s="290"/>
      <c r="N674" s="290"/>
      <c r="O674" s="290"/>
      <c r="P674" s="290"/>
      <c r="Q674" s="290"/>
      <c r="R674" s="288"/>
      <c r="S674" s="289"/>
    </row>
    <row r="675" spans="11:19">
      <c r="K675" s="290"/>
      <c r="L675" s="290"/>
      <c r="M675" s="290"/>
      <c r="N675" s="290"/>
      <c r="O675" s="290"/>
      <c r="P675" s="290"/>
      <c r="Q675" s="290"/>
      <c r="R675" s="288"/>
      <c r="S675" s="289"/>
    </row>
    <row r="676" spans="11:19">
      <c r="K676" s="290"/>
      <c r="L676" s="290"/>
      <c r="M676" s="290"/>
      <c r="N676" s="290"/>
      <c r="O676" s="290"/>
      <c r="P676" s="290"/>
      <c r="Q676" s="290"/>
      <c r="R676" s="288"/>
      <c r="S676" s="289"/>
    </row>
    <row r="677" spans="11:19">
      <c r="K677" s="290"/>
      <c r="L677" s="290"/>
      <c r="M677" s="290"/>
      <c r="N677" s="290"/>
      <c r="O677" s="290"/>
      <c r="P677" s="290"/>
      <c r="Q677" s="290"/>
      <c r="R677" s="288"/>
      <c r="S677" s="289"/>
    </row>
    <row r="678" spans="11:19">
      <c r="K678" s="290"/>
      <c r="L678" s="290"/>
      <c r="M678" s="290"/>
      <c r="N678" s="290"/>
      <c r="O678" s="290"/>
      <c r="P678" s="290"/>
      <c r="Q678" s="290"/>
      <c r="R678" s="288"/>
      <c r="S678" s="289"/>
    </row>
    <row r="679" spans="11:19">
      <c r="K679" s="290"/>
      <c r="L679" s="290"/>
      <c r="M679" s="290"/>
      <c r="N679" s="290"/>
      <c r="O679" s="290"/>
      <c r="P679" s="290"/>
      <c r="Q679" s="290"/>
      <c r="R679" s="288"/>
      <c r="S679" s="289"/>
    </row>
    <row r="680" spans="11:19">
      <c r="K680" s="290"/>
      <c r="L680" s="290"/>
      <c r="M680" s="290"/>
      <c r="N680" s="290"/>
      <c r="O680" s="290"/>
      <c r="P680" s="290"/>
      <c r="Q680" s="290"/>
      <c r="R680" s="288"/>
      <c r="S680" s="289"/>
    </row>
    <row r="681" spans="11:19">
      <c r="K681" s="290"/>
      <c r="L681" s="290"/>
      <c r="M681" s="290"/>
      <c r="N681" s="290"/>
      <c r="O681" s="290"/>
      <c r="P681" s="290"/>
      <c r="Q681" s="290"/>
      <c r="R681" s="288"/>
      <c r="S681" s="289"/>
    </row>
    <row r="682" spans="11:19">
      <c r="K682" s="290"/>
      <c r="L682" s="290"/>
      <c r="M682" s="290"/>
      <c r="N682" s="290"/>
      <c r="O682" s="290"/>
      <c r="P682" s="290"/>
      <c r="Q682" s="290"/>
      <c r="R682" s="288"/>
      <c r="S682" s="289"/>
    </row>
    <row r="683" spans="11:19">
      <c r="K683" s="290"/>
      <c r="L683" s="290"/>
      <c r="M683" s="290"/>
      <c r="N683" s="290"/>
      <c r="O683" s="290"/>
      <c r="P683" s="290"/>
      <c r="Q683" s="290"/>
      <c r="R683" s="288"/>
      <c r="S683" s="289"/>
    </row>
    <row r="684" spans="11:19">
      <c r="K684" s="290"/>
      <c r="L684" s="290"/>
      <c r="M684" s="290"/>
      <c r="N684" s="290"/>
      <c r="O684" s="290"/>
      <c r="P684" s="290"/>
      <c r="Q684" s="290"/>
      <c r="R684" s="288"/>
      <c r="S684" s="289"/>
    </row>
    <row r="685" spans="11:19">
      <c r="K685" s="290"/>
      <c r="L685" s="290"/>
      <c r="M685" s="290"/>
      <c r="N685" s="290"/>
      <c r="O685" s="290"/>
      <c r="P685" s="290"/>
      <c r="Q685" s="290"/>
      <c r="R685" s="288"/>
      <c r="S685" s="289"/>
    </row>
    <row r="686" spans="11:19">
      <c r="K686" s="290"/>
      <c r="L686" s="290"/>
      <c r="M686" s="290"/>
      <c r="N686" s="290"/>
      <c r="O686" s="290"/>
      <c r="P686" s="290"/>
      <c r="Q686" s="290"/>
      <c r="R686" s="288"/>
      <c r="S686" s="289"/>
    </row>
    <row r="687" spans="11:19">
      <c r="K687" s="290"/>
      <c r="L687" s="290"/>
      <c r="M687" s="290"/>
      <c r="N687" s="290"/>
      <c r="O687" s="290"/>
      <c r="P687" s="290"/>
      <c r="Q687" s="290"/>
      <c r="R687" s="288"/>
      <c r="S687" s="289"/>
    </row>
    <row r="688" spans="11:19">
      <c r="K688" s="290"/>
      <c r="L688" s="290"/>
      <c r="M688" s="290"/>
      <c r="N688" s="290"/>
      <c r="O688" s="290"/>
      <c r="P688" s="290"/>
      <c r="Q688" s="290"/>
      <c r="R688" s="288"/>
      <c r="S688" s="289"/>
    </row>
    <row r="689" spans="11:19">
      <c r="K689" s="290"/>
      <c r="L689" s="290"/>
      <c r="M689" s="290"/>
      <c r="N689" s="290"/>
      <c r="O689" s="290"/>
      <c r="P689" s="290"/>
      <c r="Q689" s="290"/>
      <c r="R689" s="288"/>
      <c r="S689" s="289"/>
    </row>
    <row r="690" spans="11:19">
      <c r="K690" s="290"/>
      <c r="L690" s="290"/>
      <c r="M690" s="290"/>
      <c r="N690" s="290"/>
      <c r="O690" s="290"/>
      <c r="P690" s="290"/>
      <c r="Q690" s="290"/>
      <c r="R690" s="288"/>
      <c r="S690" s="289"/>
    </row>
    <row r="691" spans="11:19">
      <c r="K691" s="290"/>
      <c r="L691" s="290"/>
      <c r="M691" s="290"/>
      <c r="N691" s="290"/>
      <c r="O691" s="290"/>
      <c r="P691" s="290"/>
      <c r="Q691" s="290"/>
      <c r="R691" s="288"/>
      <c r="S691" s="289"/>
    </row>
    <row r="692" spans="11:19">
      <c r="K692" s="290"/>
      <c r="L692" s="290"/>
      <c r="M692" s="290"/>
      <c r="N692" s="290"/>
      <c r="O692" s="290"/>
      <c r="P692" s="290"/>
      <c r="Q692" s="290"/>
      <c r="R692" s="288"/>
      <c r="S692" s="289"/>
    </row>
    <row r="693" spans="11:19">
      <c r="K693" s="290"/>
      <c r="L693" s="290"/>
      <c r="M693" s="290"/>
      <c r="N693" s="290"/>
      <c r="O693" s="290"/>
      <c r="P693" s="290"/>
      <c r="Q693" s="290"/>
      <c r="R693" s="288"/>
      <c r="S693" s="289"/>
    </row>
    <row r="694" spans="11:19">
      <c r="K694" s="290"/>
      <c r="L694" s="290"/>
      <c r="M694" s="290"/>
      <c r="N694" s="290"/>
      <c r="O694" s="290"/>
      <c r="P694" s="290"/>
      <c r="Q694" s="290"/>
      <c r="R694" s="288"/>
      <c r="S694" s="289"/>
    </row>
    <row r="695" spans="11:19">
      <c r="K695" s="290"/>
      <c r="L695" s="290"/>
      <c r="M695" s="290"/>
      <c r="N695" s="290"/>
      <c r="O695" s="290"/>
      <c r="P695" s="290"/>
      <c r="Q695" s="290"/>
      <c r="R695" s="288"/>
      <c r="S695" s="289"/>
    </row>
    <row r="696" spans="11:19">
      <c r="K696" s="290"/>
      <c r="L696" s="290"/>
      <c r="M696" s="290"/>
      <c r="N696" s="290"/>
      <c r="O696" s="290"/>
      <c r="P696" s="290"/>
      <c r="Q696" s="290"/>
      <c r="R696" s="288"/>
      <c r="S696" s="289"/>
    </row>
    <row r="697" spans="11:19">
      <c r="K697" s="290"/>
      <c r="L697" s="290"/>
      <c r="M697" s="290"/>
      <c r="N697" s="290"/>
      <c r="O697" s="290"/>
      <c r="P697" s="290"/>
      <c r="Q697" s="290"/>
      <c r="R697" s="288"/>
      <c r="S697" s="289"/>
    </row>
    <row r="698" spans="11:19">
      <c r="K698" s="290"/>
      <c r="L698" s="290"/>
      <c r="M698" s="290"/>
      <c r="N698" s="290"/>
      <c r="O698" s="290"/>
      <c r="P698" s="290"/>
      <c r="Q698" s="290"/>
      <c r="R698" s="288"/>
      <c r="S698" s="289"/>
    </row>
    <row r="699" spans="11:19">
      <c r="K699" s="290"/>
      <c r="L699" s="290"/>
      <c r="M699" s="290"/>
      <c r="N699" s="290"/>
      <c r="O699" s="290"/>
      <c r="P699" s="290"/>
      <c r="Q699" s="290"/>
      <c r="R699" s="288"/>
      <c r="S699" s="289"/>
    </row>
    <row r="700" spans="11:19">
      <c r="K700" s="290"/>
      <c r="L700" s="290"/>
      <c r="M700" s="290"/>
      <c r="N700" s="290"/>
      <c r="O700" s="290"/>
      <c r="P700" s="290"/>
      <c r="Q700" s="290"/>
      <c r="R700" s="288"/>
      <c r="S700" s="289"/>
    </row>
    <row r="701" spans="11:19">
      <c r="K701" s="290"/>
      <c r="L701" s="290"/>
      <c r="M701" s="290"/>
      <c r="N701" s="290"/>
      <c r="O701" s="290"/>
      <c r="P701" s="290"/>
      <c r="Q701" s="290"/>
      <c r="R701" s="288"/>
      <c r="S701" s="289"/>
    </row>
    <row r="702" spans="11:19">
      <c r="K702" s="290"/>
      <c r="L702" s="290"/>
      <c r="M702" s="290"/>
      <c r="N702" s="290"/>
      <c r="O702" s="290"/>
      <c r="P702" s="290"/>
      <c r="Q702" s="290"/>
      <c r="R702" s="288"/>
      <c r="S702" s="289"/>
    </row>
    <row r="703" spans="11:19">
      <c r="K703" s="290"/>
      <c r="L703" s="290"/>
      <c r="M703" s="290"/>
      <c r="N703" s="290"/>
      <c r="O703" s="290"/>
      <c r="P703" s="290"/>
      <c r="Q703" s="290"/>
      <c r="R703" s="288"/>
      <c r="S703" s="289"/>
    </row>
    <row r="704" spans="11:19">
      <c r="K704" s="290"/>
      <c r="L704" s="290"/>
      <c r="M704" s="290"/>
      <c r="N704" s="290"/>
      <c r="O704" s="290"/>
      <c r="P704" s="290"/>
      <c r="Q704" s="290"/>
      <c r="R704" s="288"/>
      <c r="S704" s="289"/>
    </row>
    <row r="705" spans="11:19">
      <c r="K705" s="290"/>
      <c r="L705" s="290"/>
      <c r="M705" s="290"/>
      <c r="N705" s="290"/>
      <c r="O705" s="290"/>
      <c r="P705" s="290"/>
      <c r="Q705" s="290"/>
      <c r="R705" s="288"/>
      <c r="S705" s="289"/>
    </row>
    <row r="706" spans="11:19">
      <c r="K706" s="290"/>
      <c r="L706" s="290"/>
      <c r="M706" s="290"/>
      <c r="N706" s="290"/>
      <c r="O706" s="290"/>
      <c r="P706" s="290"/>
      <c r="Q706" s="290"/>
      <c r="R706" s="288"/>
      <c r="S706" s="289"/>
    </row>
    <row r="707" spans="11:19">
      <c r="K707" s="290"/>
      <c r="L707" s="290"/>
      <c r="M707" s="290"/>
      <c r="N707" s="290"/>
      <c r="O707" s="290"/>
      <c r="P707" s="290"/>
      <c r="Q707" s="290"/>
      <c r="R707" s="288"/>
      <c r="S707" s="289"/>
    </row>
    <row r="708" spans="11:19">
      <c r="K708" s="290"/>
      <c r="L708" s="290"/>
      <c r="M708" s="290"/>
      <c r="N708" s="290"/>
      <c r="O708" s="290"/>
      <c r="P708" s="290"/>
      <c r="Q708" s="290"/>
      <c r="R708" s="288"/>
      <c r="S708" s="289"/>
    </row>
    <row r="709" spans="11:19">
      <c r="K709" s="290"/>
      <c r="L709" s="290"/>
      <c r="M709" s="290"/>
      <c r="N709" s="290"/>
      <c r="O709" s="290"/>
      <c r="P709" s="290"/>
      <c r="Q709" s="290"/>
      <c r="R709" s="288"/>
      <c r="S709" s="289"/>
    </row>
    <row r="710" spans="11:19">
      <c r="K710" s="290"/>
      <c r="L710" s="290"/>
      <c r="M710" s="290"/>
      <c r="N710" s="290"/>
      <c r="O710" s="290"/>
      <c r="P710" s="290"/>
      <c r="Q710" s="290"/>
      <c r="R710" s="288"/>
      <c r="S710" s="289"/>
    </row>
    <row r="711" spans="11:19">
      <c r="K711" s="290"/>
      <c r="L711" s="290"/>
      <c r="M711" s="290"/>
      <c r="N711" s="290"/>
      <c r="O711" s="290"/>
      <c r="P711" s="290"/>
      <c r="Q711" s="290"/>
      <c r="R711" s="288"/>
      <c r="S711" s="289"/>
    </row>
    <row r="712" spans="11:19">
      <c r="K712" s="290"/>
      <c r="L712" s="290"/>
      <c r="M712" s="290"/>
      <c r="N712" s="290"/>
      <c r="O712" s="290"/>
      <c r="P712" s="290"/>
      <c r="Q712" s="290"/>
      <c r="R712" s="288"/>
      <c r="S712" s="289"/>
    </row>
    <row r="713" spans="11:19">
      <c r="K713" s="290"/>
      <c r="L713" s="290"/>
      <c r="M713" s="290"/>
      <c r="N713" s="290"/>
      <c r="O713" s="290"/>
      <c r="P713" s="290"/>
      <c r="Q713" s="290"/>
      <c r="R713" s="288"/>
      <c r="S713" s="289"/>
    </row>
    <row r="714" spans="11:19">
      <c r="K714" s="290"/>
      <c r="L714" s="290"/>
      <c r="M714" s="290"/>
      <c r="N714" s="290"/>
      <c r="O714" s="290"/>
      <c r="P714" s="290"/>
      <c r="Q714" s="290"/>
      <c r="R714" s="288"/>
      <c r="S714" s="289"/>
    </row>
    <row r="715" spans="11:19">
      <c r="K715" s="290"/>
      <c r="L715" s="290"/>
      <c r="M715" s="290"/>
      <c r="N715" s="290"/>
      <c r="O715" s="290"/>
      <c r="P715" s="290"/>
      <c r="Q715" s="290"/>
      <c r="R715" s="288"/>
      <c r="S715" s="289"/>
    </row>
    <row r="716" spans="11:19">
      <c r="K716" s="290"/>
      <c r="L716" s="290"/>
      <c r="M716" s="290"/>
      <c r="N716" s="290"/>
      <c r="O716" s="290"/>
      <c r="P716" s="290"/>
      <c r="Q716" s="290"/>
      <c r="R716" s="288"/>
      <c r="S716" s="289"/>
    </row>
    <row r="717" spans="11:19">
      <c r="K717" s="290"/>
      <c r="L717" s="290"/>
      <c r="M717" s="290"/>
      <c r="N717" s="290"/>
      <c r="O717" s="290"/>
      <c r="P717" s="290"/>
      <c r="Q717" s="290"/>
      <c r="R717" s="288"/>
      <c r="S717" s="289"/>
    </row>
    <row r="718" spans="11:19">
      <c r="K718" s="290"/>
      <c r="L718" s="290"/>
      <c r="M718" s="290"/>
      <c r="N718" s="290"/>
      <c r="O718" s="290"/>
      <c r="P718" s="290"/>
      <c r="Q718" s="290"/>
      <c r="R718" s="288"/>
      <c r="S718" s="289"/>
    </row>
    <row r="719" spans="11:19">
      <c r="K719" s="290"/>
      <c r="L719" s="290"/>
      <c r="M719" s="290"/>
      <c r="N719" s="290"/>
      <c r="O719" s="290"/>
      <c r="P719" s="290"/>
      <c r="Q719" s="290"/>
      <c r="R719" s="288"/>
      <c r="S719" s="289"/>
    </row>
    <row r="720" spans="11:19">
      <c r="K720" s="290"/>
      <c r="L720" s="290"/>
      <c r="M720" s="290"/>
      <c r="N720" s="290"/>
      <c r="O720" s="290"/>
      <c r="P720" s="290"/>
      <c r="Q720" s="290"/>
      <c r="R720" s="288"/>
      <c r="S720" s="289"/>
    </row>
    <row r="721" spans="11:19">
      <c r="K721" s="290"/>
      <c r="L721" s="290"/>
      <c r="M721" s="290"/>
      <c r="N721" s="290"/>
      <c r="O721" s="290"/>
      <c r="P721" s="290"/>
      <c r="Q721" s="290"/>
      <c r="R721" s="288"/>
      <c r="S721" s="289"/>
    </row>
    <row r="722" spans="11:19">
      <c r="K722" s="290"/>
      <c r="L722" s="290"/>
      <c r="M722" s="290"/>
      <c r="N722" s="290"/>
      <c r="O722" s="290"/>
      <c r="P722" s="290"/>
      <c r="Q722" s="290"/>
      <c r="R722" s="288"/>
      <c r="S722" s="289"/>
    </row>
    <row r="723" spans="11:19">
      <c r="K723" s="290"/>
      <c r="L723" s="290"/>
      <c r="M723" s="290"/>
      <c r="N723" s="290"/>
      <c r="O723" s="290"/>
      <c r="P723" s="290"/>
      <c r="Q723" s="290"/>
      <c r="R723" s="288"/>
      <c r="S723" s="289"/>
    </row>
    <row r="724" spans="11:19">
      <c r="K724" s="290"/>
      <c r="L724" s="290"/>
      <c r="M724" s="290"/>
      <c r="N724" s="290"/>
      <c r="O724" s="290"/>
      <c r="P724" s="290"/>
      <c r="Q724" s="290"/>
      <c r="R724" s="288"/>
      <c r="S724" s="289"/>
    </row>
    <row r="725" spans="11:19">
      <c r="K725" s="290"/>
      <c r="L725" s="290"/>
      <c r="M725" s="290"/>
      <c r="N725" s="290"/>
      <c r="O725" s="290"/>
      <c r="P725" s="290"/>
      <c r="Q725" s="290"/>
      <c r="R725" s="288"/>
      <c r="S725" s="289"/>
    </row>
    <row r="726" spans="11:19">
      <c r="K726" s="290"/>
      <c r="L726" s="290"/>
      <c r="M726" s="290"/>
      <c r="N726" s="290"/>
      <c r="O726" s="290"/>
      <c r="P726" s="290"/>
      <c r="Q726" s="290"/>
      <c r="R726" s="288"/>
      <c r="S726" s="289"/>
    </row>
    <row r="727" spans="11:19">
      <c r="K727" s="290"/>
      <c r="L727" s="290"/>
      <c r="M727" s="290"/>
      <c r="N727" s="290"/>
      <c r="O727" s="290"/>
      <c r="P727" s="290"/>
      <c r="Q727" s="290"/>
      <c r="R727" s="288"/>
      <c r="S727" s="289"/>
    </row>
    <row r="728" spans="11:19">
      <c r="K728" s="290"/>
      <c r="L728" s="290"/>
      <c r="M728" s="290"/>
      <c r="N728" s="290"/>
      <c r="O728" s="290"/>
      <c r="P728" s="290"/>
      <c r="Q728" s="290"/>
      <c r="R728" s="288"/>
      <c r="S728" s="289"/>
    </row>
    <row r="729" spans="11:19">
      <c r="K729" s="290"/>
      <c r="L729" s="290"/>
      <c r="M729" s="290"/>
      <c r="N729" s="290"/>
      <c r="O729" s="290"/>
      <c r="P729" s="290"/>
      <c r="Q729" s="290"/>
      <c r="R729" s="288"/>
      <c r="S729" s="289"/>
    </row>
    <row r="730" spans="11:19">
      <c r="K730" s="290"/>
      <c r="L730" s="290"/>
      <c r="M730" s="290"/>
      <c r="N730" s="290"/>
      <c r="O730" s="290"/>
      <c r="P730" s="290"/>
      <c r="Q730" s="290"/>
      <c r="R730" s="288"/>
      <c r="S730" s="289"/>
    </row>
    <row r="731" spans="11:19">
      <c r="K731" s="290"/>
      <c r="L731" s="290"/>
      <c r="M731" s="290"/>
      <c r="N731" s="290"/>
      <c r="O731" s="290"/>
      <c r="P731" s="290"/>
      <c r="Q731" s="290"/>
      <c r="R731" s="288"/>
      <c r="S731" s="289"/>
    </row>
    <row r="732" spans="11:19">
      <c r="K732" s="290"/>
      <c r="L732" s="290"/>
      <c r="M732" s="290"/>
      <c r="N732" s="290"/>
      <c r="O732" s="290"/>
      <c r="P732" s="290"/>
      <c r="Q732" s="290"/>
      <c r="R732" s="288"/>
      <c r="S732" s="289"/>
    </row>
    <row r="733" spans="11:19">
      <c r="K733" s="290"/>
      <c r="L733" s="290"/>
      <c r="M733" s="290"/>
      <c r="N733" s="290"/>
      <c r="O733" s="290"/>
      <c r="P733" s="290"/>
      <c r="Q733" s="290"/>
      <c r="R733" s="288"/>
      <c r="S733" s="289"/>
    </row>
    <row r="734" spans="11:19">
      <c r="K734" s="290"/>
      <c r="L734" s="290"/>
      <c r="M734" s="290"/>
      <c r="N734" s="290"/>
      <c r="O734" s="290"/>
      <c r="P734" s="290"/>
      <c r="Q734" s="290"/>
      <c r="R734" s="288"/>
      <c r="S734" s="289"/>
    </row>
    <row r="735" spans="11:19">
      <c r="K735" s="290"/>
      <c r="L735" s="290"/>
      <c r="M735" s="290"/>
      <c r="N735" s="290"/>
      <c r="O735" s="290"/>
      <c r="P735" s="290"/>
      <c r="Q735" s="290"/>
      <c r="R735" s="288"/>
      <c r="S735" s="289"/>
    </row>
    <row r="736" spans="11:19">
      <c r="K736" s="290"/>
      <c r="L736" s="290"/>
      <c r="M736" s="290"/>
      <c r="N736" s="290"/>
      <c r="O736" s="290"/>
      <c r="P736" s="290"/>
      <c r="Q736" s="290"/>
      <c r="R736" s="288"/>
      <c r="S736" s="289"/>
    </row>
    <row r="737" spans="11:19">
      <c r="K737" s="290"/>
      <c r="L737" s="290"/>
      <c r="M737" s="290"/>
      <c r="N737" s="290"/>
      <c r="O737" s="290"/>
      <c r="P737" s="290"/>
      <c r="Q737" s="290"/>
      <c r="R737" s="288"/>
      <c r="S737" s="289"/>
    </row>
    <row r="738" spans="11:19">
      <c r="K738" s="290"/>
      <c r="L738" s="290"/>
      <c r="M738" s="290"/>
      <c r="N738" s="290"/>
      <c r="O738" s="290"/>
      <c r="P738" s="290"/>
      <c r="Q738" s="290"/>
      <c r="R738" s="288"/>
      <c r="S738" s="289"/>
    </row>
    <row r="739" spans="11:19">
      <c r="K739" s="290"/>
      <c r="L739" s="290"/>
      <c r="M739" s="290"/>
      <c r="N739" s="290"/>
      <c r="O739" s="290"/>
      <c r="P739" s="290"/>
      <c r="Q739" s="290"/>
      <c r="R739" s="288"/>
      <c r="S739" s="289"/>
    </row>
    <row r="740" spans="11:19">
      <c r="K740" s="290"/>
      <c r="L740" s="290"/>
      <c r="M740" s="290"/>
      <c r="N740" s="290"/>
      <c r="O740" s="290"/>
      <c r="P740" s="290"/>
      <c r="Q740" s="290"/>
      <c r="R740" s="288"/>
      <c r="S740" s="289"/>
    </row>
    <row r="741" spans="11:19">
      <c r="K741" s="290"/>
      <c r="L741" s="290"/>
      <c r="M741" s="290"/>
      <c r="N741" s="290"/>
      <c r="O741" s="290"/>
      <c r="P741" s="290"/>
      <c r="Q741" s="290"/>
      <c r="R741" s="288"/>
      <c r="S741" s="289"/>
    </row>
    <row r="742" spans="11:19">
      <c r="K742" s="290"/>
      <c r="L742" s="290"/>
      <c r="M742" s="290"/>
      <c r="N742" s="290"/>
      <c r="O742" s="290"/>
      <c r="P742" s="290"/>
      <c r="Q742" s="290"/>
      <c r="R742" s="288"/>
      <c r="S742" s="289"/>
    </row>
    <row r="743" spans="11:19">
      <c r="K743" s="290"/>
      <c r="L743" s="290"/>
      <c r="M743" s="290"/>
      <c r="N743" s="290"/>
      <c r="O743" s="290"/>
      <c r="P743" s="290"/>
      <c r="Q743" s="290"/>
      <c r="R743" s="288"/>
      <c r="S743" s="289"/>
    </row>
    <row r="744" spans="11:19">
      <c r="K744" s="290"/>
      <c r="L744" s="290"/>
      <c r="M744" s="290"/>
      <c r="N744" s="290"/>
      <c r="O744" s="290"/>
      <c r="P744" s="290"/>
      <c r="Q744" s="290"/>
      <c r="R744" s="288"/>
      <c r="S744" s="289"/>
    </row>
    <row r="745" spans="11:19">
      <c r="K745" s="290"/>
      <c r="L745" s="290"/>
      <c r="M745" s="290"/>
      <c r="N745" s="290"/>
      <c r="O745" s="290"/>
      <c r="P745" s="290"/>
      <c r="Q745" s="290"/>
      <c r="R745" s="288"/>
      <c r="S745" s="289"/>
    </row>
    <row r="746" spans="11:19">
      <c r="K746" s="290"/>
      <c r="L746" s="290"/>
      <c r="M746" s="290"/>
      <c r="N746" s="290"/>
      <c r="O746" s="290"/>
      <c r="P746" s="290"/>
      <c r="Q746" s="290"/>
      <c r="R746" s="288"/>
      <c r="S746" s="289"/>
    </row>
    <row r="747" spans="11:19">
      <c r="K747" s="290"/>
      <c r="L747" s="290"/>
      <c r="M747" s="290"/>
      <c r="N747" s="290"/>
      <c r="O747" s="290"/>
      <c r="P747" s="290"/>
      <c r="Q747" s="290"/>
      <c r="R747" s="288"/>
      <c r="S747" s="289"/>
    </row>
    <row r="748" spans="11:19">
      <c r="K748" s="290"/>
      <c r="L748" s="290"/>
      <c r="M748" s="290"/>
      <c r="N748" s="290"/>
      <c r="O748" s="290"/>
      <c r="P748" s="290"/>
      <c r="Q748" s="290"/>
      <c r="R748" s="288"/>
      <c r="S748" s="289"/>
    </row>
    <row r="749" spans="11:19">
      <c r="K749" s="290"/>
      <c r="L749" s="290"/>
      <c r="M749" s="290"/>
      <c r="N749" s="290"/>
      <c r="O749" s="290"/>
      <c r="P749" s="290"/>
      <c r="Q749" s="290"/>
      <c r="R749" s="288"/>
      <c r="S749" s="289"/>
    </row>
    <row r="750" spans="11:19">
      <c r="K750" s="290"/>
      <c r="L750" s="290"/>
      <c r="M750" s="290"/>
      <c r="N750" s="290"/>
      <c r="O750" s="290"/>
      <c r="P750" s="290"/>
      <c r="Q750" s="290"/>
      <c r="R750" s="288"/>
      <c r="S750" s="289"/>
    </row>
    <row r="751" spans="11:19">
      <c r="K751" s="290"/>
      <c r="L751" s="290"/>
      <c r="M751" s="290"/>
      <c r="N751" s="290"/>
      <c r="O751" s="290"/>
      <c r="P751" s="290"/>
      <c r="Q751" s="290"/>
      <c r="R751" s="288"/>
      <c r="S751" s="289"/>
    </row>
    <row r="752" spans="11:19">
      <c r="K752" s="290"/>
      <c r="L752" s="290"/>
      <c r="M752" s="290"/>
      <c r="N752" s="290"/>
      <c r="O752" s="290"/>
      <c r="P752" s="290"/>
      <c r="Q752" s="290"/>
      <c r="R752" s="288"/>
      <c r="S752" s="289"/>
    </row>
    <row r="753" spans="11:19">
      <c r="K753" s="290"/>
      <c r="L753" s="290"/>
      <c r="M753" s="290"/>
      <c r="N753" s="290"/>
      <c r="O753" s="290"/>
      <c r="P753" s="290"/>
      <c r="Q753" s="290"/>
      <c r="R753" s="288"/>
      <c r="S753" s="289"/>
    </row>
    <row r="754" spans="11:19">
      <c r="K754" s="290"/>
      <c r="L754" s="290"/>
      <c r="M754" s="290"/>
      <c r="N754" s="290"/>
      <c r="O754" s="290"/>
      <c r="P754" s="290"/>
      <c r="Q754" s="290"/>
      <c r="R754" s="288"/>
      <c r="S754" s="289"/>
    </row>
    <row r="755" spans="11:19">
      <c r="K755" s="290"/>
      <c r="L755" s="290"/>
      <c r="M755" s="290"/>
      <c r="N755" s="290"/>
      <c r="O755" s="290"/>
      <c r="P755" s="290"/>
      <c r="Q755" s="290"/>
      <c r="R755" s="288"/>
      <c r="S755" s="289"/>
    </row>
    <row r="756" spans="11:19">
      <c r="K756" s="290"/>
      <c r="L756" s="290"/>
      <c r="M756" s="290"/>
      <c r="N756" s="290"/>
      <c r="O756" s="290"/>
      <c r="P756" s="290"/>
      <c r="Q756" s="290"/>
      <c r="R756" s="288"/>
      <c r="S756" s="289"/>
    </row>
    <row r="757" spans="11:19">
      <c r="K757" s="290"/>
      <c r="L757" s="290"/>
      <c r="M757" s="290"/>
      <c r="N757" s="290"/>
      <c r="O757" s="290"/>
      <c r="P757" s="290"/>
      <c r="Q757" s="290"/>
      <c r="R757" s="288"/>
      <c r="S757" s="289"/>
    </row>
    <row r="758" spans="11:19">
      <c r="K758" s="290"/>
      <c r="L758" s="290"/>
      <c r="M758" s="290"/>
      <c r="N758" s="290"/>
      <c r="O758" s="290"/>
      <c r="P758" s="290"/>
      <c r="Q758" s="290"/>
      <c r="R758" s="288"/>
      <c r="S758" s="289"/>
    </row>
    <row r="759" spans="11:19">
      <c r="K759" s="290"/>
      <c r="L759" s="290"/>
      <c r="M759" s="290"/>
      <c r="N759" s="290"/>
      <c r="O759" s="290"/>
      <c r="P759" s="290"/>
      <c r="Q759" s="290"/>
      <c r="R759" s="288"/>
      <c r="S759" s="289"/>
    </row>
    <row r="760" spans="11:19">
      <c r="K760" s="290"/>
      <c r="L760" s="290"/>
      <c r="M760" s="290"/>
      <c r="N760" s="290"/>
      <c r="O760" s="290"/>
      <c r="P760" s="290"/>
      <c r="Q760" s="290"/>
      <c r="R760" s="288"/>
      <c r="S760" s="289"/>
    </row>
    <row r="761" spans="11:19">
      <c r="K761" s="290"/>
      <c r="L761" s="290"/>
      <c r="M761" s="290"/>
      <c r="N761" s="290"/>
      <c r="O761" s="290"/>
      <c r="P761" s="290"/>
      <c r="Q761" s="290"/>
      <c r="R761" s="288"/>
      <c r="S761" s="289"/>
    </row>
    <row r="762" spans="11:19">
      <c r="K762" s="290"/>
      <c r="L762" s="290"/>
      <c r="M762" s="290"/>
      <c r="N762" s="290"/>
      <c r="O762" s="290"/>
      <c r="P762" s="290"/>
      <c r="Q762" s="290"/>
      <c r="R762" s="288"/>
      <c r="S762" s="289"/>
    </row>
    <row r="763" spans="11:19">
      <c r="K763" s="290"/>
      <c r="L763" s="290"/>
      <c r="M763" s="290"/>
      <c r="N763" s="290"/>
      <c r="O763" s="290"/>
      <c r="P763" s="290"/>
      <c r="Q763" s="290"/>
      <c r="R763" s="288"/>
      <c r="S763" s="289"/>
    </row>
    <row r="764" spans="11:19">
      <c r="K764" s="290"/>
      <c r="L764" s="290"/>
      <c r="M764" s="290"/>
      <c r="N764" s="290"/>
      <c r="O764" s="290"/>
      <c r="P764" s="290"/>
      <c r="Q764" s="290"/>
      <c r="R764" s="288"/>
      <c r="S764" s="289"/>
    </row>
    <row r="765" spans="11:19">
      <c r="K765" s="290"/>
      <c r="L765" s="290"/>
      <c r="M765" s="290"/>
      <c r="N765" s="290"/>
      <c r="O765" s="290"/>
      <c r="P765" s="290"/>
      <c r="Q765" s="290"/>
      <c r="R765" s="288"/>
      <c r="S765" s="289"/>
    </row>
    <row r="766" spans="11:19">
      <c r="K766" s="290"/>
      <c r="L766" s="290"/>
      <c r="M766" s="290"/>
      <c r="N766" s="290"/>
      <c r="O766" s="290"/>
      <c r="P766" s="290"/>
      <c r="Q766" s="290"/>
      <c r="R766" s="288"/>
      <c r="S766" s="289"/>
    </row>
    <row r="767" spans="11:19">
      <c r="K767" s="290"/>
      <c r="L767" s="290"/>
      <c r="M767" s="290"/>
      <c r="N767" s="290"/>
      <c r="O767" s="290"/>
      <c r="P767" s="290"/>
      <c r="Q767" s="290"/>
      <c r="R767" s="288"/>
      <c r="S767" s="289"/>
    </row>
    <row r="768" spans="11:19">
      <c r="K768" s="290"/>
      <c r="L768" s="290"/>
      <c r="M768" s="290"/>
      <c r="N768" s="290"/>
      <c r="O768" s="290"/>
      <c r="P768" s="290"/>
      <c r="Q768" s="290"/>
      <c r="R768" s="288"/>
      <c r="S768" s="289"/>
    </row>
    <row r="769" spans="11:19">
      <c r="K769" s="290"/>
      <c r="L769" s="290"/>
      <c r="M769" s="290"/>
      <c r="N769" s="290"/>
      <c r="O769" s="290"/>
      <c r="P769" s="290"/>
      <c r="Q769" s="290"/>
      <c r="R769" s="288"/>
      <c r="S769" s="289"/>
    </row>
    <row r="770" spans="11:19">
      <c r="K770" s="290"/>
      <c r="L770" s="290"/>
      <c r="M770" s="290"/>
      <c r="N770" s="290"/>
      <c r="O770" s="290"/>
      <c r="P770" s="290"/>
      <c r="Q770" s="290"/>
      <c r="R770" s="288"/>
      <c r="S770" s="289"/>
    </row>
    <row r="771" spans="11:19">
      <c r="K771" s="290"/>
      <c r="L771" s="290"/>
      <c r="M771" s="290"/>
      <c r="N771" s="290"/>
      <c r="O771" s="290"/>
      <c r="P771" s="290"/>
      <c r="Q771" s="290"/>
      <c r="R771" s="288"/>
      <c r="S771" s="289"/>
    </row>
    <row r="772" spans="11:19">
      <c r="K772" s="290"/>
      <c r="L772" s="290"/>
      <c r="M772" s="290"/>
      <c r="N772" s="290"/>
      <c r="O772" s="290"/>
      <c r="P772" s="290"/>
      <c r="Q772" s="290"/>
      <c r="R772" s="288"/>
      <c r="S772" s="289"/>
    </row>
    <row r="773" spans="11:19">
      <c r="K773" s="290"/>
      <c r="L773" s="290"/>
      <c r="M773" s="290"/>
      <c r="N773" s="290"/>
      <c r="O773" s="290"/>
      <c r="P773" s="290"/>
      <c r="Q773" s="290"/>
      <c r="R773" s="288"/>
      <c r="S773" s="289"/>
    </row>
    <row r="774" spans="11:19">
      <c r="K774" s="290"/>
      <c r="L774" s="290"/>
      <c r="M774" s="290"/>
      <c r="N774" s="290"/>
      <c r="O774" s="290"/>
      <c r="P774" s="290"/>
      <c r="Q774" s="290"/>
      <c r="R774" s="288"/>
      <c r="S774" s="289"/>
    </row>
    <row r="775" spans="11:19">
      <c r="K775" s="290"/>
      <c r="L775" s="290"/>
      <c r="M775" s="290"/>
      <c r="N775" s="290"/>
      <c r="O775" s="290"/>
      <c r="P775" s="290"/>
      <c r="Q775" s="290"/>
      <c r="R775" s="288"/>
      <c r="S775" s="289"/>
    </row>
    <row r="776" spans="11:19">
      <c r="K776" s="290"/>
      <c r="L776" s="290"/>
      <c r="M776" s="290"/>
      <c r="N776" s="290"/>
      <c r="O776" s="290"/>
      <c r="P776" s="290"/>
      <c r="Q776" s="290"/>
      <c r="R776" s="288"/>
      <c r="S776" s="289"/>
    </row>
    <row r="777" spans="11:19">
      <c r="K777" s="290"/>
      <c r="L777" s="290"/>
      <c r="M777" s="290"/>
      <c r="N777" s="290"/>
      <c r="O777" s="290"/>
      <c r="P777" s="290"/>
      <c r="Q777" s="290"/>
      <c r="R777" s="288"/>
      <c r="S777" s="289"/>
    </row>
    <row r="778" spans="11:19">
      <c r="K778" s="290"/>
      <c r="L778" s="290"/>
      <c r="M778" s="290"/>
      <c r="N778" s="290"/>
      <c r="O778" s="290"/>
      <c r="P778" s="290"/>
      <c r="Q778" s="290"/>
      <c r="R778" s="288"/>
      <c r="S778" s="289"/>
    </row>
    <row r="779" spans="11:19">
      <c r="K779" s="290"/>
      <c r="L779" s="290"/>
      <c r="M779" s="290"/>
      <c r="N779" s="290"/>
      <c r="O779" s="290"/>
      <c r="P779" s="290"/>
      <c r="Q779" s="290"/>
      <c r="R779" s="288"/>
      <c r="S779" s="289"/>
    </row>
    <row r="780" spans="11:19">
      <c r="K780" s="290"/>
      <c r="L780" s="290"/>
      <c r="M780" s="290"/>
      <c r="N780" s="290"/>
      <c r="O780" s="290"/>
      <c r="P780" s="290"/>
      <c r="Q780" s="290"/>
      <c r="R780" s="288"/>
      <c r="S780" s="289"/>
    </row>
    <row r="781" spans="11:19">
      <c r="K781" s="290"/>
      <c r="L781" s="290"/>
      <c r="M781" s="290"/>
      <c r="N781" s="290"/>
      <c r="O781" s="290"/>
      <c r="P781" s="290"/>
      <c r="Q781" s="290"/>
      <c r="R781" s="288"/>
      <c r="S781" s="289"/>
    </row>
    <row r="782" spans="11:19">
      <c r="K782" s="290"/>
      <c r="L782" s="290"/>
      <c r="M782" s="290"/>
      <c r="N782" s="290"/>
      <c r="O782" s="290"/>
      <c r="P782" s="290"/>
      <c r="Q782" s="290"/>
      <c r="R782" s="288"/>
      <c r="S782" s="289"/>
    </row>
    <row r="783" spans="11:19">
      <c r="K783" s="290"/>
      <c r="L783" s="290"/>
      <c r="M783" s="290"/>
      <c r="N783" s="290"/>
      <c r="O783" s="290"/>
      <c r="P783" s="290"/>
      <c r="Q783" s="290"/>
      <c r="R783" s="288"/>
      <c r="S783" s="289"/>
    </row>
    <row r="784" spans="11:19">
      <c r="K784" s="290"/>
      <c r="L784" s="290"/>
      <c r="M784" s="290"/>
      <c r="N784" s="290"/>
      <c r="O784" s="290"/>
      <c r="P784" s="290"/>
      <c r="Q784" s="290"/>
      <c r="R784" s="288"/>
      <c r="S784" s="289"/>
    </row>
    <row r="785" spans="11:19">
      <c r="K785" s="290"/>
      <c r="L785" s="290"/>
      <c r="M785" s="290"/>
      <c r="N785" s="290"/>
      <c r="O785" s="290"/>
      <c r="P785" s="290"/>
      <c r="Q785" s="290"/>
      <c r="R785" s="288"/>
      <c r="S785" s="289"/>
    </row>
    <row r="786" spans="11:19">
      <c r="K786" s="290"/>
      <c r="L786" s="290"/>
      <c r="M786" s="290"/>
      <c r="N786" s="290"/>
      <c r="O786" s="290"/>
      <c r="P786" s="290"/>
      <c r="Q786" s="290"/>
      <c r="R786" s="288"/>
      <c r="S786" s="289"/>
    </row>
    <row r="787" spans="11:19">
      <c r="K787" s="290"/>
      <c r="L787" s="290"/>
      <c r="M787" s="290"/>
      <c r="N787" s="290"/>
      <c r="O787" s="290"/>
      <c r="P787" s="290"/>
      <c r="Q787" s="290"/>
      <c r="R787" s="288"/>
      <c r="S787" s="289"/>
    </row>
    <row r="788" spans="11:19">
      <c r="K788" s="290"/>
      <c r="L788" s="290"/>
      <c r="M788" s="290"/>
      <c r="N788" s="290"/>
      <c r="O788" s="290"/>
      <c r="P788" s="290"/>
      <c r="Q788" s="290"/>
      <c r="R788" s="288"/>
      <c r="S788" s="289"/>
    </row>
    <row r="789" spans="11:19">
      <c r="K789" s="290"/>
      <c r="L789" s="290"/>
      <c r="M789" s="290"/>
      <c r="N789" s="290"/>
      <c r="O789" s="290"/>
      <c r="P789" s="290"/>
      <c r="Q789" s="290"/>
      <c r="R789" s="288"/>
      <c r="S789" s="289"/>
    </row>
    <row r="790" spans="11:19">
      <c r="K790" s="290"/>
      <c r="L790" s="290"/>
      <c r="M790" s="290"/>
      <c r="N790" s="290"/>
      <c r="O790" s="290"/>
      <c r="P790" s="290"/>
      <c r="Q790" s="290"/>
      <c r="R790" s="288"/>
      <c r="S790" s="289"/>
    </row>
    <row r="791" spans="11:19">
      <c r="K791" s="290"/>
      <c r="L791" s="290"/>
      <c r="M791" s="290"/>
      <c r="N791" s="290"/>
      <c r="O791" s="290"/>
      <c r="P791" s="290"/>
      <c r="Q791" s="290"/>
      <c r="R791" s="288"/>
      <c r="S791" s="289"/>
    </row>
    <row r="792" spans="11:19">
      <c r="K792" s="290"/>
      <c r="L792" s="290"/>
      <c r="M792" s="290"/>
      <c r="N792" s="290"/>
      <c r="O792" s="290"/>
      <c r="P792" s="290"/>
      <c r="Q792" s="290"/>
      <c r="R792" s="288"/>
      <c r="S792" s="289"/>
    </row>
    <row r="793" spans="11:19">
      <c r="K793" s="290"/>
      <c r="L793" s="290"/>
      <c r="M793" s="290"/>
      <c r="N793" s="290"/>
      <c r="O793" s="290"/>
      <c r="P793" s="290"/>
      <c r="Q793" s="290"/>
      <c r="R793" s="288"/>
      <c r="S793" s="289"/>
    </row>
    <row r="794" spans="11:19">
      <c r="K794" s="290"/>
      <c r="L794" s="290"/>
      <c r="M794" s="290"/>
      <c r="N794" s="290"/>
      <c r="O794" s="290"/>
      <c r="P794" s="290"/>
      <c r="Q794" s="290"/>
      <c r="R794" s="288"/>
      <c r="S794" s="289"/>
    </row>
    <row r="795" spans="11:19">
      <c r="K795" s="290"/>
      <c r="L795" s="290"/>
      <c r="M795" s="290"/>
      <c r="N795" s="290"/>
      <c r="O795" s="290"/>
      <c r="P795" s="290"/>
      <c r="Q795" s="290"/>
      <c r="R795" s="288"/>
      <c r="S795" s="289"/>
    </row>
    <row r="796" spans="11:19">
      <c r="K796" s="290"/>
      <c r="L796" s="290"/>
      <c r="M796" s="290"/>
      <c r="N796" s="290"/>
      <c r="O796" s="290"/>
      <c r="P796" s="290"/>
      <c r="Q796" s="290"/>
      <c r="R796" s="288"/>
      <c r="S796" s="289"/>
    </row>
    <row r="797" spans="11:19">
      <c r="K797" s="290"/>
      <c r="L797" s="290"/>
      <c r="M797" s="290"/>
      <c r="N797" s="290"/>
      <c r="O797" s="290"/>
      <c r="P797" s="290"/>
      <c r="Q797" s="290"/>
      <c r="R797" s="288"/>
      <c r="S797" s="289"/>
    </row>
    <row r="798" spans="11:19">
      <c r="K798" s="290"/>
      <c r="L798" s="290"/>
      <c r="M798" s="290"/>
      <c r="N798" s="290"/>
      <c r="O798" s="290"/>
      <c r="P798" s="290"/>
      <c r="Q798" s="290"/>
      <c r="R798" s="288"/>
      <c r="S798" s="289"/>
    </row>
    <row r="799" spans="11:19">
      <c r="K799" s="290"/>
      <c r="L799" s="290"/>
      <c r="M799" s="290"/>
      <c r="N799" s="290"/>
      <c r="O799" s="290"/>
      <c r="P799" s="290"/>
      <c r="Q799" s="290"/>
      <c r="R799" s="288"/>
      <c r="S799" s="289"/>
    </row>
    <row r="800" spans="11:19">
      <c r="K800" s="290"/>
      <c r="L800" s="290"/>
      <c r="M800" s="290"/>
      <c r="N800" s="290"/>
      <c r="O800" s="290"/>
      <c r="P800" s="290"/>
      <c r="Q800" s="290"/>
      <c r="R800" s="288"/>
      <c r="S800" s="289"/>
    </row>
    <row r="801" spans="11:19">
      <c r="K801" s="290"/>
      <c r="L801" s="290"/>
      <c r="M801" s="290"/>
      <c r="N801" s="290"/>
      <c r="O801" s="290"/>
      <c r="P801" s="290"/>
      <c r="Q801" s="290"/>
      <c r="R801" s="288"/>
      <c r="S801" s="289"/>
    </row>
    <row r="802" spans="11:19">
      <c r="K802" s="290"/>
      <c r="L802" s="290"/>
      <c r="M802" s="290"/>
      <c r="N802" s="290"/>
      <c r="O802" s="290"/>
      <c r="P802" s="290"/>
      <c r="Q802" s="290"/>
      <c r="R802" s="288"/>
      <c r="S802" s="289"/>
    </row>
    <row r="803" spans="11:19">
      <c r="K803" s="290"/>
      <c r="L803" s="290"/>
      <c r="M803" s="290"/>
      <c r="N803" s="290"/>
      <c r="O803" s="290"/>
      <c r="P803" s="290"/>
      <c r="Q803" s="290"/>
      <c r="R803" s="288"/>
      <c r="S803" s="289"/>
    </row>
    <row r="804" spans="11:19">
      <c r="K804" s="290"/>
      <c r="L804" s="290"/>
      <c r="M804" s="290"/>
      <c r="N804" s="290"/>
      <c r="O804" s="290"/>
      <c r="P804" s="290"/>
      <c r="Q804" s="290"/>
      <c r="R804" s="288"/>
      <c r="S804" s="289"/>
    </row>
    <row r="805" spans="11:19">
      <c r="K805" s="290"/>
      <c r="L805" s="290"/>
      <c r="M805" s="290"/>
      <c r="N805" s="290"/>
      <c r="O805" s="290"/>
      <c r="P805" s="290"/>
      <c r="Q805" s="290"/>
      <c r="R805" s="288"/>
      <c r="S805" s="289"/>
    </row>
    <row r="806" spans="11:19">
      <c r="K806" s="290"/>
      <c r="L806" s="290"/>
      <c r="M806" s="290"/>
      <c r="N806" s="290"/>
      <c r="O806" s="290"/>
      <c r="P806" s="290"/>
      <c r="Q806" s="290"/>
      <c r="R806" s="288"/>
      <c r="S806" s="289"/>
    </row>
    <row r="807" spans="11:19">
      <c r="K807" s="290"/>
      <c r="L807" s="290"/>
      <c r="M807" s="290"/>
      <c r="N807" s="290"/>
      <c r="O807" s="290"/>
      <c r="P807" s="290"/>
      <c r="Q807" s="290"/>
      <c r="R807" s="288"/>
      <c r="S807" s="289"/>
    </row>
    <row r="808" spans="11:19">
      <c r="K808" s="290"/>
      <c r="L808" s="290"/>
      <c r="M808" s="290"/>
      <c r="N808" s="290"/>
      <c r="O808" s="290"/>
      <c r="P808" s="290"/>
      <c r="Q808" s="290"/>
      <c r="R808" s="288"/>
      <c r="S808" s="289"/>
    </row>
    <row r="809" spans="11:19">
      <c r="K809" s="290"/>
      <c r="L809" s="290"/>
      <c r="M809" s="290"/>
      <c r="N809" s="290"/>
      <c r="O809" s="290"/>
      <c r="P809" s="290"/>
      <c r="Q809" s="290"/>
      <c r="R809" s="288"/>
      <c r="S809" s="289"/>
    </row>
    <row r="810" spans="11:19">
      <c r="K810" s="290"/>
      <c r="L810" s="290"/>
      <c r="M810" s="290"/>
      <c r="N810" s="290"/>
      <c r="O810" s="290"/>
      <c r="P810" s="290"/>
      <c r="Q810" s="290"/>
      <c r="R810" s="288"/>
      <c r="S810" s="289"/>
    </row>
    <row r="811" spans="11:19">
      <c r="K811" s="290"/>
      <c r="L811" s="290"/>
      <c r="M811" s="290"/>
      <c r="N811" s="290"/>
      <c r="O811" s="290"/>
      <c r="P811" s="290"/>
      <c r="Q811" s="290"/>
      <c r="R811" s="288"/>
      <c r="S811" s="289"/>
    </row>
    <row r="812" spans="11:19">
      <c r="K812" s="290"/>
      <c r="L812" s="290"/>
      <c r="M812" s="290"/>
      <c r="N812" s="290"/>
      <c r="O812" s="290"/>
      <c r="P812" s="290"/>
      <c r="Q812" s="290"/>
      <c r="R812" s="288"/>
      <c r="S812" s="289"/>
    </row>
    <row r="813" spans="11:19">
      <c r="K813" s="290"/>
      <c r="L813" s="290"/>
      <c r="M813" s="290"/>
      <c r="N813" s="290"/>
      <c r="O813" s="290"/>
      <c r="P813" s="290"/>
      <c r="Q813" s="290"/>
      <c r="R813" s="288"/>
      <c r="S813" s="289"/>
    </row>
    <row r="814" spans="11:19">
      <c r="K814" s="290"/>
      <c r="L814" s="290"/>
      <c r="M814" s="290"/>
      <c r="N814" s="290"/>
      <c r="O814" s="290"/>
      <c r="P814" s="290"/>
      <c r="Q814" s="290"/>
      <c r="R814" s="288"/>
      <c r="S814" s="289"/>
    </row>
    <row r="815" spans="11:19">
      <c r="K815" s="290"/>
      <c r="L815" s="290"/>
      <c r="M815" s="290"/>
      <c r="N815" s="290"/>
      <c r="O815" s="290"/>
      <c r="P815" s="290"/>
      <c r="Q815" s="290"/>
      <c r="R815" s="288"/>
      <c r="S815" s="289"/>
    </row>
    <row r="816" spans="11:19">
      <c r="K816" s="290"/>
      <c r="L816" s="290"/>
      <c r="M816" s="290"/>
      <c r="N816" s="290"/>
      <c r="O816" s="290"/>
      <c r="P816" s="290"/>
      <c r="Q816" s="290"/>
      <c r="R816" s="288"/>
      <c r="S816" s="289"/>
    </row>
    <row r="817" spans="11:19">
      <c r="K817" s="290"/>
      <c r="L817" s="290"/>
      <c r="M817" s="290"/>
      <c r="N817" s="290"/>
      <c r="O817" s="290"/>
      <c r="P817" s="290"/>
      <c r="Q817" s="290"/>
      <c r="R817" s="288"/>
      <c r="S817" s="289"/>
    </row>
    <row r="818" spans="11:19">
      <c r="K818" s="290"/>
      <c r="L818" s="290"/>
      <c r="M818" s="290"/>
      <c r="N818" s="290"/>
      <c r="O818" s="290"/>
      <c r="P818" s="290"/>
      <c r="Q818" s="290"/>
      <c r="R818" s="288"/>
      <c r="S818" s="289"/>
    </row>
    <row r="819" spans="11:19">
      <c r="K819" s="290"/>
      <c r="L819" s="290"/>
      <c r="M819" s="290"/>
      <c r="N819" s="290"/>
      <c r="O819" s="290"/>
      <c r="P819" s="290"/>
      <c r="Q819" s="290"/>
      <c r="R819" s="288"/>
      <c r="S819" s="289"/>
    </row>
    <row r="820" spans="11:19">
      <c r="K820" s="290"/>
      <c r="L820" s="290"/>
      <c r="M820" s="290"/>
      <c r="N820" s="290"/>
      <c r="O820" s="290"/>
      <c r="P820" s="290"/>
      <c r="Q820" s="290"/>
      <c r="R820" s="288"/>
      <c r="S820" s="289"/>
    </row>
    <row r="821" spans="11:19">
      <c r="K821" s="290"/>
      <c r="L821" s="290"/>
      <c r="M821" s="290"/>
      <c r="N821" s="290"/>
      <c r="O821" s="290"/>
      <c r="P821" s="290"/>
      <c r="Q821" s="290"/>
      <c r="R821" s="288"/>
      <c r="S821" s="289"/>
    </row>
    <row r="822" spans="11:19">
      <c r="K822" s="290"/>
      <c r="L822" s="290"/>
      <c r="M822" s="290"/>
      <c r="N822" s="290"/>
      <c r="O822" s="290"/>
      <c r="P822" s="290"/>
      <c r="Q822" s="290"/>
      <c r="R822" s="288"/>
      <c r="S822" s="289"/>
    </row>
    <row r="823" spans="11:19">
      <c r="K823" s="290"/>
      <c r="L823" s="290"/>
      <c r="M823" s="290"/>
      <c r="N823" s="290"/>
      <c r="O823" s="290"/>
      <c r="P823" s="290"/>
      <c r="Q823" s="290"/>
      <c r="R823" s="288"/>
      <c r="S823" s="289"/>
    </row>
    <row r="824" spans="11:19">
      <c r="K824" s="290"/>
      <c r="L824" s="290"/>
      <c r="M824" s="290"/>
      <c r="N824" s="290"/>
      <c r="O824" s="290"/>
      <c r="P824" s="290"/>
      <c r="Q824" s="290"/>
      <c r="R824" s="288"/>
      <c r="S824" s="289"/>
    </row>
    <row r="825" spans="11:19">
      <c r="K825" s="290"/>
      <c r="L825" s="290"/>
      <c r="M825" s="290"/>
      <c r="N825" s="290"/>
      <c r="O825" s="290"/>
      <c r="P825" s="290"/>
      <c r="Q825" s="290"/>
      <c r="R825" s="288"/>
      <c r="S825" s="289"/>
    </row>
    <row r="826" spans="11:19">
      <c r="K826" s="290"/>
      <c r="L826" s="290"/>
      <c r="M826" s="290"/>
      <c r="N826" s="290"/>
      <c r="O826" s="290"/>
      <c r="P826" s="290"/>
      <c r="Q826" s="290"/>
      <c r="R826" s="288"/>
      <c r="S826" s="289"/>
    </row>
    <row r="827" spans="11:19">
      <c r="K827" s="290"/>
      <c r="L827" s="290"/>
      <c r="M827" s="290"/>
      <c r="N827" s="290"/>
      <c r="O827" s="290"/>
      <c r="P827" s="290"/>
      <c r="Q827" s="290"/>
      <c r="R827" s="288"/>
      <c r="S827" s="289"/>
    </row>
    <row r="828" spans="11:19">
      <c r="K828" s="290"/>
      <c r="L828" s="290"/>
      <c r="M828" s="290"/>
      <c r="N828" s="290"/>
      <c r="O828" s="290"/>
      <c r="P828" s="290"/>
      <c r="Q828" s="290"/>
      <c r="R828" s="288"/>
      <c r="S828" s="289"/>
    </row>
    <row r="829" spans="11:19">
      <c r="K829" s="290"/>
      <c r="L829" s="290"/>
      <c r="M829" s="290"/>
      <c r="N829" s="290"/>
      <c r="O829" s="290"/>
      <c r="P829" s="290"/>
      <c r="Q829" s="290"/>
      <c r="R829" s="288"/>
      <c r="S829" s="289"/>
    </row>
    <row r="830" spans="11:19">
      <c r="K830" s="290"/>
      <c r="L830" s="290"/>
      <c r="M830" s="290"/>
      <c r="N830" s="290"/>
      <c r="O830" s="290"/>
      <c r="P830" s="290"/>
      <c r="Q830" s="290"/>
      <c r="R830" s="288"/>
      <c r="S830" s="289"/>
    </row>
    <row r="831" spans="11:19">
      <c r="K831" s="290"/>
      <c r="L831" s="290"/>
      <c r="M831" s="290"/>
      <c r="N831" s="290"/>
      <c r="O831" s="290"/>
      <c r="P831" s="290"/>
      <c r="Q831" s="290"/>
      <c r="R831" s="288"/>
      <c r="S831" s="289"/>
    </row>
    <row r="832" spans="11:19">
      <c r="K832" s="290"/>
      <c r="L832" s="290"/>
      <c r="M832" s="290"/>
      <c r="N832" s="290"/>
      <c r="O832" s="290"/>
      <c r="P832" s="290"/>
      <c r="Q832" s="290"/>
      <c r="R832" s="288"/>
      <c r="S832" s="289"/>
    </row>
    <row r="833" spans="11:19">
      <c r="K833" s="290"/>
      <c r="L833" s="290"/>
      <c r="M833" s="290"/>
      <c r="N833" s="290"/>
      <c r="O833" s="290"/>
      <c r="P833" s="290"/>
      <c r="Q833" s="290"/>
      <c r="R833" s="288"/>
      <c r="S833" s="289"/>
    </row>
    <row r="834" spans="11:19">
      <c r="K834" s="290"/>
      <c r="L834" s="290"/>
      <c r="M834" s="290"/>
      <c r="N834" s="290"/>
      <c r="O834" s="290"/>
      <c r="P834" s="290"/>
      <c r="Q834" s="290"/>
      <c r="R834" s="288"/>
      <c r="S834" s="289"/>
    </row>
    <row r="835" spans="11:19">
      <c r="K835" s="290"/>
      <c r="L835" s="290"/>
      <c r="M835" s="290"/>
      <c r="N835" s="290"/>
      <c r="O835" s="290"/>
      <c r="P835" s="290"/>
      <c r="Q835" s="290"/>
      <c r="R835" s="288"/>
      <c r="S835" s="289"/>
    </row>
    <row r="836" spans="11:19">
      <c r="K836" s="290"/>
      <c r="L836" s="290"/>
      <c r="M836" s="290"/>
      <c r="N836" s="290"/>
      <c r="O836" s="290"/>
      <c r="P836" s="290"/>
      <c r="Q836" s="290"/>
      <c r="R836" s="288"/>
      <c r="S836" s="289"/>
    </row>
    <row r="837" spans="11:19">
      <c r="K837" s="290"/>
      <c r="L837" s="290"/>
      <c r="M837" s="290"/>
      <c r="N837" s="290"/>
      <c r="O837" s="290"/>
      <c r="P837" s="290"/>
      <c r="Q837" s="290"/>
      <c r="R837" s="288"/>
      <c r="S837" s="289"/>
    </row>
    <row r="838" spans="11:19">
      <c r="K838" s="290"/>
      <c r="L838" s="290"/>
      <c r="M838" s="290"/>
      <c r="N838" s="290"/>
      <c r="O838" s="290"/>
      <c r="P838" s="290"/>
      <c r="Q838" s="290"/>
      <c r="R838" s="288"/>
      <c r="S838" s="289"/>
    </row>
    <row r="839" spans="11:19">
      <c r="K839" s="290"/>
      <c r="L839" s="290"/>
      <c r="M839" s="290"/>
      <c r="N839" s="290"/>
      <c r="O839" s="290"/>
      <c r="P839" s="290"/>
      <c r="Q839" s="290"/>
      <c r="R839" s="288"/>
      <c r="S839" s="289"/>
    </row>
    <row r="840" spans="11:19">
      <c r="K840" s="290"/>
      <c r="L840" s="290"/>
      <c r="M840" s="290"/>
      <c r="N840" s="290"/>
      <c r="O840" s="290"/>
      <c r="P840" s="290"/>
      <c r="Q840" s="290"/>
      <c r="R840" s="288"/>
      <c r="S840" s="289"/>
    </row>
    <row r="841" spans="11:19">
      <c r="K841" s="290"/>
      <c r="L841" s="290"/>
      <c r="M841" s="290"/>
      <c r="N841" s="290"/>
      <c r="O841" s="290"/>
      <c r="P841" s="290"/>
      <c r="Q841" s="290"/>
      <c r="R841" s="288"/>
      <c r="S841" s="289"/>
    </row>
    <row r="842" spans="11:19">
      <c r="K842" s="290"/>
      <c r="L842" s="290"/>
      <c r="M842" s="290"/>
      <c r="N842" s="290"/>
      <c r="O842" s="290"/>
      <c r="P842" s="290"/>
      <c r="Q842" s="290"/>
      <c r="R842" s="288"/>
      <c r="S842" s="289"/>
    </row>
    <row r="843" spans="11:19">
      <c r="K843" s="290"/>
      <c r="L843" s="290"/>
      <c r="M843" s="290"/>
      <c r="N843" s="290"/>
      <c r="O843" s="290"/>
      <c r="P843" s="290"/>
      <c r="Q843" s="290"/>
      <c r="R843" s="288"/>
      <c r="S843" s="289"/>
    </row>
    <row r="844" spans="11:19">
      <c r="K844" s="290"/>
      <c r="L844" s="290"/>
      <c r="M844" s="290"/>
      <c r="N844" s="290"/>
      <c r="O844" s="290"/>
      <c r="P844" s="290"/>
      <c r="Q844" s="290"/>
      <c r="R844" s="288"/>
      <c r="S844" s="289"/>
    </row>
    <row r="845" spans="11:19">
      <c r="K845" s="290"/>
      <c r="L845" s="290"/>
      <c r="M845" s="290"/>
      <c r="N845" s="290"/>
      <c r="O845" s="290"/>
      <c r="P845" s="290"/>
      <c r="Q845" s="290"/>
      <c r="R845" s="288"/>
      <c r="S845" s="289"/>
    </row>
    <row r="846" spans="11:19">
      <c r="K846" s="290"/>
      <c r="L846" s="290"/>
      <c r="M846" s="290"/>
      <c r="N846" s="290"/>
      <c r="O846" s="290"/>
      <c r="P846" s="290"/>
      <c r="Q846" s="290"/>
      <c r="R846" s="288"/>
      <c r="S846" s="289"/>
    </row>
    <row r="847" spans="11:19">
      <c r="K847" s="290"/>
      <c r="L847" s="290"/>
      <c r="M847" s="290"/>
      <c r="N847" s="290"/>
      <c r="O847" s="290"/>
      <c r="P847" s="290"/>
      <c r="Q847" s="290"/>
      <c r="R847" s="288"/>
      <c r="S847" s="289"/>
    </row>
    <row r="848" spans="11:19">
      <c r="K848" s="290"/>
      <c r="L848" s="290"/>
      <c r="M848" s="290"/>
      <c r="N848" s="290"/>
      <c r="O848" s="290"/>
      <c r="P848" s="290"/>
      <c r="Q848" s="290"/>
      <c r="R848" s="288"/>
      <c r="S848" s="289"/>
    </row>
    <row r="849" spans="11:19">
      <c r="K849" s="290"/>
      <c r="L849" s="290"/>
      <c r="M849" s="290"/>
      <c r="N849" s="290"/>
      <c r="O849" s="290"/>
      <c r="P849" s="290"/>
      <c r="Q849" s="290"/>
      <c r="R849" s="288"/>
      <c r="S849" s="289"/>
    </row>
    <row r="850" spans="11:19">
      <c r="K850" s="290"/>
      <c r="L850" s="290"/>
      <c r="M850" s="290"/>
      <c r="N850" s="290"/>
      <c r="O850" s="290"/>
      <c r="P850" s="290"/>
      <c r="Q850" s="290"/>
      <c r="R850" s="288"/>
      <c r="S850" s="289"/>
    </row>
    <row r="851" spans="11:19">
      <c r="K851" s="290"/>
      <c r="L851" s="290"/>
      <c r="M851" s="290"/>
      <c r="N851" s="290"/>
      <c r="O851" s="290"/>
      <c r="P851" s="290"/>
      <c r="Q851" s="290"/>
      <c r="R851" s="288"/>
      <c r="S851" s="289"/>
    </row>
    <row r="852" spans="11:19">
      <c r="K852" s="290"/>
      <c r="L852" s="290"/>
      <c r="M852" s="290"/>
      <c r="N852" s="290"/>
      <c r="O852" s="290"/>
      <c r="P852" s="290"/>
      <c r="Q852" s="290"/>
      <c r="R852" s="288"/>
      <c r="S852" s="289"/>
    </row>
    <row r="853" spans="11:19">
      <c r="K853" s="290"/>
      <c r="L853" s="290"/>
      <c r="M853" s="290"/>
      <c r="N853" s="290"/>
      <c r="O853" s="290"/>
      <c r="P853" s="290"/>
      <c r="Q853" s="290"/>
      <c r="R853" s="288"/>
      <c r="S853" s="289"/>
    </row>
    <row r="854" spans="11:19">
      <c r="K854" s="290"/>
      <c r="L854" s="290"/>
      <c r="M854" s="290"/>
      <c r="N854" s="290"/>
      <c r="O854" s="290"/>
      <c r="P854" s="290"/>
      <c r="Q854" s="290"/>
      <c r="R854" s="288"/>
      <c r="S854" s="289"/>
    </row>
    <row r="855" spans="11:19">
      <c r="K855" s="290"/>
      <c r="L855" s="290"/>
      <c r="M855" s="290"/>
      <c r="N855" s="290"/>
      <c r="O855" s="290"/>
      <c r="P855" s="290"/>
      <c r="Q855" s="290"/>
      <c r="R855" s="288"/>
      <c r="S855" s="289"/>
    </row>
    <row r="856" spans="11:19">
      <c r="K856" s="290"/>
      <c r="L856" s="290"/>
      <c r="M856" s="290"/>
      <c r="N856" s="290"/>
      <c r="O856" s="290"/>
      <c r="P856" s="290"/>
      <c r="Q856" s="290"/>
      <c r="R856" s="288"/>
      <c r="S856" s="289"/>
    </row>
    <row r="857" spans="11:19">
      <c r="K857" s="290"/>
      <c r="L857" s="290"/>
      <c r="M857" s="290"/>
      <c r="N857" s="290"/>
      <c r="O857" s="290"/>
      <c r="P857" s="290"/>
      <c r="Q857" s="290"/>
      <c r="R857" s="288"/>
      <c r="S857" s="289"/>
    </row>
    <row r="858" spans="11:19">
      <c r="K858" s="290"/>
      <c r="L858" s="290"/>
      <c r="M858" s="290"/>
      <c r="N858" s="290"/>
      <c r="O858" s="290"/>
      <c r="P858" s="290"/>
      <c r="Q858" s="290"/>
      <c r="R858" s="288"/>
      <c r="S858" s="289"/>
    </row>
    <row r="859" spans="11:19">
      <c r="K859" s="290"/>
      <c r="L859" s="290"/>
      <c r="M859" s="290"/>
      <c r="N859" s="290"/>
      <c r="O859" s="290"/>
      <c r="P859" s="290"/>
      <c r="Q859" s="290"/>
      <c r="R859" s="288"/>
      <c r="S859" s="289"/>
    </row>
    <row r="860" spans="11:19">
      <c r="K860" s="290"/>
      <c r="L860" s="290"/>
      <c r="M860" s="290"/>
      <c r="N860" s="290"/>
      <c r="O860" s="290"/>
      <c r="P860" s="290"/>
      <c r="Q860" s="290"/>
      <c r="R860" s="288"/>
      <c r="S860" s="289"/>
    </row>
    <row r="861" spans="11:19">
      <c r="K861" s="290"/>
      <c r="L861" s="290"/>
      <c r="M861" s="290"/>
      <c r="N861" s="290"/>
      <c r="O861" s="290"/>
      <c r="P861" s="290"/>
      <c r="Q861" s="290"/>
      <c r="R861" s="288"/>
      <c r="S861" s="289"/>
    </row>
    <row r="862" spans="11:19">
      <c r="K862" s="290"/>
      <c r="L862" s="290"/>
      <c r="M862" s="290"/>
      <c r="N862" s="290"/>
      <c r="O862" s="290"/>
      <c r="P862" s="290"/>
      <c r="Q862" s="290"/>
      <c r="R862" s="288"/>
      <c r="S862" s="289"/>
    </row>
    <row r="863" spans="11:19">
      <c r="K863" s="290"/>
      <c r="L863" s="290"/>
      <c r="M863" s="290"/>
      <c r="N863" s="290"/>
      <c r="O863" s="290"/>
      <c r="P863" s="290"/>
      <c r="Q863" s="290"/>
      <c r="R863" s="288"/>
      <c r="S863" s="289"/>
    </row>
    <row r="864" spans="11:19">
      <c r="K864" s="290"/>
      <c r="L864" s="290"/>
      <c r="M864" s="290"/>
      <c r="N864" s="290"/>
      <c r="O864" s="290"/>
      <c r="P864" s="290"/>
      <c r="Q864" s="290"/>
      <c r="R864" s="288"/>
      <c r="S864" s="289"/>
    </row>
    <row r="865" spans="11:19">
      <c r="K865" s="290"/>
      <c r="L865" s="290"/>
      <c r="M865" s="290"/>
      <c r="N865" s="290"/>
      <c r="O865" s="290"/>
      <c r="P865" s="290"/>
      <c r="Q865" s="290"/>
      <c r="R865" s="288"/>
      <c r="S865" s="289"/>
    </row>
    <row r="866" spans="11:19">
      <c r="K866" s="290"/>
      <c r="L866" s="290"/>
      <c r="M866" s="290"/>
      <c r="N866" s="290"/>
      <c r="O866" s="290"/>
      <c r="P866" s="290"/>
      <c r="Q866" s="290"/>
      <c r="R866" s="288"/>
      <c r="S866" s="289"/>
    </row>
    <row r="867" spans="11:19">
      <c r="K867" s="290"/>
      <c r="L867" s="290"/>
      <c r="M867" s="290"/>
      <c r="N867" s="290"/>
      <c r="O867" s="290"/>
      <c r="P867" s="290"/>
      <c r="Q867" s="290"/>
      <c r="R867" s="288"/>
      <c r="S867" s="289"/>
    </row>
    <row r="868" spans="11:19">
      <c r="K868" s="290"/>
      <c r="L868" s="290"/>
      <c r="M868" s="290"/>
      <c r="N868" s="290"/>
      <c r="O868" s="290"/>
      <c r="P868" s="290"/>
      <c r="Q868" s="290"/>
      <c r="R868" s="288"/>
      <c r="S868" s="289"/>
    </row>
    <row r="869" spans="11:19">
      <c r="K869" s="290"/>
      <c r="L869" s="290"/>
      <c r="M869" s="290"/>
      <c r="N869" s="290"/>
      <c r="O869" s="290"/>
      <c r="P869" s="290"/>
      <c r="Q869" s="290"/>
      <c r="R869" s="288"/>
      <c r="S869" s="289"/>
    </row>
    <row r="870" spans="11:19">
      <c r="K870" s="290"/>
      <c r="L870" s="290"/>
      <c r="M870" s="290"/>
      <c r="N870" s="290"/>
      <c r="O870" s="290"/>
      <c r="P870" s="290"/>
      <c r="Q870" s="290"/>
      <c r="R870" s="288"/>
      <c r="S870" s="289"/>
    </row>
    <row r="871" spans="11:19">
      <c r="K871" s="290"/>
      <c r="L871" s="290"/>
      <c r="M871" s="290"/>
      <c r="N871" s="290"/>
      <c r="O871" s="290"/>
      <c r="P871" s="290"/>
      <c r="Q871" s="290"/>
      <c r="R871" s="288"/>
      <c r="S871" s="289"/>
    </row>
    <row r="872" spans="11:19">
      <c r="K872" s="290"/>
      <c r="L872" s="290"/>
      <c r="M872" s="290"/>
      <c r="N872" s="290"/>
      <c r="O872" s="290"/>
      <c r="P872" s="290"/>
      <c r="Q872" s="290"/>
      <c r="R872" s="288"/>
      <c r="S872" s="289"/>
    </row>
    <row r="873" spans="11:19">
      <c r="K873" s="290"/>
      <c r="L873" s="290"/>
      <c r="M873" s="290"/>
      <c r="N873" s="290"/>
      <c r="O873" s="290"/>
      <c r="P873" s="290"/>
      <c r="Q873" s="290"/>
      <c r="R873" s="288"/>
      <c r="S873" s="289"/>
    </row>
    <row r="874" spans="11:19">
      <c r="K874" s="290"/>
      <c r="L874" s="290"/>
      <c r="M874" s="290"/>
      <c r="N874" s="290"/>
      <c r="O874" s="290"/>
      <c r="P874" s="290"/>
      <c r="Q874" s="290"/>
      <c r="R874" s="288"/>
      <c r="S874" s="289"/>
    </row>
    <row r="875" spans="11:19">
      <c r="K875" s="290"/>
      <c r="L875" s="290"/>
      <c r="M875" s="290"/>
      <c r="N875" s="290"/>
      <c r="O875" s="290"/>
      <c r="P875" s="290"/>
      <c r="Q875" s="290"/>
      <c r="R875" s="288"/>
      <c r="S875" s="289"/>
    </row>
    <row r="876" spans="11:19">
      <c r="K876" s="290"/>
      <c r="L876" s="290"/>
      <c r="M876" s="290"/>
      <c r="N876" s="290"/>
      <c r="O876" s="290"/>
      <c r="P876" s="290"/>
      <c r="Q876" s="290"/>
      <c r="R876" s="288"/>
      <c r="S876" s="289"/>
    </row>
    <row r="877" spans="11:19">
      <c r="K877" s="290"/>
      <c r="L877" s="290"/>
      <c r="M877" s="290"/>
      <c r="N877" s="290"/>
      <c r="O877" s="290"/>
      <c r="P877" s="290"/>
      <c r="Q877" s="290"/>
      <c r="R877" s="288"/>
      <c r="S877" s="289"/>
    </row>
    <row r="878" spans="11:19">
      <c r="K878" s="290"/>
      <c r="L878" s="290"/>
      <c r="M878" s="290"/>
      <c r="N878" s="290"/>
      <c r="O878" s="290"/>
      <c r="P878" s="290"/>
      <c r="Q878" s="290"/>
      <c r="R878" s="288"/>
      <c r="S878" s="289"/>
    </row>
    <row r="879" spans="11:19">
      <c r="K879" s="290"/>
      <c r="L879" s="290"/>
      <c r="M879" s="290"/>
      <c r="N879" s="290"/>
      <c r="O879" s="290"/>
      <c r="P879" s="290"/>
      <c r="Q879" s="290"/>
      <c r="R879" s="288"/>
      <c r="S879" s="289"/>
    </row>
    <row r="880" spans="11:19">
      <c r="K880" s="290"/>
      <c r="L880" s="290"/>
      <c r="M880" s="290"/>
      <c r="N880" s="290"/>
      <c r="O880" s="290"/>
      <c r="P880" s="290"/>
      <c r="Q880" s="290"/>
      <c r="R880" s="288"/>
      <c r="S880" s="289"/>
    </row>
    <row r="881" spans="11:19">
      <c r="K881" s="290"/>
      <c r="L881" s="290"/>
      <c r="M881" s="290"/>
      <c r="N881" s="290"/>
      <c r="O881" s="290"/>
      <c r="P881" s="290"/>
      <c r="Q881" s="290"/>
      <c r="R881" s="288"/>
      <c r="S881" s="289"/>
    </row>
    <row r="882" spans="11:19">
      <c r="K882" s="290"/>
      <c r="L882" s="290"/>
      <c r="M882" s="290"/>
      <c r="N882" s="290"/>
      <c r="O882" s="290"/>
      <c r="P882" s="290"/>
      <c r="Q882" s="290"/>
      <c r="R882" s="288"/>
      <c r="S882" s="289"/>
    </row>
    <row r="883" spans="11:19">
      <c r="K883" s="290"/>
      <c r="L883" s="290"/>
      <c r="M883" s="290"/>
      <c r="N883" s="290"/>
      <c r="O883" s="290"/>
      <c r="P883" s="290"/>
      <c r="Q883" s="290"/>
      <c r="R883" s="288"/>
      <c r="S883" s="289"/>
    </row>
    <row r="884" spans="11:19">
      <c r="K884" s="290"/>
      <c r="L884" s="290"/>
      <c r="M884" s="290"/>
      <c r="N884" s="290"/>
      <c r="O884" s="290"/>
      <c r="P884" s="290"/>
      <c r="Q884" s="290"/>
      <c r="R884" s="288"/>
      <c r="S884" s="289"/>
    </row>
    <row r="885" spans="11:19">
      <c r="K885" s="290"/>
      <c r="L885" s="290"/>
      <c r="M885" s="290"/>
      <c r="N885" s="290"/>
      <c r="O885" s="290"/>
      <c r="P885" s="290"/>
      <c r="Q885" s="290"/>
      <c r="R885" s="288"/>
      <c r="S885" s="289"/>
    </row>
    <row r="886" spans="11:19">
      <c r="K886" s="290"/>
      <c r="L886" s="290"/>
      <c r="M886" s="290"/>
      <c r="N886" s="290"/>
      <c r="O886" s="290"/>
      <c r="P886" s="290"/>
      <c r="Q886" s="290"/>
      <c r="R886" s="288"/>
      <c r="S886" s="289"/>
    </row>
    <row r="887" spans="11:19">
      <c r="K887" s="290"/>
      <c r="L887" s="290"/>
      <c r="M887" s="290"/>
      <c r="N887" s="290"/>
      <c r="O887" s="290"/>
      <c r="P887" s="290"/>
      <c r="Q887" s="290"/>
      <c r="R887" s="288"/>
      <c r="S887" s="289"/>
    </row>
    <row r="888" spans="11:19">
      <c r="K888" s="290"/>
      <c r="L888" s="290"/>
      <c r="M888" s="290"/>
      <c r="N888" s="290"/>
      <c r="O888" s="290"/>
      <c r="P888" s="290"/>
      <c r="Q888" s="290"/>
      <c r="R888" s="288"/>
      <c r="S888" s="289"/>
    </row>
    <row r="889" spans="11:19">
      <c r="K889" s="290"/>
      <c r="L889" s="290"/>
      <c r="M889" s="290"/>
      <c r="N889" s="290"/>
      <c r="O889" s="290"/>
      <c r="P889" s="290"/>
      <c r="Q889" s="290"/>
      <c r="R889" s="288"/>
      <c r="S889" s="289"/>
    </row>
    <row r="890" spans="11:19">
      <c r="K890" s="290"/>
      <c r="L890" s="290"/>
      <c r="M890" s="290"/>
      <c r="N890" s="290"/>
      <c r="O890" s="290"/>
      <c r="P890" s="290"/>
      <c r="Q890" s="290"/>
      <c r="R890" s="288"/>
      <c r="S890" s="289"/>
    </row>
    <row r="891" spans="11:19">
      <c r="K891" s="290"/>
      <c r="L891" s="290"/>
      <c r="M891" s="290"/>
      <c r="N891" s="290"/>
      <c r="O891" s="290"/>
      <c r="P891" s="290"/>
      <c r="Q891" s="290"/>
      <c r="R891" s="288"/>
      <c r="S891" s="289"/>
    </row>
    <row r="892" spans="11:19">
      <c r="K892" s="290"/>
      <c r="L892" s="290"/>
      <c r="M892" s="290"/>
      <c r="N892" s="290"/>
      <c r="O892" s="290"/>
      <c r="P892" s="290"/>
      <c r="Q892" s="290"/>
      <c r="R892" s="288"/>
      <c r="S892" s="289"/>
    </row>
    <row r="893" spans="11:19">
      <c r="K893" s="290"/>
      <c r="L893" s="290"/>
      <c r="M893" s="290"/>
      <c r="N893" s="290"/>
      <c r="O893" s="290"/>
      <c r="P893" s="290"/>
      <c r="Q893" s="290"/>
      <c r="R893" s="288"/>
      <c r="S893" s="289"/>
    </row>
    <row r="894" spans="11:19">
      <c r="K894" s="290"/>
      <c r="L894" s="290"/>
      <c r="M894" s="290"/>
      <c r="N894" s="290"/>
      <c r="O894" s="290"/>
      <c r="P894" s="290"/>
      <c r="Q894" s="290"/>
      <c r="R894" s="288"/>
      <c r="S894" s="289"/>
    </row>
    <row r="895" spans="11:19">
      <c r="K895" s="290"/>
      <c r="L895" s="290"/>
      <c r="M895" s="290"/>
      <c r="N895" s="290"/>
      <c r="O895" s="290"/>
      <c r="P895" s="290"/>
      <c r="Q895" s="290"/>
      <c r="R895" s="288"/>
      <c r="S895" s="289"/>
    </row>
    <row r="896" spans="11:19">
      <c r="K896" s="290"/>
      <c r="L896" s="290"/>
      <c r="M896" s="290"/>
      <c r="N896" s="290"/>
      <c r="O896" s="290"/>
      <c r="P896" s="290"/>
      <c r="Q896" s="290"/>
      <c r="R896" s="288"/>
      <c r="S896" s="289"/>
    </row>
    <row r="897" spans="11:19">
      <c r="K897" s="290"/>
      <c r="L897" s="290"/>
      <c r="M897" s="290"/>
      <c r="N897" s="290"/>
      <c r="O897" s="290"/>
      <c r="P897" s="290"/>
      <c r="Q897" s="290"/>
      <c r="R897" s="288"/>
      <c r="S897" s="289"/>
    </row>
    <row r="898" spans="11:19">
      <c r="K898" s="290"/>
      <c r="L898" s="290"/>
      <c r="M898" s="290"/>
      <c r="N898" s="290"/>
      <c r="O898" s="290"/>
      <c r="P898" s="290"/>
      <c r="Q898" s="290"/>
      <c r="R898" s="288"/>
      <c r="S898" s="289"/>
    </row>
    <row r="899" spans="11:19">
      <c r="K899" s="290"/>
      <c r="L899" s="290"/>
      <c r="M899" s="290"/>
      <c r="N899" s="290"/>
      <c r="O899" s="290"/>
      <c r="P899" s="290"/>
      <c r="Q899" s="290"/>
      <c r="R899" s="288"/>
      <c r="S899" s="289"/>
    </row>
    <row r="900" spans="11:19">
      <c r="K900" s="290"/>
      <c r="L900" s="290"/>
      <c r="M900" s="290"/>
      <c r="N900" s="290"/>
      <c r="O900" s="290"/>
      <c r="P900" s="290"/>
      <c r="Q900" s="290"/>
      <c r="R900" s="288"/>
      <c r="S900" s="289"/>
    </row>
    <row r="901" spans="11:19">
      <c r="K901" s="290"/>
      <c r="L901" s="290"/>
      <c r="M901" s="290"/>
      <c r="N901" s="290"/>
      <c r="O901" s="290"/>
      <c r="P901" s="290"/>
      <c r="Q901" s="290"/>
      <c r="R901" s="288"/>
      <c r="S901" s="289"/>
    </row>
    <row r="902" spans="11:19">
      <c r="K902" s="290"/>
      <c r="L902" s="290"/>
      <c r="M902" s="290"/>
      <c r="N902" s="290"/>
      <c r="O902" s="290"/>
      <c r="P902" s="290"/>
      <c r="Q902" s="290"/>
      <c r="R902" s="288"/>
      <c r="S902" s="289"/>
    </row>
    <row r="903" spans="11:19">
      <c r="K903" s="290"/>
      <c r="L903" s="290"/>
      <c r="M903" s="290"/>
      <c r="N903" s="290"/>
      <c r="O903" s="290"/>
      <c r="P903" s="290"/>
      <c r="Q903" s="290"/>
      <c r="R903" s="288"/>
      <c r="S903" s="289"/>
    </row>
    <row r="904" spans="11:19">
      <c r="K904" s="290"/>
      <c r="L904" s="290"/>
      <c r="M904" s="290"/>
      <c r="N904" s="290"/>
      <c r="O904" s="290"/>
      <c r="P904" s="290"/>
      <c r="Q904" s="290"/>
      <c r="R904" s="288"/>
      <c r="S904" s="289"/>
    </row>
    <row r="905" spans="11:19">
      <c r="K905" s="290"/>
      <c r="L905" s="290"/>
      <c r="M905" s="290"/>
      <c r="N905" s="290"/>
      <c r="O905" s="290"/>
      <c r="P905" s="290"/>
      <c r="Q905" s="290"/>
      <c r="R905" s="288"/>
      <c r="S905" s="289"/>
    </row>
    <row r="906" spans="11:19">
      <c r="K906" s="290"/>
      <c r="L906" s="290"/>
      <c r="M906" s="290"/>
      <c r="N906" s="290"/>
      <c r="O906" s="290"/>
      <c r="P906" s="290"/>
      <c r="Q906" s="290"/>
      <c r="R906" s="288"/>
      <c r="S906" s="289"/>
    </row>
    <row r="907" spans="11:19">
      <c r="K907" s="290"/>
      <c r="L907" s="290"/>
      <c r="M907" s="290"/>
      <c r="N907" s="290"/>
      <c r="O907" s="290"/>
      <c r="P907" s="290"/>
      <c r="Q907" s="290"/>
      <c r="R907" s="288"/>
      <c r="S907" s="289"/>
    </row>
    <row r="908" spans="11:19">
      <c r="K908" s="290"/>
      <c r="L908" s="290"/>
      <c r="M908" s="290"/>
      <c r="N908" s="290"/>
      <c r="O908" s="290"/>
      <c r="P908" s="290"/>
      <c r="Q908" s="290"/>
      <c r="R908" s="288"/>
      <c r="S908" s="289"/>
    </row>
    <row r="909" spans="11:19">
      <c r="K909" s="290"/>
      <c r="L909" s="290"/>
      <c r="M909" s="290"/>
      <c r="N909" s="290"/>
      <c r="O909" s="290"/>
      <c r="P909" s="290"/>
      <c r="Q909" s="290"/>
      <c r="R909" s="288"/>
      <c r="S909" s="289"/>
    </row>
    <row r="910" spans="11:19">
      <c r="K910" s="290"/>
      <c r="L910" s="290"/>
      <c r="M910" s="290"/>
      <c r="N910" s="290"/>
      <c r="O910" s="290"/>
      <c r="P910" s="290"/>
      <c r="Q910" s="290"/>
      <c r="R910" s="288"/>
      <c r="S910" s="289"/>
    </row>
    <row r="911" spans="11:19">
      <c r="K911" s="290"/>
      <c r="L911" s="290"/>
      <c r="M911" s="290"/>
      <c r="N911" s="290"/>
      <c r="O911" s="290"/>
      <c r="P911" s="290"/>
      <c r="Q911" s="290"/>
      <c r="R911" s="288"/>
      <c r="S911" s="289"/>
    </row>
    <row r="912" spans="11:19">
      <c r="K912" s="290"/>
      <c r="L912" s="290"/>
      <c r="M912" s="290"/>
      <c r="N912" s="290"/>
      <c r="O912" s="290"/>
      <c r="P912" s="290"/>
      <c r="Q912" s="290"/>
      <c r="R912" s="288"/>
      <c r="S912" s="289"/>
    </row>
    <row r="913" spans="11:19">
      <c r="K913" s="290"/>
      <c r="L913" s="290"/>
      <c r="M913" s="290"/>
      <c r="N913" s="290"/>
      <c r="O913" s="290"/>
      <c r="P913" s="290"/>
      <c r="Q913" s="290"/>
      <c r="R913" s="288"/>
      <c r="S913" s="289"/>
    </row>
    <row r="914" spans="11:19">
      <c r="K914" s="290"/>
      <c r="L914" s="290"/>
      <c r="M914" s="290"/>
      <c r="N914" s="290"/>
      <c r="O914" s="290"/>
      <c r="P914" s="290"/>
      <c r="Q914" s="290"/>
      <c r="R914" s="288"/>
      <c r="S914" s="289"/>
    </row>
    <row r="915" spans="11:19">
      <c r="K915" s="290"/>
      <c r="L915" s="290"/>
      <c r="M915" s="290"/>
      <c r="N915" s="290"/>
      <c r="O915" s="290"/>
      <c r="P915" s="290"/>
      <c r="Q915" s="290"/>
      <c r="R915" s="288"/>
      <c r="S915" s="289"/>
    </row>
    <row r="916" spans="11:19">
      <c r="K916" s="290"/>
      <c r="L916" s="290"/>
      <c r="M916" s="290"/>
      <c r="N916" s="290"/>
      <c r="O916" s="290"/>
      <c r="P916" s="290"/>
      <c r="Q916" s="290"/>
      <c r="R916" s="288"/>
      <c r="S916" s="289"/>
    </row>
    <row r="917" spans="11:19">
      <c r="K917" s="290"/>
      <c r="L917" s="290"/>
      <c r="M917" s="290"/>
      <c r="N917" s="290"/>
      <c r="O917" s="290"/>
      <c r="P917" s="290"/>
      <c r="Q917" s="290"/>
      <c r="R917" s="288"/>
      <c r="S917" s="289"/>
    </row>
    <row r="918" spans="11:19">
      <c r="K918" s="290"/>
      <c r="L918" s="290"/>
      <c r="M918" s="290"/>
      <c r="N918" s="290"/>
      <c r="O918" s="290"/>
      <c r="P918" s="290"/>
      <c r="Q918" s="290"/>
      <c r="R918" s="288"/>
      <c r="S918" s="289"/>
    </row>
    <row r="919" spans="11:19">
      <c r="K919" s="290"/>
      <c r="L919" s="290"/>
      <c r="M919" s="290"/>
      <c r="N919" s="290"/>
      <c r="O919" s="290"/>
      <c r="P919" s="290"/>
      <c r="Q919" s="290"/>
      <c r="R919" s="288"/>
      <c r="S919" s="289"/>
    </row>
    <row r="920" spans="11:19">
      <c r="K920" s="290"/>
      <c r="L920" s="290"/>
      <c r="M920" s="290"/>
      <c r="N920" s="290"/>
      <c r="O920" s="290"/>
      <c r="P920" s="290"/>
      <c r="Q920" s="290"/>
      <c r="R920" s="288"/>
      <c r="S920" s="289"/>
    </row>
    <row r="921" spans="11:19">
      <c r="K921" s="290"/>
      <c r="L921" s="290"/>
      <c r="M921" s="290"/>
      <c r="N921" s="290"/>
      <c r="O921" s="290"/>
      <c r="P921" s="290"/>
      <c r="Q921" s="290"/>
      <c r="R921" s="288"/>
      <c r="S921" s="289"/>
    </row>
    <row r="922" spans="11:19">
      <c r="K922" s="290"/>
      <c r="L922" s="290"/>
      <c r="M922" s="290"/>
      <c r="N922" s="290"/>
      <c r="O922" s="290"/>
      <c r="P922" s="290"/>
      <c r="Q922" s="290"/>
      <c r="R922" s="288"/>
      <c r="S922" s="289"/>
    </row>
    <row r="923" spans="11:19">
      <c r="K923" s="290"/>
      <c r="L923" s="290"/>
      <c r="M923" s="290"/>
      <c r="N923" s="290"/>
      <c r="O923" s="290"/>
      <c r="P923" s="290"/>
      <c r="Q923" s="290"/>
      <c r="R923" s="288"/>
      <c r="S923" s="289"/>
    </row>
    <row r="924" spans="11:19">
      <c r="K924" s="290"/>
      <c r="L924" s="290"/>
      <c r="M924" s="290"/>
      <c r="N924" s="290"/>
      <c r="O924" s="290"/>
      <c r="P924" s="290"/>
      <c r="Q924" s="290"/>
      <c r="R924" s="288"/>
      <c r="S924" s="289"/>
    </row>
    <row r="925" spans="11:19">
      <c r="K925" s="290"/>
      <c r="L925" s="290"/>
      <c r="M925" s="290"/>
      <c r="N925" s="290"/>
      <c r="O925" s="290"/>
      <c r="P925" s="290"/>
      <c r="Q925" s="290"/>
      <c r="R925" s="288"/>
      <c r="S925" s="289"/>
    </row>
    <row r="926" spans="11:19">
      <c r="K926" s="290"/>
      <c r="L926" s="290"/>
      <c r="M926" s="290"/>
      <c r="N926" s="290"/>
      <c r="O926" s="290"/>
      <c r="P926" s="290"/>
      <c r="Q926" s="290"/>
      <c r="R926" s="288"/>
      <c r="S926" s="289"/>
    </row>
    <row r="927" spans="11:19">
      <c r="K927" s="290"/>
      <c r="L927" s="290"/>
      <c r="M927" s="290"/>
      <c r="N927" s="290"/>
      <c r="O927" s="290"/>
      <c r="P927" s="290"/>
      <c r="Q927" s="290"/>
      <c r="R927" s="288"/>
      <c r="S927" s="289"/>
    </row>
    <row r="928" spans="11:19">
      <c r="K928" s="290"/>
      <c r="L928" s="290"/>
      <c r="M928" s="290"/>
      <c r="N928" s="290"/>
      <c r="O928" s="290"/>
      <c r="P928" s="290"/>
      <c r="Q928" s="290"/>
      <c r="R928" s="288"/>
      <c r="S928" s="289"/>
    </row>
    <row r="929" spans="11:19">
      <c r="K929" s="290"/>
      <c r="L929" s="290"/>
      <c r="M929" s="290"/>
      <c r="N929" s="290"/>
      <c r="O929" s="290"/>
      <c r="P929" s="290"/>
      <c r="Q929" s="290"/>
      <c r="R929" s="288"/>
      <c r="S929" s="289"/>
    </row>
    <row r="930" spans="11:19">
      <c r="K930" s="290"/>
      <c r="L930" s="290"/>
      <c r="M930" s="290"/>
      <c r="N930" s="290"/>
      <c r="O930" s="290"/>
      <c r="P930" s="290"/>
      <c r="Q930" s="290"/>
      <c r="R930" s="288"/>
      <c r="S930" s="289"/>
    </row>
    <row r="931" spans="11:19">
      <c r="K931" s="290"/>
      <c r="L931" s="290"/>
      <c r="M931" s="290"/>
      <c r="N931" s="290"/>
      <c r="O931" s="290"/>
      <c r="P931" s="290"/>
      <c r="Q931" s="290"/>
      <c r="R931" s="288"/>
      <c r="S931" s="289"/>
    </row>
    <row r="932" spans="11:19">
      <c r="K932" s="290"/>
      <c r="L932" s="290"/>
      <c r="M932" s="290"/>
      <c r="N932" s="290"/>
      <c r="O932" s="290"/>
      <c r="P932" s="290"/>
      <c r="Q932" s="290"/>
      <c r="R932" s="288"/>
      <c r="S932" s="289"/>
    </row>
  </sheetData>
  <mergeCells count="49">
    <mergeCell ref="A11:A17"/>
    <mergeCell ref="B11:B17"/>
    <mergeCell ref="C11:C17"/>
    <mergeCell ref="D11:D17"/>
    <mergeCell ref="E11:E17"/>
    <mergeCell ref="J14:J15"/>
    <mergeCell ref="M14:M15"/>
    <mergeCell ref="N14:N15"/>
    <mergeCell ref="Q14:Q15"/>
    <mergeCell ref="F16:F17"/>
    <mergeCell ref="G16:G17"/>
    <mergeCell ref="J16:J17"/>
    <mergeCell ref="M16:M17"/>
    <mergeCell ref="N16:N17"/>
    <mergeCell ref="Q16:Q17"/>
    <mergeCell ref="F14:F15"/>
    <mergeCell ref="G14:G15"/>
    <mergeCell ref="P9:P10"/>
    <mergeCell ref="Q9:Q10"/>
    <mergeCell ref="R9:R10"/>
    <mergeCell ref="A5:A7"/>
    <mergeCell ref="A9:A10"/>
    <mergeCell ref="B9:B10"/>
    <mergeCell ref="C9:C10"/>
    <mergeCell ref="D9:D10"/>
    <mergeCell ref="E9:E10"/>
    <mergeCell ref="H9:H10"/>
    <mergeCell ref="G5:G7"/>
    <mergeCell ref="J5:J7"/>
    <mergeCell ref="I9:I10"/>
    <mergeCell ref="J9:J10"/>
    <mergeCell ref="O9:O10"/>
    <mergeCell ref="B5:B7"/>
    <mergeCell ref="C5:C7"/>
    <mergeCell ref="D5:D7"/>
    <mergeCell ref="E5:E7"/>
    <mergeCell ref="F5:F7"/>
    <mergeCell ref="A1:K1"/>
    <mergeCell ref="A3:A4"/>
    <mergeCell ref="B3:B4"/>
    <mergeCell ref="C3:C4"/>
    <mergeCell ref="D3:E3"/>
    <mergeCell ref="F3:G3"/>
    <mergeCell ref="H3:J3"/>
    <mergeCell ref="K3:L3"/>
    <mergeCell ref="M3:N3"/>
    <mergeCell ref="O3:Q3"/>
    <mergeCell ref="R3:R4"/>
    <mergeCell ref="S3:S4"/>
  </mergeCells>
  <dataValidations count="2">
    <dataValidation type="custom" allowBlank="1" showDropDown="1" showInputMessage="1" showErrorMessage="1" prompt="Enter a valid date" sqref="I5:I9 P9 N9:N11 P11:P17 I11:I58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 G5 N5:N8 E8:E9 E11 G8:G14 N12:N14 G16 N16 N18:N21 E18:E58 G18:G58">
      <formula1>OR(NOT(ISERROR(DATEVALUE(E5))), AND(ISNUMBER(E5), LEFT(CELL("format", E5))="D"))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2"/>
  <sheetViews>
    <sheetView workbookViewId="0">
      <selection sqref="A1:M1"/>
    </sheetView>
  </sheetViews>
  <sheetFormatPr defaultColWidth="14.42578125" defaultRowHeight="12.75" customHeight="1"/>
  <cols>
    <col min="1" max="1" width="6.42578125" customWidth="1"/>
    <col min="2" max="2" width="30.85546875" customWidth="1"/>
    <col min="3" max="3" width="15.7109375" customWidth="1"/>
    <col min="4" max="4" width="13" customWidth="1"/>
    <col min="5" max="5" width="7.140625" customWidth="1"/>
    <col min="10" max="10" width="17.28515625" customWidth="1"/>
  </cols>
  <sheetData>
    <row r="1" spans="1:26" ht="45">
      <c r="A1" s="412" t="s">
        <v>147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06" t="s">
        <v>148</v>
      </c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26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1:26">
      <c r="A3" s="413" t="s">
        <v>149</v>
      </c>
      <c r="B3" s="415" t="s">
        <v>150</v>
      </c>
      <c r="C3" s="415" t="s">
        <v>151</v>
      </c>
      <c r="D3" s="415" t="s">
        <v>152</v>
      </c>
      <c r="E3" s="415" t="s">
        <v>153</v>
      </c>
      <c r="F3" s="417" t="s">
        <v>154</v>
      </c>
      <c r="G3" s="416"/>
      <c r="H3" s="417" t="s">
        <v>155</v>
      </c>
      <c r="I3" s="416"/>
      <c r="J3" s="417" t="s">
        <v>156</v>
      </c>
      <c r="K3" s="418"/>
      <c r="L3" s="416"/>
      <c r="M3" s="415" t="s">
        <v>157</v>
      </c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ht="45">
      <c r="A4" s="414"/>
      <c r="B4" s="416"/>
      <c r="C4" s="416"/>
      <c r="D4" s="416"/>
      <c r="E4" s="416"/>
      <c r="F4" s="309" t="s">
        <v>158</v>
      </c>
      <c r="G4" s="309" t="s">
        <v>33</v>
      </c>
      <c r="H4" s="309" t="s">
        <v>158</v>
      </c>
      <c r="I4" s="309" t="s">
        <v>33</v>
      </c>
      <c r="J4" s="309" t="s">
        <v>159</v>
      </c>
      <c r="K4" s="310" t="s">
        <v>156</v>
      </c>
      <c r="L4" s="309" t="s">
        <v>160</v>
      </c>
      <c r="M4" s="416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</row>
    <row r="5" spans="1:26" ht="32.25" customHeight="1">
      <c r="A5" s="311">
        <v>1</v>
      </c>
      <c r="B5" s="312" t="s">
        <v>104</v>
      </c>
      <c r="C5" s="313" t="s">
        <v>161</v>
      </c>
      <c r="D5" s="314">
        <v>1</v>
      </c>
      <c r="E5" s="314" t="s">
        <v>162</v>
      </c>
      <c r="F5" s="315"/>
      <c r="G5" s="316"/>
      <c r="H5" s="317">
        <f>C9/1.1</f>
        <v>263072727.27272725</v>
      </c>
      <c r="I5" s="316">
        <f>H5*D5</f>
        <v>263072727.27272725</v>
      </c>
      <c r="J5" s="316"/>
      <c r="K5" s="318"/>
      <c r="L5" s="316">
        <f>G5*0.07%</f>
        <v>0</v>
      </c>
      <c r="M5" s="316">
        <f>I5-G5</f>
        <v>263072727.27272725</v>
      </c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>
      <c r="A6" s="307"/>
      <c r="B6" s="307"/>
      <c r="C6" s="307"/>
      <c r="D6" s="307"/>
      <c r="E6" s="307"/>
      <c r="F6" s="319"/>
      <c r="G6" s="319"/>
      <c r="H6" s="319"/>
      <c r="I6" s="319"/>
      <c r="J6" s="319"/>
      <c r="K6" s="319"/>
      <c r="L6" s="319"/>
      <c r="M6" s="319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</row>
    <row r="7" spans="1:26" ht="15">
      <c r="A7" s="307"/>
      <c r="B7" s="320" t="s">
        <v>163</v>
      </c>
      <c r="C7" s="307"/>
      <c r="D7" s="307"/>
      <c r="E7" s="419"/>
      <c r="F7" s="330"/>
      <c r="G7" s="330"/>
      <c r="H7" s="419"/>
      <c r="I7" s="330"/>
      <c r="J7" s="307"/>
      <c r="K7" s="419"/>
      <c r="L7" s="330"/>
      <c r="M7" s="330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1:26" ht="15">
      <c r="A8" s="307"/>
      <c r="B8" s="321" t="s">
        <v>164</v>
      </c>
      <c r="C8" s="322"/>
      <c r="D8" s="323"/>
      <c r="E8" s="421"/>
      <c r="F8" s="330"/>
      <c r="G8" s="330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</row>
    <row r="9" spans="1:26" ht="15">
      <c r="A9" s="307"/>
      <c r="B9" s="321" t="s">
        <v>165</v>
      </c>
      <c r="C9" s="324">
        <f>'Theo dõi hợp đồng'!E77</f>
        <v>289380000</v>
      </c>
      <c r="D9" s="307"/>
      <c r="H9" s="420"/>
      <c r="I9" s="330"/>
      <c r="J9" s="307"/>
      <c r="K9" s="419"/>
      <c r="L9" s="330"/>
      <c r="M9" s="330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</row>
    <row r="10" spans="1:26" ht="15">
      <c r="A10" s="307"/>
      <c r="B10" s="321" t="s">
        <v>166</v>
      </c>
      <c r="C10" s="324">
        <f>C9/1.1</f>
        <v>263072727.27272725</v>
      </c>
      <c r="D10" s="307"/>
      <c r="E10" s="307"/>
      <c r="F10" s="307"/>
      <c r="G10" s="307"/>
      <c r="H10" s="319"/>
      <c r="I10" s="319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</row>
    <row r="11" spans="1:26" ht="15">
      <c r="A11" s="307"/>
      <c r="B11" s="321" t="s">
        <v>156</v>
      </c>
      <c r="C11" s="322">
        <f>SUM(J5:L5)</f>
        <v>0</v>
      </c>
      <c r="D11" s="307"/>
      <c r="E11" s="419"/>
      <c r="F11" s="330"/>
      <c r="G11" s="330"/>
      <c r="H11" s="420"/>
      <c r="I11" s="330"/>
      <c r="J11" s="307"/>
      <c r="K11" s="419"/>
      <c r="L11" s="330"/>
      <c r="M11" s="330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</row>
    <row r="12" spans="1:26" ht="15">
      <c r="A12" s="307"/>
      <c r="B12" s="321" t="s">
        <v>167</v>
      </c>
      <c r="C12" s="322">
        <f>C10*5%</f>
        <v>13153636.363636363</v>
      </c>
      <c r="D12" s="319"/>
      <c r="E12" s="307"/>
      <c r="F12" s="307"/>
      <c r="G12" s="307"/>
      <c r="H12" s="319"/>
      <c r="I12" s="319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</row>
    <row r="13" spans="1:26" ht="15">
      <c r="A13" s="307"/>
      <c r="B13" s="325" t="s">
        <v>168</v>
      </c>
      <c r="C13" s="322">
        <f>C10*5%</f>
        <v>13153636.363636363</v>
      </c>
      <c r="D13" s="319"/>
      <c r="E13" s="307"/>
      <c r="F13" s="307"/>
      <c r="G13" s="307"/>
      <c r="H13" s="319"/>
      <c r="I13" s="319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</row>
    <row r="14" spans="1:26" ht="15">
      <c r="A14" s="307"/>
      <c r="B14" s="325" t="s">
        <v>169</v>
      </c>
      <c r="C14" s="322">
        <f>C10*1%</f>
        <v>2630727.2727272725</v>
      </c>
      <c r="D14" s="319"/>
      <c r="E14" s="307"/>
      <c r="F14" s="307"/>
      <c r="G14" s="307"/>
      <c r="H14" s="319"/>
      <c r="I14" s="319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</row>
    <row r="15" spans="1:26" ht="15">
      <c r="A15" s="307"/>
      <c r="B15" s="321" t="s">
        <v>170</v>
      </c>
      <c r="C15" s="322">
        <f>ROUND(C10*30%,-6)</f>
        <v>79000000</v>
      </c>
      <c r="D15" s="319"/>
      <c r="E15" s="419"/>
      <c r="F15" s="330"/>
      <c r="G15" s="330"/>
      <c r="H15" s="420"/>
      <c r="I15" s="330"/>
      <c r="J15" s="307"/>
      <c r="K15" s="419"/>
      <c r="L15" s="330"/>
      <c r="M15" s="330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</row>
    <row r="16" spans="1:26" ht="15">
      <c r="A16" s="307"/>
      <c r="B16" s="321" t="s">
        <v>171</v>
      </c>
      <c r="C16" s="322">
        <f>C15/0.8*20%</f>
        <v>19750000</v>
      </c>
      <c r="D16" s="319"/>
      <c r="E16" s="419"/>
      <c r="F16" s="330"/>
      <c r="G16" s="330"/>
      <c r="H16" s="420"/>
      <c r="I16" s="330"/>
      <c r="J16" s="307"/>
      <c r="K16" s="419"/>
      <c r="L16" s="330"/>
      <c r="M16" s="330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</row>
    <row r="17" spans="1:26" ht="15">
      <c r="A17" s="307"/>
      <c r="B17" s="321" t="s">
        <v>172</v>
      </c>
      <c r="C17" s="322">
        <f>C8+C11+C12+C13+C14+C15+C16</f>
        <v>127688000</v>
      </c>
      <c r="D17" s="307"/>
      <c r="E17" s="419"/>
      <c r="F17" s="330"/>
      <c r="G17" s="330"/>
      <c r="H17" s="420"/>
      <c r="I17" s="330"/>
      <c r="J17" s="307"/>
      <c r="K17" s="419"/>
      <c r="L17" s="330"/>
      <c r="M17" s="330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</row>
    <row r="18" spans="1:26" ht="15">
      <c r="A18" s="307"/>
      <c r="B18" s="321" t="s">
        <v>173</v>
      </c>
      <c r="C18" s="322">
        <f>C10-C17</f>
        <v>135384727.27272725</v>
      </c>
      <c r="D18" s="307"/>
      <c r="E18" s="419"/>
      <c r="F18" s="330"/>
      <c r="G18" s="330"/>
      <c r="H18" s="419"/>
      <c r="I18" s="330"/>
      <c r="J18" s="307"/>
      <c r="K18" s="419"/>
      <c r="L18" s="330"/>
      <c r="M18" s="330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</row>
    <row r="19" spans="1:26" ht="15">
      <c r="A19" s="307"/>
      <c r="B19" s="321" t="s">
        <v>174</v>
      </c>
      <c r="C19" s="326">
        <f>C18/C10</f>
        <v>0.51462851613795002</v>
      </c>
      <c r="D19" s="307"/>
      <c r="E19" s="419"/>
      <c r="F19" s="330"/>
      <c r="G19" s="330"/>
      <c r="H19" s="419"/>
      <c r="I19" s="330"/>
      <c r="J19" s="307"/>
      <c r="K19" s="419"/>
      <c r="L19" s="330"/>
      <c r="M19" s="330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</row>
    <row r="20" spans="1:26" ht="15">
      <c r="A20" s="307"/>
      <c r="B20" s="321" t="s">
        <v>175</v>
      </c>
      <c r="C20" s="326">
        <f>C18/C9</f>
        <v>0.46784410557995454</v>
      </c>
      <c r="D20" s="307"/>
      <c r="E20" s="419"/>
      <c r="F20" s="330"/>
      <c r="G20" s="330"/>
      <c r="H20" s="420"/>
      <c r="I20" s="330"/>
      <c r="J20" s="307"/>
      <c r="K20" s="419"/>
      <c r="L20" s="330"/>
      <c r="M20" s="330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</row>
    <row r="21" spans="1:26">
      <c r="A21" s="307"/>
      <c r="B21" s="419"/>
      <c r="C21" s="330"/>
      <c r="D21" s="307"/>
      <c r="E21" s="419"/>
      <c r="F21" s="330"/>
      <c r="G21" s="330"/>
      <c r="H21" s="420"/>
      <c r="I21" s="330"/>
      <c r="J21" s="307"/>
      <c r="K21" s="419"/>
      <c r="L21" s="330"/>
      <c r="M21" s="330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</row>
    <row r="22" spans="1:26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</row>
    <row r="23" spans="1:26">
      <c r="A23" s="307"/>
      <c r="B23" s="307"/>
      <c r="C23" s="422" t="s">
        <v>176</v>
      </c>
      <c r="D23" s="330"/>
      <c r="E23" s="330"/>
      <c r="F23" s="307"/>
      <c r="G23" s="307"/>
      <c r="H23" s="307"/>
      <c r="I23" s="422" t="s">
        <v>177</v>
      </c>
      <c r="J23" s="330"/>
      <c r="K23" s="330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</row>
    <row r="24" spans="1:26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</row>
    <row r="25" spans="1:26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</row>
    <row r="26" spans="1:26">
      <c r="A26" s="307"/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</row>
    <row r="27" spans="1:26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</row>
    <row r="28" spans="1:26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</row>
    <row r="29" spans="1:26">
      <c r="A29" s="307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</row>
    <row r="30" spans="1:26">
      <c r="A30" s="307"/>
      <c r="B30" s="307"/>
      <c r="C30" s="422" t="s">
        <v>178</v>
      </c>
      <c r="D30" s="330"/>
      <c r="E30" s="330"/>
      <c r="F30" s="307"/>
      <c r="G30" s="307"/>
      <c r="H30" s="307"/>
      <c r="I30" s="422" t="s">
        <v>179</v>
      </c>
      <c r="J30" s="330"/>
      <c r="K30" s="330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</row>
    <row r="31" spans="1:26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</row>
    <row r="32" spans="1:26">
      <c r="A32" s="307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</row>
    <row r="33" spans="1:26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</row>
    <row r="34" spans="1:26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</row>
    <row r="35" spans="1:26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  <row r="36" spans="1:26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</row>
    <row r="37" spans="1:26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</row>
    <row r="38" spans="1:26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</row>
    <row r="39" spans="1:26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</row>
    <row r="40" spans="1:26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</row>
    <row r="41" spans="1:26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</row>
    <row r="42" spans="1:26">
      <c r="A42" s="307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</row>
    <row r="43" spans="1:26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</row>
    <row r="44" spans="1:26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</row>
    <row r="45" spans="1:26">
      <c r="A45" s="307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</row>
    <row r="46" spans="1:26">
      <c r="A46" s="307"/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</row>
    <row r="47" spans="1:26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</row>
    <row r="48" spans="1:26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</row>
    <row r="49" spans="1:26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</row>
    <row r="50" spans="1:26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</row>
    <row r="51" spans="1:26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</row>
    <row r="52" spans="1:26">
      <c r="A52" s="307"/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</row>
    <row r="53" spans="1:26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</row>
    <row r="54" spans="1:26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</row>
    <row r="55" spans="1:26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</row>
    <row r="56" spans="1:2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</row>
    <row r="57" spans="1:26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</row>
    <row r="58" spans="1:26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</row>
    <row r="59" spans="1:26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</row>
    <row r="60" spans="1:26">
      <c r="A60" s="307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</row>
    <row r="61" spans="1:26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</row>
    <row r="62" spans="1:26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</row>
    <row r="63" spans="1:26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</row>
    <row r="64" spans="1:26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</row>
    <row r="65" spans="1:26">
      <c r="A65" s="307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</row>
    <row r="66" spans="1:26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</row>
    <row r="67" spans="1:26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</row>
    <row r="68" spans="1:26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</row>
    <row r="69" spans="1:26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</row>
    <row r="70" spans="1:26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</row>
    <row r="71" spans="1:26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</row>
    <row r="72" spans="1:26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</row>
    <row r="73" spans="1:26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</row>
    <row r="74" spans="1:26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</row>
    <row r="75" spans="1:26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</row>
    <row r="76" spans="1:26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</row>
    <row r="77" spans="1:26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</row>
    <row r="78" spans="1:26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</row>
    <row r="79" spans="1:26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</row>
    <row r="80" spans="1:26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</row>
    <row r="81" spans="1:26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</row>
    <row r="82" spans="1:26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</row>
    <row r="83" spans="1:26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</row>
    <row r="84" spans="1:26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</row>
    <row r="85" spans="1:26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</row>
    <row r="86" spans="1:2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</row>
    <row r="87" spans="1:26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</row>
    <row r="88" spans="1:26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</row>
    <row r="89" spans="1:26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</row>
    <row r="90" spans="1:26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</row>
    <row r="91" spans="1:26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</row>
    <row r="92" spans="1:26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</row>
    <row r="93" spans="1:26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</row>
    <row r="94" spans="1:26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</row>
    <row r="95" spans="1:26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</row>
    <row r="96" spans="1:2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</row>
    <row r="97" spans="1:26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</row>
    <row r="98" spans="1:26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</row>
    <row r="99" spans="1:26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</row>
    <row r="100" spans="1:26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</row>
    <row r="101" spans="1:26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</row>
    <row r="102" spans="1:26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</row>
    <row r="103" spans="1:26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</row>
    <row r="104" spans="1:26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</row>
    <row r="105" spans="1:26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</row>
    <row r="106" spans="1:2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</row>
    <row r="107" spans="1:26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</row>
    <row r="108" spans="1:26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</row>
    <row r="109" spans="1:26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</row>
    <row r="110" spans="1:26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</row>
    <row r="111" spans="1:26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</row>
    <row r="112" spans="1:26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</row>
    <row r="113" spans="1:26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</row>
    <row r="114" spans="1:26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</row>
    <row r="115" spans="1:26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</row>
    <row r="116" spans="1:2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</row>
    <row r="117" spans="1:26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</row>
    <row r="118" spans="1:26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</row>
    <row r="119" spans="1:26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</row>
    <row r="120" spans="1:26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</row>
    <row r="121" spans="1:26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</row>
    <row r="122" spans="1:26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</row>
    <row r="123" spans="1:26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</row>
    <row r="124" spans="1:26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</row>
    <row r="125" spans="1:26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</row>
    <row r="126" spans="1: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</row>
    <row r="127" spans="1:26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</row>
    <row r="128" spans="1:26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</row>
    <row r="129" spans="1:26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</row>
    <row r="130" spans="1:26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</row>
    <row r="131" spans="1:26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</row>
    <row r="132" spans="1:26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</row>
    <row r="133" spans="1:26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</row>
    <row r="134" spans="1:26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</row>
    <row r="135" spans="1:26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</row>
    <row r="136" spans="1:2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</row>
    <row r="137" spans="1:26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</row>
    <row r="138" spans="1:26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</row>
    <row r="139" spans="1:26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</row>
    <row r="140" spans="1:26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</row>
    <row r="141" spans="1:26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</row>
    <row r="142" spans="1:26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</row>
    <row r="143" spans="1:26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</row>
    <row r="144" spans="1:26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</row>
    <row r="145" spans="1:26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</row>
    <row r="146" spans="1:2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</row>
    <row r="147" spans="1:26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</row>
    <row r="148" spans="1:26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</row>
    <row r="149" spans="1:26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</row>
    <row r="150" spans="1:26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</row>
    <row r="151" spans="1:26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</row>
    <row r="152" spans="1:26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</row>
    <row r="153" spans="1:26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</row>
    <row r="154" spans="1:26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</row>
    <row r="155" spans="1:26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</row>
    <row r="156" spans="1:2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</row>
    <row r="157" spans="1:26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</row>
    <row r="158" spans="1:26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</row>
    <row r="159" spans="1:26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</row>
    <row r="160" spans="1:26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</row>
    <row r="161" spans="1:26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</row>
    <row r="162" spans="1:26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</row>
    <row r="163" spans="1:26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</row>
    <row r="164" spans="1:26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</row>
    <row r="165" spans="1:26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</row>
    <row r="166" spans="1:2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</row>
    <row r="167" spans="1:26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</row>
    <row r="168" spans="1:26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</row>
    <row r="169" spans="1:26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</row>
    <row r="170" spans="1:26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</row>
    <row r="171" spans="1:26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</row>
    <row r="172" spans="1:26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</row>
    <row r="173" spans="1:26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</row>
    <row r="174" spans="1:26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</row>
    <row r="175" spans="1:26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</row>
    <row r="176" spans="1:2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</row>
    <row r="177" spans="1:26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</row>
    <row r="178" spans="1:26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</row>
    <row r="179" spans="1:26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</row>
    <row r="180" spans="1:26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</row>
    <row r="181" spans="1:26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</row>
    <row r="182" spans="1:26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</row>
    <row r="183" spans="1:26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</row>
    <row r="184" spans="1:26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</row>
    <row r="185" spans="1:26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</row>
    <row r="186" spans="1:2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</row>
    <row r="187" spans="1:26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</row>
    <row r="188" spans="1:26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</row>
    <row r="189" spans="1:26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</row>
    <row r="190" spans="1:26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</row>
    <row r="191" spans="1:26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</row>
    <row r="192" spans="1:26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</row>
    <row r="193" spans="1:26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</row>
    <row r="194" spans="1:26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</row>
    <row r="195" spans="1:26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</row>
    <row r="196" spans="1:2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</row>
    <row r="197" spans="1:26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</row>
    <row r="198" spans="1:26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</row>
    <row r="199" spans="1:26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</row>
    <row r="200" spans="1:26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</row>
    <row r="201" spans="1:26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</row>
    <row r="202" spans="1:26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</row>
    <row r="203" spans="1:26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</row>
    <row r="204" spans="1:26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</row>
    <row r="205" spans="1:26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</row>
    <row r="206" spans="1:2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</row>
    <row r="207" spans="1:26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</row>
    <row r="208" spans="1:26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 spans="1:26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</row>
    <row r="210" spans="1:26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</row>
    <row r="211" spans="1:26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</row>
    <row r="212" spans="1:26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</row>
    <row r="213" spans="1:26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</row>
    <row r="214" spans="1:26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</row>
    <row r="215" spans="1:26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</row>
    <row r="216" spans="1:2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</row>
    <row r="217" spans="1:26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</row>
    <row r="218" spans="1:26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</row>
    <row r="219" spans="1:26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spans="1:26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</row>
    <row r="221" spans="1:26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</row>
    <row r="222" spans="1:26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</row>
    <row r="223" spans="1:26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</row>
    <row r="224" spans="1:26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</row>
    <row r="225" spans="1:26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</row>
    <row r="226" spans="1: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</row>
    <row r="227" spans="1:26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</row>
    <row r="228" spans="1:26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</row>
    <row r="229" spans="1:26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</row>
    <row r="230" spans="1:26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</row>
    <row r="231" spans="1:26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</row>
    <row r="232" spans="1:26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</row>
    <row r="233" spans="1:26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</row>
    <row r="234" spans="1:26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spans="1:26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</row>
    <row r="236" spans="1:2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</row>
    <row r="237" spans="1:26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</row>
    <row r="238" spans="1:26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</row>
    <row r="239" spans="1:26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</row>
    <row r="240" spans="1:26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</row>
    <row r="241" spans="1:26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</row>
    <row r="242" spans="1:26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</row>
    <row r="243" spans="1:26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</row>
    <row r="244" spans="1:26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</row>
    <row r="245" spans="1:26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</row>
    <row r="246" spans="1:2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</row>
    <row r="247" spans="1:26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</row>
    <row r="248" spans="1:26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</row>
    <row r="249" spans="1:26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</row>
    <row r="250" spans="1:26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</row>
    <row r="251" spans="1:26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</row>
    <row r="252" spans="1:26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</row>
    <row r="253" spans="1:26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</row>
    <row r="254" spans="1:26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</row>
    <row r="255" spans="1:26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</row>
    <row r="256" spans="1:2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</row>
    <row r="257" spans="1:26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</row>
    <row r="258" spans="1:26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</row>
    <row r="259" spans="1:26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</row>
    <row r="260" spans="1:26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</row>
    <row r="261" spans="1:26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</row>
    <row r="262" spans="1:26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</row>
    <row r="263" spans="1:26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</row>
    <row r="264" spans="1:26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</row>
    <row r="265" spans="1:26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</row>
    <row r="266" spans="1:2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</row>
    <row r="267" spans="1:26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</row>
    <row r="268" spans="1:26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</row>
    <row r="269" spans="1:26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</row>
    <row r="270" spans="1:26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</row>
    <row r="271" spans="1:26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</row>
    <row r="272" spans="1:26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</row>
    <row r="273" spans="1:26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</row>
    <row r="274" spans="1:26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</row>
    <row r="275" spans="1:26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</row>
    <row r="276" spans="1:2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</row>
    <row r="277" spans="1:26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</row>
    <row r="278" spans="1:26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</row>
    <row r="279" spans="1:26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</row>
    <row r="280" spans="1:26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</row>
    <row r="281" spans="1:26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</row>
    <row r="282" spans="1:26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</row>
    <row r="283" spans="1:26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</row>
    <row r="284" spans="1:26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</row>
    <row r="285" spans="1:26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</row>
    <row r="286" spans="1:2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</row>
    <row r="287" spans="1:26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</row>
    <row r="288" spans="1:26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</row>
    <row r="289" spans="1:26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</row>
    <row r="290" spans="1:26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</row>
    <row r="291" spans="1:26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</row>
    <row r="292" spans="1:26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</row>
    <row r="293" spans="1:26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</row>
    <row r="294" spans="1:26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</row>
    <row r="295" spans="1:26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</row>
    <row r="296" spans="1:2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</row>
    <row r="297" spans="1:26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</row>
    <row r="298" spans="1:26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</row>
    <row r="299" spans="1:26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</row>
    <row r="300" spans="1:26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</row>
    <row r="301" spans="1:26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</row>
    <row r="302" spans="1:26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</row>
    <row r="303" spans="1:26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</row>
    <row r="304" spans="1:26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</row>
    <row r="305" spans="1:26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</row>
    <row r="306" spans="1:2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</row>
    <row r="307" spans="1:26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</row>
    <row r="308" spans="1:26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</row>
    <row r="309" spans="1:26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</row>
    <row r="310" spans="1:26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</row>
    <row r="311" spans="1:26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</row>
    <row r="312" spans="1:26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</row>
    <row r="313" spans="1:26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</row>
    <row r="314" spans="1:26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</row>
    <row r="315" spans="1:26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</row>
    <row r="316" spans="1:2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</row>
    <row r="317" spans="1:26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</row>
    <row r="318" spans="1:26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</row>
    <row r="319" spans="1:26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</row>
    <row r="320" spans="1:26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</row>
    <row r="321" spans="1:26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</row>
    <row r="322" spans="1:26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</row>
    <row r="323" spans="1:26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</row>
    <row r="324" spans="1:26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</row>
    <row r="325" spans="1:26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</row>
    <row r="326" spans="1: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</row>
    <row r="327" spans="1:26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</row>
    <row r="328" spans="1:26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</row>
    <row r="329" spans="1:26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</row>
    <row r="330" spans="1:26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</row>
    <row r="331" spans="1:26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</row>
    <row r="332" spans="1:26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</row>
    <row r="333" spans="1:26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</row>
    <row r="334" spans="1:26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</row>
    <row r="335" spans="1:26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</row>
    <row r="336" spans="1:2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</row>
    <row r="337" spans="1:26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</row>
    <row r="338" spans="1:26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</row>
    <row r="339" spans="1:26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</row>
    <row r="340" spans="1:26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</row>
    <row r="341" spans="1:26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</row>
    <row r="342" spans="1:26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</row>
    <row r="343" spans="1:26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</row>
    <row r="344" spans="1:26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</row>
    <row r="345" spans="1:26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</row>
    <row r="346" spans="1:2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</row>
    <row r="347" spans="1:26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</row>
    <row r="348" spans="1:26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</row>
    <row r="349" spans="1:26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</row>
    <row r="350" spans="1:26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</row>
    <row r="351" spans="1:26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</row>
    <row r="352" spans="1:26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</row>
    <row r="353" spans="1:26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</row>
    <row r="354" spans="1:26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</row>
    <row r="355" spans="1:26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</row>
    <row r="356" spans="1:2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</row>
    <row r="357" spans="1:26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</row>
    <row r="358" spans="1:26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</row>
    <row r="359" spans="1:26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</row>
    <row r="360" spans="1:26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</row>
    <row r="361" spans="1:26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</row>
    <row r="362" spans="1:26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</row>
    <row r="363" spans="1:26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</row>
    <row r="364" spans="1:26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</row>
    <row r="365" spans="1:26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</row>
    <row r="366" spans="1:2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</row>
    <row r="367" spans="1:26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</row>
    <row r="368" spans="1:26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</row>
    <row r="369" spans="1:26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</row>
    <row r="370" spans="1:26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</row>
    <row r="371" spans="1:26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</row>
    <row r="372" spans="1:26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</row>
    <row r="373" spans="1:26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</row>
    <row r="374" spans="1:26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</row>
    <row r="375" spans="1:26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</row>
    <row r="376" spans="1:2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</row>
    <row r="377" spans="1:26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</row>
    <row r="378" spans="1:26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</row>
    <row r="379" spans="1:26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</row>
    <row r="380" spans="1:26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</row>
    <row r="381" spans="1:26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</row>
    <row r="382" spans="1:26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</row>
    <row r="383" spans="1:26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</row>
    <row r="384" spans="1:26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</row>
    <row r="385" spans="1:26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</row>
    <row r="386" spans="1:2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</row>
    <row r="387" spans="1:26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</row>
    <row r="388" spans="1:26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</row>
    <row r="389" spans="1:26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</row>
    <row r="390" spans="1:26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</row>
    <row r="391" spans="1:26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</row>
    <row r="392" spans="1:26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</row>
    <row r="393" spans="1:26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</row>
    <row r="394" spans="1:26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</row>
    <row r="395" spans="1:26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</row>
    <row r="396" spans="1:2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</row>
    <row r="397" spans="1:26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</row>
    <row r="398" spans="1:26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</row>
    <row r="399" spans="1:26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</row>
    <row r="400" spans="1:26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</row>
    <row r="401" spans="1:26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</row>
    <row r="402" spans="1:26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</row>
    <row r="403" spans="1:26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</row>
    <row r="404" spans="1:26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</row>
    <row r="405" spans="1:26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</row>
    <row r="406" spans="1:2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</row>
    <row r="407" spans="1:26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</row>
    <row r="408" spans="1:26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</row>
    <row r="409" spans="1:26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</row>
    <row r="410" spans="1:26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</row>
    <row r="411" spans="1:26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</row>
    <row r="412" spans="1:26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</row>
    <row r="413" spans="1:26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</row>
    <row r="414" spans="1:26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</row>
    <row r="415" spans="1:26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</row>
    <row r="416" spans="1:2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</row>
    <row r="417" spans="1:26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</row>
    <row r="418" spans="1:26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</row>
    <row r="419" spans="1:26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</row>
    <row r="420" spans="1:26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</row>
    <row r="421" spans="1:26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</row>
    <row r="422" spans="1:26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</row>
    <row r="423" spans="1:26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</row>
    <row r="424" spans="1:26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</row>
    <row r="425" spans="1:26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</row>
    <row r="426" spans="1: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</row>
    <row r="427" spans="1:26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</row>
    <row r="428" spans="1:26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</row>
    <row r="429" spans="1:26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</row>
    <row r="430" spans="1:26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</row>
    <row r="431" spans="1:26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</row>
    <row r="432" spans="1:26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</row>
    <row r="433" spans="1:26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</row>
    <row r="434" spans="1:26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</row>
    <row r="435" spans="1:26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</row>
    <row r="436" spans="1:2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</row>
    <row r="437" spans="1:26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</row>
    <row r="438" spans="1:26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</row>
    <row r="439" spans="1:26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</row>
    <row r="440" spans="1:26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</row>
    <row r="441" spans="1:26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</row>
    <row r="442" spans="1:26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</row>
    <row r="443" spans="1:26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</row>
    <row r="444" spans="1:26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</row>
    <row r="445" spans="1:26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</row>
    <row r="446" spans="1:2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</row>
    <row r="447" spans="1:26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</row>
    <row r="448" spans="1:26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</row>
    <row r="449" spans="1:26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</row>
    <row r="450" spans="1:26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</row>
    <row r="451" spans="1:26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</row>
    <row r="452" spans="1:26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</row>
    <row r="453" spans="1:26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</row>
    <row r="454" spans="1:26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</row>
    <row r="455" spans="1:26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</row>
    <row r="456" spans="1:2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</row>
    <row r="457" spans="1:26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</row>
    <row r="458" spans="1:26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</row>
    <row r="459" spans="1:26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</row>
    <row r="460" spans="1:26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</row>
    <row r="461" spans="1:26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</row>
    <row r="462" spans="1:26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</row>
    <row r="463" spans="1:26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</row>
    <row r="464" spans="1:26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</row>
    <row r="465" spans="1:26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</row>
    <row r="466" spans="1:2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</row>
    <row r="467" spans="1:26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</row>
    <row r="468" spans="1:26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</row>
    <row r="469" spans="1:26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</row>
    <row r="470" spans="1:26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</row>
    <row r="471" spans="1:26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</row>
    <row r="472" spans="1:26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</row>
    <row r="473" spans="1:26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</row>
    <row r="474" spans="1:26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</row>
    <row r="475" spans="1:26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</row>
    <row r="476" spans="1:2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</row>
    <row r="477" spans="1:26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</row>
    <row r="478" spans="1:26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</row>
    <row r="479" spans="1:26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</row>
    <row r="480" spans="1:26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</row>
    <row r="481" spans="1:26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</row>
    <row r="482" spans="1:26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</row>
    <row r="483" spans="1:26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</row>
    <row r="484" spans="1:26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</row>
    <row r="485" spans="1:26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</row>
    <row r="486" spans="1:2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</row>
    <row r="487" spans="1:26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</row>
    <row r="488" spans="1:26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</row>
    <row r="489" spans="1:26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</row>
    <row r="490" spans="1:26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</row>
    <row r="491" spans="1:26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</row>
    <row r="492" spans="1:26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</row>
    <row r="493" spans="1:26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</row>
    <row r="494" spans="1:26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</row>
    <row r="495" spans="1:26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</row>
    <row r="496" spans="1:2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</row>
    <row r="497" spans="1:26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</row>
    <row r="498" spans="1:26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</row>
    <row r="499" spans="1:26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</row>
    <row r="500" spans="1:26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</row>
    <row r="501" spans="1:26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</row>
    <row r="502" spans="1:26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</row>
    <row r="503" spans="1:26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</row>
    <row r="504" spans="1:26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</row>
    <row r="505" spans="1:26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</row>
    <row r="506" spans="1:2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</row>
    <row r="507" spans="1:26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</row>
    <row r="508" spans="1:26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</row>
    <row r="509" spans="1:26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</row>
    <row r="510" spans="1:26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</row>
    <row r="511" spans="1:26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</row>
    <row r="512" spans="1:26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</row>
    <row r="513" spans="1:26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</row>
    <row r="514" spans="1:26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</row>
    <row r="515" spans="1:26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</row>
    <row r="516" spans="1:2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</row>
    <row r="517" spans="1:26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</row>
    <row r="518" spans="1:26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</row>
    <row r="519" spans="1:26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</row>
    <row r="520" spans="1:26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</row>
    <row r="521" spans="1:26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</row>
    <row r="522" spans="1:26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</row>
    <row r="523" spans="1:26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</row>
    <row r="524" spans="1:26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</row>
    <row r="525" spans="1:26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</row>
    <row r="526" spans="1: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</row>
    <row r="527" spans="1:26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</row>
    <row r="528" spans="1:26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</row>
    <row r="529" spans="1:26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</row>
    <row r="530" spans="1:26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</row>
    <row r="531" spans="1:26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</row>
    <row r="532" spans="1:26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</row>
    <row r="533" spans="1:26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</row>
    <row r="534" spans="1:26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</row>
    <row r="535" spans="1:26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</row>
    <row r="536" spans="1:2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</row>
    <row r="537" spans="1:26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</row>
    <row r="538" spans="1:26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</row>
    <row r="539" spans="1:26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</row>
    <row r="540" spans="1:26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</row>
    <row r="541" spans="1:26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</row>
    <row r="542" spans="1:26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</row>
    <row r="543" spans="1:26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</row>
    <row r="544" spans="1:26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</row>
    <row r="545" spans="1:26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</row>
    <row r="546" spans="1:2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</row>
    <row r="547" spans="1:26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</row>
    <row r="548" spans="1:26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</row>
    <row r="549" spans="1:26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</row>
    <row r="550" spans="1:26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</row>
    <row r="551" spans="1:26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</row>
    <row r="552" spans="1:26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</row>
    <row r="553" spans="1:26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</row>
    <row r="554" spans="1:26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</row>
    <row r="555" spans="1:26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</row>
    <row r="556" spans="1:2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</row>
    <row r="557" spans="1:26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</row>
    <row r="558" spans="1:26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</row>
    <row r="559" spans="1:26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</row>
    <row r="560" spans="1:26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</row>
    <row r="561" spans="1:26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</row>
    <row r="562" spans="1:26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</row>
    <row r="563" spans="1:26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</row>
    <row r="564" spans="1:26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</row>
    <row r="565" spans="1:26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</row>
    <row r="566" spans="1:2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</row>
    <row r="567" spans="1:26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</row>
    <row r="568" spans="1:26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</row>
    <row r="569" spans="1:26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</row>
    <row r="570" spans="1:26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</row>
    <row r="571" spans="1:26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</row>
    <row r="572" spans="1:26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</row>
    <row r="573" spans="1:26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</row>
    <row r="574" spans="1:26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</row>
    <row r="575" spans="1:26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</row>
    <row r="576" spans="1:2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</row>
    <row r="577" spans="1:26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</row>
    <row r="578" spans="1:26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</row>
    <row r="579" spans="1:26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</row>
    <row r="580" spans="1:26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</row>
    <row r="581" spans="1:26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</row>
    <row r="582" spans="1:26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</row>
    <row r="583" spans="1:26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</row>
    <row r="584" spans="1:26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</row>
    <row r="585" spans="1:26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</row>
    <row r="586" spans="1:2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</row>
    <row r="587" spans="1:26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</row>
    <row r="588" spans="1:26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</row>
    <row r="589" spans="1:26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</row>
    <row r="590" spans="1:26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</row>
    <row r="591" spans="1:26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</row>
    <row r="592" spans="1:26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</row>
    <row r="593" spans="1:26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</row>
    <row r="594" spans="1:26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</row>
    <row r="595" spans="1:26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</row>
    <row r="596" spans="1:2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</row>
    <row r="597" spans="1:26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</row>
    <row r="598" spans="1:26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</row>
    <row r="599" spans="1:26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</row>
    <row r="600" spans="1:26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</row>
    <row r="601" spans="1:26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</row>
    <row r="602" spans="1:26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</row>
    <row r="603" spans="1:26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</row>
    <row r="604" spans="1:26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</row>
    <row r="605" spans="1:26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</row>
    <row r="606" spans="1:2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</row>
    <row r="607" spans="1:26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</row>
    <row r="608" spans="1:26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</row>
    <row r="609" spans="1:26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</row>
    <row r="610" spans="1:26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</row>
    <row r="611" spans="1:26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</row>
    <row r="612" spans="1:26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</row>
    <row r="613" spans="1:26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</row>
    <row r="614" spans="1:26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</row>
    <row r="615" spans="1:26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</row>
    <row r="616" spans="1:2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</row>
    <row r="617" spans="1:26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</row>
    <row r="618" spans="1:26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</row>
    <row r="619" spans="1:26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</row>
    <row r="620" spans="1:26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</row>
    <row r="621" spans="1:26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</row>
    <row r="622" spans="1:26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</row>
    <row r="623" spans="1:26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</row>
    <row r="624" spans="1:26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</row>
    <row r="625" spans="1:26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</row>
    <row r="626" spans="1: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</row>
    <row r="627" spans="1:26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</row>
    <row r="628" spans="1:26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</row>
    <row r="629" spans="1:26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</row>
    <row r="630" spans="1:26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</row>
    <row r="631" spans="1:26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</row>
    <row r="632" spans="1:26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</row>
    <row r="633" spans="1:26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</row>
    <row r="634" spans="1:26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</row>
    <row r="635" spans="1:26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</row>
    <row r="636" spans="1:2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</row>
    <row r="637" spans="1:26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</row>
    <row r="638" spans="1:26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</row>
    <row r="639" spans="1:26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</row>
    <row r="640" spans="1:26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</row>
    <row r="641" spans="1:26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</row>
    <row r="642" spans="1:26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</row>
    <row r="643" spans="1:26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</row>
    <row r="644" spans="1:26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</row>
    <row r="645" spans="1:26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</row>
    <row r="646" spans="1:2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</row>
    <row r="647" spans="1:26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</row>
    <row r="648" spans="1:26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</row>
    <row r="649" spans="1:26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</row>
    <row r="650" spans="1:26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</row>
    <row r="651" spans="1:26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</row>
    <row r="652" spans="1:26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</row>
    <row r="653" spans="1:26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</row>
    <row r="654" spans="1:26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</row>
    <row r="655" spans="1:26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</row>
    <row r="656" spans="1:2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</row>
    <row r="657" spans="1:26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</row>
    <row r="658" spans="1:26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</row>
    <row r="659" spans="1:26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</row>
    <row r="660" spans="1:26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</row>
    <row r="661" spans="1:26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</row>
    <row r="662" spans="1:26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</row>
    <row r="663" spans="1:26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</row>
    <row r="664" spans="1:26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</row>
    <row r="665" spans="1:26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</row>
    <row r="666" spans="1:2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</row>
    <row r="667" spans="1:26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</row>
    <row r="668" spans="1:26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</row>
    <row r="669" spans="1:26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</row>
    <row r="670" spans="1:26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</row>
    <row r="671" spans="1:26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</row>
    <row r="672" spans="1:26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</row>
    <row r="673" spans="1:26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</row>
    <row r="674" spans="1:26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</row>
    <row r="675" spans="1:26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</row>
    <row r="676" spans="1:2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</row>
    <row r="677" spans="1:26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</row>
    <row r="678" spans="1:26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</row>
    <row r="679" spans="1:26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</row>
    <row r="680" spans="1:26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</row>
    <row r="681" spans="1:26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</row>
    <row r="682" spans="1:26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</row>
    <row r="683" spans="1:26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</row>
    <row r="684" spans="1:26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</row>
    <row r="685" spans="1:26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</row>
    <row r="686" spans="1:2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</row>
    <row r="687" spans="1:26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</row>
    <row r="688" spans="1:26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</row>
    <row r="689" spans="1:26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</row>
    <row r="690" spans="1:26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</row>
    <row r="691" spans="1:26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</row>
    <row r="692" spans="1:26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</row>
    <row r="693" spans="1:26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</row>
    <row r="694" spans="1:26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</row>
    <row r="695" spans="1:26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</row>
    <row r="696" spans="1:2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</row>
    <row r="697" spans="1:26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</row>
    <row r="698" spans="1:26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</row>
    <row r="699" spans="1:26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</row>
    <row r="700" spans="1:26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</row>
    <row r="701" spans="1:26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</row>
    <row r="702" spans="1:26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</row>
    <row r="703" spans="1:26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</row>
    <row r="704" spans="1:26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</row>
    <row r="705" spans="1:26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</row>
    <row r="706" spans="1:2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</row>
    <row r="707" spans="1:26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</row>
    <row r="708" spans="1:26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</row>
    <row r="709" spans="1:26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</row>
    <row r="710" spans="1:26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</row>
    <row r="711" spans="1:26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</row>
    <row r="712" spans="1:26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</row>
    <row r="713" spans="1:26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</row>
    <row r="714" spans="1:26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</row>
    <row r="715" spans="1:26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</row>
    <row r="716" spans="1:2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</row>
    <row r="717" spans="1:26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</row>
    <row r="718" spans="1:26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</row>
    <row r="719" spans="1:26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</row>
    <row r="720" spans="1:26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</row>
    <row r="721" spans="1:26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</row>
    <row r="722" spans="1:26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</row>
    <row r="723" spans="1:26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</row>
    <row r="724" spans="1:26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</row>
    <row r="725" spans="1:26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</row>
    <row r="726" spans="1: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</row>
    <row r="727" spans="1:26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</row>
    <row r="728" spans="1:26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</row>
    <row r="729" spans="1:26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</row>
    <row r="730" spans="1:26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</row>
    <row r="731" spans="1:26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</row>
    <row r="732" spans="1:26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</row>
    <row r="733" spans="1:26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</row>
    <row r="734" spans="1:26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</row>
    <row r="735" spans="1:26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</row>
    <row r="736" spans="1:2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</row>
    <row r="737" spans="1:26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</row>
    <row r="738" spans="1:26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</row>
    <row r="739" spans="1:26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</row>
    <row r="740" spans="1:26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</row>
    <row r="741" spans="1:26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</row>
    <row r="742" spans="1:26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</row>
    <row r="743" spans="1:26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</row>
    <row r="744" spans="1:26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</row>
    <row r="745" spans="1:26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</row>
    <row r="746" spans="1:2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</row>
    <row r="747" spans="1:26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</row>
    <row r="748" spans="1:26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</row>
    <row r="749" spans="1:26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</row>
    <row r="750" spans="1:26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</row>
    <row r="751" spans="1:26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</row>
    <row r="752" spans="1:26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</row>
    <row r="753" spans="1:26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</row>
    <row r="754" spans="1:26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</row>
    <row r="755" spans="1:26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</row>
    <row r="756" spans="1:2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</row>
    <row r="757" spans="1:26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</row>
    <row r="758" spans="1:26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</row>
    <row r="759" spans="1:26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</row>
    <row r="760" spans="1:26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</row>
    <row r="761" spans="1:26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</row>
    <row r="762" spans="1:26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</row>
    <row r="763" spans="1:26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</row>
    <row r="764" spans="1:26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</row>
    <row r="765" spans="1:26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</row>
    <row r="766" spans="1:2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</row>
    <row r="767" spans="1:26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</row>
    <row r="768" spans="1:26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</row>
    <row r="769" spans="1:26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</row>
    <row r="770" spans="1:26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</row>
    <row r="771" spans="1:26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</row>
    <row r="772" spans="1:26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</row>
    <row r="773" spans="1:26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</row>
    <row r="774" spans="1:26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</row>
    <row r="775" spans="1:26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</row>
    <row r="776" spans="1:2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</row>
    <row r="777" spans="1:26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</row>
    <row r="778" spans="1:26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</row>
    <row r="779" spans="1:26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</row>
    <row r="780" spans="1:26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</row>
    <row r="781" spans="1:26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</row>
    <row r="782" spans="1:26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</row>
    <row r="783" spans="1:26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</row>
    <row r="784" spans="1:26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</row>
    <row r="785" spans="1:26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</row>
    <row r="786" spans="1:2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</row>
    <row r="787" spans="1:26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</row>
    <row r="788" spans="1:26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</row>
    <row r="789" spans="1:26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</row>
    <row r="790" spans="1:26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</row>
    <row r="791" spans="1:26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</row>
    <row r="792" spans="1:26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</row>
    <row r="793" spans="1:26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</row>
    <row r="794" spans="1:26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</row>
    <row r="795" spans="1:26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</row>
    <row r="796" spans="1:2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</row>
    <row r="797" spans="1:26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</row>
    <row r="798" spans="1:26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</row>
    <row r="799" spans="1:26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</row>
    <row r="800" spans="1:26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</row>
    <row r="801" spans="1:26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</row>
    <row r="802" spans="1:26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</row>
    <row r="803" spans="1:26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</row>
    <row r="804" spans="1:26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</row>
    <row r="805" spans="1:26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</row>
    <row r="806" spans="1:2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</row>
    <row r="807" spans="1:26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</row>
    <row r="808" spans="1:26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</row>
    <row r="809" spans="1:26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</row>
    <row r="810" spans="1:26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</row>
    <row r="811" spans="1:26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</row>
    <row r="812" spans="1:26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</row>
    <row r="813" spans="1:26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</row>
    <row r="814" spans="1:26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</row>
    <row r="815" spans="1:26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</row>
    <row r="816" spans="1:2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</row>
    <row r="817" spans="1:26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</row>
    <row r="818" spans="1:26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</row>
    <row r="819" spans="1:26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</row>
    <row r="820" spans="1:26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</row>
    <row r="821" spans="1:26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</row>
    <row r="822" spans="1:26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</row>
    <row r="823" spans="1:26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</row>
    <row r="824" spans="1:26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</row>
    <row r="825" spans="1:26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</row>
    <row r="826" spans="1: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</row>
    <row r="827" spans="1:26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</row>
    <row r="828" spans="1:26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</row>
    <row r="829" spans="1:26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</row>
    <row r="830" spans="1:26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</row>
    <row r="831" spans="1:26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</row>
    <row r="832" spans="1:26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</row>
    <row r="833" spans="1:26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</row>
    <row r="834" spans="1:26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</row>
    <row r="835" spans="1:26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</row>
    <row r="836" spans="1:2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</row>
    <row r="837" spans="1:26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</row>
    <row r="838" spans="1:26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</row>
    <row r="839" spans="1:26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</row>
    <row r="840" spans="1:26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</row>
    <row r="841" spans="1:26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</row>
    <row r="842" spans="1:26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</row>
    <row r="843" spans="1:26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</row>
    <row r="844" spans="1:26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</row>
    <row r="845" spans="1:26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</row>
    <row r="846" spans="1:2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</row>
    <row r="847" spans="1:26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</row>
    <row r="848" spans="1:26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</row>
    <row r="849" spans="1:26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</row>
    <row r="850" spans="1:26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</row>
    <row r="851" spans="1:26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</row>
    <row r="852" spans="1:26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</row>
    <row r="853" spans="1:26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</row>
    <row r="854" spans="1:26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</row>
    <row r="855" spans="1:26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</row>
    <row r="856" spans="1:2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</row>
    <row r="857" spans="1:26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</row>
    <row r="858" spans="1:26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</row>
    <row r="859" spans="1:26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</row>
    <row r="860" spans="1:26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</row>
    <row r="861" spans="1:26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</row>
    <row r="862" spans="1:26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</row>
    <row r="863" spans="1:26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</row>
    <row r="864" spans="1:26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</row>
    <row r="865" spans="1:26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</row>
    <row r="866" spans="1:2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</row>
    <row r="867" spans="1:26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</row>
    <row r="868" spans="1:26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</row>
    <row r="869" spans="1:26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</row>
    <row r="870" spans="1:26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</row>
    <row r="871" spans="1:26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</row>
    <row r="872" spans="1:26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</row>
    <row r="873" spans="1:26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</row>
    <row r="874" spans="1:26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</row>
    <row r="875" spans="1:26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</row>
    <row r="876" spans="1:2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</row>
    <row r="877" spans="1:26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</row>
    <row r="878" spans="1:26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</row>
    <row r="879" spans="1:26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</row>
    <row r="880" spans="1:26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</row>
    <row r="881" spans="1:26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</row>
    <row r="882" spans="1:26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</row>
    <row r="883" spans="1:26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</row>
    <row r="884" spans="1:26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</row>
    <row r="885" spans="1:26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</row>
    <row r="886" spans="1:2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</row>
    <row r="887" spans="1:26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</row>
    <row r="888" spans="1:26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</row>
    <row r="889" spans="1:26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</row>
    <row r="890" spans="1:26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</row>
    <row r="891" spans="1:26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</row>
    <row r="892" spans="1:26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</row>
    <row r="893" spans="1:26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</row>
    <row r="894" spans="1:26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</row>
    <row r="895" spans="1:26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</row>
    <row r="896" spans="1:2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</row>
    <row r="897" spans="1:26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</row>
    <row r="898" spans="1:26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</row>
    <row r="899" spans="1:26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</row>
    <row r="900" spans="1:26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</row>
    <row r="901" spans="1:26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</row>
    <row r="902" spans="1:26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</row>
    <row r="903" spans="1:26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</row>
    <row r="904" spans="1:26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</row>
    <row r="905" spans="1:26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</row>
    <row r="906" spans="1:2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</row>
    <row r="907" spans="1:26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</row>
    <row r="908" spans="1:26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</row>
    <row r="909" spans="1:26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</row>
    <row r="910" spans="1:26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</row>
    <row r="911" spans="1:26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</row>
    <row r="912" spans="1:26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</row>
    <row r="913" spans="1:26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</row>
    <row r="914" spans="1:26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</row>
    <row r="915" spans="1:26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</row>
    <row r="916" spans="1:2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</row>
    <row r="917" spans="1:26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</row>
    <row r="918" spans="1:26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</row>
    <row r="919" spans="1:26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</row>
    <row r="920" spans="1:26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</row>
    <row r="921" spans="1:26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</row>
    <row r="922" spans="1:26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</row>
    <row r="923" spans="1:26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</row>
    <row r="924" spans="1:26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</row>
    <row r="925" spans="1:26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</row>
    <row r="926" spans="1: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</row>
    <row r="927" spans="1:26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</row>
    <row r="928" spans="1:26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</row>
    <row r="929" spans="1:26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</row>
    <row r="930" spans="1:26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</row>
    <row r="931" spans="1:26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</row>
    <row r="932" spans="1:26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</row>
    <row r="933" spans="1:26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</row>
    <row r="934" spans="1:26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</row>
    <row r="935" spans="1:26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</row>
    <row r="936" spans="1:2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</row>
    <row r="937" spans="1:26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</row>
    <row r="938" spans="1:26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</row>
    <row r="939" spans="1:26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</row>
    <row r="940" spans="1:26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</row>
    <row r="941" spans="1:26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</row>
    <row r="942" spans="1:26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</row>
    <row r="943" spans="1:26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</row>
    <row r="944" spans="1:26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</row>
    <row r="945" spans="1:26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</row>
    <row r="946" spans="1:2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</row>
    <row r="947" spans="1:26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</row>
    <row r="948" spans="1:26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</row>
    <row r="949" spans="1:26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</row>
    <row r="950" spans="1:26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</row>
    <row r="951" spans="1:26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</row>
    <row r="952" spans="1:26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</row>
    <row r="953" spans="1:26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</row>
    <row r="954" spans="1:26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</row>
    <row r="955" spans="1:26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</row>
    <row r="956" spans="1:2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</row>
    <row r="957" spans="1:26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</row>
    <row r="958" spans="1:26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</row>
    <row r="959" spans="1:26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</row>
    <row r="960" spans="1:26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</row>
    <row r="961" spans="1:26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</row>
    <row r="962" spans="1:26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</row>
    <row r="963" spans="1:26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</row>
    <row r="964" spans="1:26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</row>
    <row r="965" spans="1:26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</row>
    <row r="966" spans="1:26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</row>
    <row r="967" spans="1:26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</row>
    <row r="968" spans="1:26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</row>
    <row r="969" spans="1:26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</row>
    <row r="970" spans="1:26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</row>
    <row r="971" spans="1:26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</row>
    <row r="972" spans="1:26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</row>
    <row r="973" spans="1:26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</row>
    <row r="974" spans="1:26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</row>
    <row r="975" spans="1:26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</row>
    <row r="976" spans="1:26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</row>
    <row r="977" spans="1:26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</row>
    <row r="978" spans="1:26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</row>
    <row r="979" spans="1:26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</row>
    <row r="980" spans="1:26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</row>
    <row r="981" spans="1:26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</row>
    <row r="982" spans="1:26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</row>
    <row r="983" spans="1:26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</row>
    <row r="984" spans="1:26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</row>
    <row r="985" spans="1:26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</row>
    <row r="986" spans="1:26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</row>
    <row r="987" spans="1:26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</row>
    <row r="988" spans="1:26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</row>
    <row r="989" spans="1:26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</row>
    <row r="990" spans="1:26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</row>
    <row r="991" spans="1:26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</row>
    <row r="992" spans="1:26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</row>
    <row r="993" spans="1:26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</row>
    <row r="994" spans="1:26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</row>
    <row r="995" spans="1:26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</row>
    <row r="996" spans="1:26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</row>
    <row r="997" spans="1:26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</row>
    <row r="998" spans="1:26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</row>
    <row r="999" spans="1:26">
      <c r="A999" s="307"/>
      <c r="B999" s="307"/>
      <c r="C999" s="307"/>
      <c r="D999" s="307"/>
      <c r="E999" s="307"/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7"/>
      <c r="V999" s="307"/>
      <c r="W999" s="307"/>
      <c r="X999" s="307"/>
      <c r="Y999" s="307"/>
      <c r="Z999" s="307"/>
    </row>
    <row r="1000" spans="1:26">
      <c r="A1000" s="307"/>
      <c r="B1000" s="307"/>
      <c r="C1000" s="307"/>
      <c r="D1000" s="307"/>
      <c r="E1000" s="307"/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7"/>
      <c r="V1000" s="307"/>
      <c r="W1000" s="307"/>
      <c r="X1000" s="307"/>
      <c r="Y1000" s="307"/>
      <c r="Z1000" s="307"/>
    </row>
    <row r="1001" spans="1:26">
      <c r="A1001" s="307"/>
      <c r="B1001" s="307"/>
      <c r="C1001" s="307"/>
      <c r="D1001" s="307"/>
      <c r="E1001" s="307"/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7"/>
      <c r="V1001" s="307"/>
      <c r="W1001" s="307"/>
      <c r="X1001" s="307"/>
      <c r="Y1001" s="307"/>
      <c r="Z1001" s="307"/>
    </row>
    <row r="1002" spans="1:26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27"/>
      <c r="U1002" s="327"/>
      <c r="V1002" s="327"/>
      <c r="W1002" s="327"/>
      <c r="X1002" s="327"/>
      <c r="Y1002" s="327"/>
      <c r="Z1002" s="327"/>
    </row>
  </sheetData>
  <mergeCells count="45"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  <mergeCell ref="E16:G16"/>
    <mergeCell ref="H16:I16"/>
    <mergeCell ref="K16:M16"/>
    <mergeCell ref="E17:G17"/>
    <mergeCell ref="H17:I17"/>
    <mergeCell ref="K17:M17"/>
    <mergeCell ref="K18:M18"/>
    <mergeCell ref="K19:M19"/>
    <mergeCell ref="K20:M20"/>
    <mergeCell ref="K21:M21"/>
    <mergeCell ref="E11:G11"/>
    <mergeCell ref="H11:I11"/>
    <mergeCell ref="K11:M11"/>
    <mergeCell ref="E15:G15"/>
    <mergeCell ref="H15:I15"/>
    <mergeCell ref="K15:M15"/>
    <mergeCell ref="E7:G7"/>
    <mergeCell ref="H7:I7"/>
    <mergeCell ref="K7:M7"/>
    <mergeCell ref="H9:I9"/>
    <mergeCell ref="K9:M9"/>
    <mergeCell ref="E8:G8"/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</mergeCells>
  <hyperlinks>
    <hyperlink ref="N1" location="'Theo dõi hợp đồng'!A1" display="←"/>
  </hyperlinks>
  <printOptions horizontalCentered="1"/>
  <pageMargins left="0.7" right="0.7" top="0.75" bottom="0.75" header="0" footer="0"/>
  <pageSetup fitToHeight="0" pageOrder="overThenDown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2"/>
  <sheetViews>
    <sheetView workbookViewId="0">
      <selection sqref="A1:M1"/>
    </sheetView>
  </sheetViews>
  <sheetFormatPr defaultColWidth="14.42578125" defaultRowHeight="12.75" customHeight="1"/>
  <cols>
    <col min="1" max="1" width="6.42578125" customWidth="1"/>
    <col min="2" max="2" width="30.85546875" customWidth="1"/>
    <col min="3" max="3" width="15.7109375" customWidth="1"/>
    <col min="4" max="4" width="13" customWidth="1"/>
    <col min="5" max="5" width="7.140625" customWidth="1"/>
    <col min="10" max="10" width="17.28515625" customWidth="1"/>
  </cols>
  <sheetData>
    <row r="1" spans="1:26" ht="45">
      <c r="A1" s="412" t="s">
        <v>180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06" t="s">
        <v>148</v>
      </c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26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1:26">
      <c r="A3" s="413" t="s">
        <v>149</v>
      </c>
      <c r="B3" s="415" t="s">
        <v>181</v>
      </c>
      <c r="C3" s="415" t="s">
        <v>151</v>
      </c>
      <c r="D3" s="415" t="s">
        <v>152</v>
      </c>
      <c r="E3" s="415" t="s">
        <v>153</v>
      </c>
      <c r="F3" s="417" t="s">
        <v>182</v>
      </c>
      <c r="G3" s="416"/>
      <c r="H3" s="417" t="s">
        <v>155</v>
      </c>
      <c r="I3" s="416"/>
      <c r="J3" s="417" t="s">
        <v>156</v>
      </c>
      <c r="K3" s="418"/>
      <c r="L3" s="416"/>
      <c r="M3" s="415" t="s">
        <v>157</v>
      </c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ht="45">
      <c r="A4" s="414"/>
      <c r="B4" s="416"/>
      <c r="C4" s="416"/>
      <c r="D4" s="416"/>
      <c r="E4" s="416"/>
      <c r="F4" s="309" t="s">
        <v>158</v>
      </c>
      <c r="G4" s="309" t="s">
        <v>33</v>
      </c>
      <c r="H4" s="309" t="s">
        <v>158</v>
      </c>
      <c r="I4" s="309" t="s">
        <v>33</v>
      </c>
      <c r="J4" s="309" t="s">
        <v>159</v>
      </c>
      <c r="K4" s="310" t="s">
        <v>156</v>
      </c>
      <c r="L4" s="309" t="s">
        <v>160</v>
      </c>
      <c r="M4" s="416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</row>
    <row r="5" spans="1:26" ht="32.25" customHeight="1">
      <c r="A5" s="311">
        <v>1</v>
      </c>
      <c r="B5" s="312" t="s">
        <v>104</v>
      </c>
      <c r="C5" s="313" t="s">
        <v>161</v>
      </c>
      <c r="D5" s="314">
        <v>1</v>
      </c>
      <c r="E5" s="314" t="s">
        <v>162</v>
      </c>
      <c r="F5" s="315"/>
      <c r="G5" s="316"/>
      <c r="H5" s="317">
        <f>C9/1.1</f>
        <v>450000000</v>
      </c>
      <c r="I5" s="316">
        <f>H5*D5</f>
        <v>450000000</v>
      </c>
      <c r="J5" s="316"/>
      <c r="K5" s="318"/>
      <c r="L5" s="316">
        <f>G5*0.07%</f>
        <v>0</v>
      </c>
      <c r="M5" s="316">
        <f>I5-G5</f>
        <v>450000000</v>
      </c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>
      <c r="A6" s="307"/>
      <c r="B6" s="307"/>
      <c r="C6" s="307"/>
      <c r="D6" s="307"/>
      <c r="E6" s="307"/>
      <c r="F6" s="319"/>
      <c r="G6" s="319"/>
      <c r="H6" s="319"/>
      <c r="I6" s="319"/>
      <c r="J6" s="319"/>
      <c r="K6" s="319"/>
      <c r="L6" s="319"/>
      <c r="M6" s="319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</row>
    <row r="7" spans="1:26" ht="15">
      <c r="A7" s="307"/>
      <c r="B7" s="320" t="s">
        <v>163</v>
      </c>
      <c r="C7" s="307"/>
      <c r="D7" s="307"/>
      <c r="E7" s="419"/>
      <c r="F7" s="330"/>
      <c r="G7" s="330"/>
      <c r="H7" s="419"/>
      <c r="I7" s="330"/>
      <c r="J7" s="307"/>
      <c r="K7" s="419"/>
      <c r="L7" s="330"/>
      <c r="M7" s="330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1:26" ht="15">
      <c r="A8" s="307"/>
      <c r="B8" s="321" t="s">
        <v>164</v>
      </c>
      <c r="C8" s="322"/>
      <c r="D8" s="323"/>
      <c r="E8" s="421"/>
      <c r="F8" s="330"/>
      <c r="G8" s="330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</row>
    <row r="9" spans="1:26" ht="15">
      <c r="A9" s="307"/>
      <c r="B9" s="321" t="s">
        <v>165</v>
      </c>
      <c r="C9" s="324">
        <f>C10*1.1</f>
        <v>495000000.00000006</v>
      </c>
      <c r="D9" s="307"/>
      <c r="H9" s="420"/>
      <c r="I9" s="330"/>
      <c r="J9" s="307"/>
      <c r="K9" s="419"/>
      <c r="L9" s="330"/>
      <c r="M9" s="330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</row>
    <row r="10" spans="1:26" ht="15">
      <c r="A10" s="307"/>
      <c r="B10" s="321" t="s">
        <v>166</v>
      </c>
      <c r="C10" s="324">
        <v>450000000</v>
      </c>
      <c r="D10" s="307"/>
      <c r="E10" s="307"/>
      <c r="F10" s="307"/>
      <c r="G10" s="307"/>
      <c r="H10" s="319"/>
      <c r="I10" s="319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</row>
    <row r="11" spans="1:26" ht="15">
      <c r="A11" s="307"/>
      <c r="B11" s="321" t="s">
        <v>156</v>
      </c>
      <c r="C11" s="322">
        <f>SUM(J5:L5)</f>
        <v>0</v>
      </c>
      <c r="D11" s="307"/>
      <c r="E11" s="419"/>
      <c r="F11" s="330"/>
      <c r="G11" s="330"/>
      <c r="H11" s="420"/>
      <c r="I11" s="330"/>
      <c r="J11" s="307"/>
      <c r="K11" s="419"/>
      <c r="L11" s="330"/>
      <c r="M11" s="330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</row>
    <row r="12" spans="1:26" ht="15">
      <c r="A12" s="307"/>
      <c r="B12" s="321" t="s">
        <v>167</v>
      </c>
      <c r="C12" s="322">
        <f>C10*5%</f>
        <v>22500000</v>
      </c>
      <c r="D12" s="319"/>
      <c r="E12" s="307"/>
      <c r="F12" s="307"/>
      <c r="G12" s="307"/>
      <c r="H12" s="319"/>
      <c r="I12" s="319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</row>
    <row r="13" spans="1:26" ht="15">
      <c r="A13" s="307"/>
      <c r="B13" s="325" t="s">
        <v>168</v>
      </c>
      <c r="C13" s="322">
        <f>C10*5%</f>
        <v>22500000</v>
      </c>
      <c r="D13" s="319"/>
      <c r="E13" s="307"/>
      <c r="F13" s="307"/>
      <c r="G13" s="307"/>
      <c r="H13" s="319"/>
      <c r="I13" s="319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</row>
    <row r="14" spans="1:26" ht="15">
      <c r="A14" s="307"/>
      <c r="B14" s="325" t="s">
        <v>169</v>
      </c>
      <c r="C14" s="322">
        <f>C10*1%</f>
        <v>4500000</v>
      </c>
      <c r="D14" s="319"/>
      <c r="E14" s="307"/>
      <c r="F14" s="307"/>
      <c r="G14" s="307"/>
      <c r="H14" s="319"/>
      <c r="I14" s="319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</row>
    <row r="15" spans="1:26" ht="15">
      <c r="A15" s="307"/>
      <c r="B15" s="321" t="s">
        <v>170</v>
      </c>
      <c r="C15" s="322">
        <f>ROUND(C10*30%,-6)</f>
        <v>135000000</v>
      </c>
      <c r="D15" s="319"/>
      <c r="E15" s="419"/>
      <c r="F15" s="330"/>
      <c r="G15" s="330"/>
      <c r="H15" s="420"/>
      <c r="I15" s="330"/>
      <c r="J15" s="307"/>
      <c r="K15" s="419"/>
      <c r="L15" s="330"/>
      <c r="M15" s="330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</row>
    <row r="16" spans="1:26" ht="15">
      <c r="A16" s="307"/>
      <c r="B16" s="321" t="s">
        <v>171</v>
      </c>
      <c r="C16" s="322">
        <f>C15/0.8*20%</f>
        <v>33750000</v>
      </c>
      <c r="D16" s="319"/>
      <c r="E16" s="419"/>
      <c r="F16" s="330"/>
      <c r="G16" s="330"/>
      <c r="H16" s="420"/>
      <c r="I16" s="330"/>
      <c r="J16" s="307"/>
      <c r="K16" s="419"/>
      <c r="L16" s="330"/>
      <c r="M16" s="330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</row>
    <row r="17" spans="1:26" ht="15">
      <c r="A17" s="307"/>
      <c r="B17" s="321" t="s">
        <v>172</v>
      </c>
      <c r="C17" s="322">
        <f>C8+C11+C12+C13+C14+C15+C16</f>
        <v>218250000</v>
      </c>
      <c r="D17" s="307"/>
      <c r="E17" s="419"/>
      <c r="F17" s="330"/>
      <c r="G17" s="330"/>
      <c r="H17" s="420"/>
      <c r="I17" s="330"/>
      <c r="J17" s="307"/>
      <c r="K17" s="419"/>
      <c r="L17" s="330"/>
      <c r="M17" s="330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</row>
    <row r="18" spans="1:26" ht="15">
      <c r="A18" s="307"/>
      <c r="B18" s="321" t="s">
        <v>173</v>
      </c>
      <c r="C18" s="322">
        <f>C10-C17</f>
        <v>231750000</v>
      </c>
      <c r="D18" s="307"/>
      <c r="E18" s="419"/>
      <c r="F18" s="330"/>
      <c r="G18" s="330"/>
      <c r="H18" s="419"/>
      <c r="I18" s="330"/>
      <c r="J18" s="307"/>
      <c r="K18" s="419"/>
      <c r="L18" s="330"/>
      <c r="M18" s="330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</row>
    <row r="19" spans="1:26" ht="15">
      <c r="A19" s="307"/>
      <c r="B19" s="321" t="s">
        <v>174</v>
      </c>
      <c r="C19" s="326">
        <f>C18/C10</f>
        <v>0.51500000000000001</v>
      </c>
      <c r="D19" s="307"/>
      <c r="E19" s="419"/>
      <c r="F19" s="330"/>
      <c r="G19" s="330"/>
      <c r="H19" s="419"/>
      <c r="I19" s="330"/>
      <c r="J19" s="307"/>
      <c r="K19" s="419"/>
      <c r="L19" s="330"/>
      <c r="M19" s="330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</row>
    <row r="20" spans="1:26" ht="15">
      <c r="A20" s="307"/>
      <c r="B20" s="321" t="s">
        <v>175</v>
      </c>
      <c r="C20" s="326">
        <f>C18/C9</f>
        <v>0.46818181818181814</v>
      </c>
      <c r="D20" s="307"/>
      <c r="E20" s="419"/>
      <c r="F20" s="330"/>
      <c r="G20" s="330"/>
      <c r="H20" s="420"/>
      <c r="I20" s="330"/>
      <c r="J20" s="307"/>
      <c r="K20" s="419"/>
      <c r="L20" s="330"/>
      <c r="M20" s="330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</row>
    <row r="21" spans="1:26">
      <c r="A21" s="307"/>
      <c r="B21" s="419"/>
      <c r="C21" s="330"/>
      <c r="D21" s="307"/>
      <c r="E21" s="419"/>
      <c r="F21" s="330"/>
      <c r="G21" s="330"/>
      <c r="H21" s="420"/>
      <c r="I21" s="330"/>
      <c r="J21" s="307"/>
      <c r="K21" s="419"/>
      <c r="L21" s="330"/>
      <c r="M21" s="330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</row>
    <row r="22" spans="1:26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</row>
    <row r="23" spans="1:26">
      <c r="A23" s="307"/>
      <c r="B23" s="307"/>
      <c r="C23" s="422" t="s">
        <v>176</v>
      </c>
      <c r="D23" s="330"/>
      <c r="E23" s="330"/>
      <c r="F23" s="307"/>
      <c r="G23" s="307"/>
      <c r="H23" s="307"/>
      <c r="I23" s="422" t="s">
        <v>177</v>
      </c>
      <c r="J23" s="330"/>
      <c r="K23" s="330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</row>
    <row r="24" spans="1:26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</row>
    <row r="25" spans="1:26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</row>
    <row r="26" spans="1:26">
      <c r="A26" s="307"/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</row>
    <row r="27" spans="1:26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</row>
    <row r="28" spans="1:26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</row>
    <row r="29" spans="1:26">
      <c r="A29" s="307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</row>
    <row r="30" spans="1:26">
      <c r="A30" s="307"/>
      <c r="B30" s="307"/>
      <c r="C30" s="422" t="s">
        <v>178</v>
      </c>
      <c r="D30" s="330"/>
      <c r="E30" s="330"/>
      <c r="F30" s="307"/>
      <c r="G30" s="307"/>
      <c r="H30" s="307"/>
      <c r="I30" s="422" t="s">
        <v>179</v>
      </c>
      <c r="J30" s="330"/>
      <c r="K30" s="330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</row>
    <row r="31" spans="1:26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</row>
    <row r="32" spans="1:26">
      <c r="A32" s="307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</row>
    <row r="33" spans="1:26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</row>
    <row r="34" spans="1:26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</row>
    <row r="35" spans="1:26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  <row r="36" spans="1:26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</row>
    <row r="37" spans="1:26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</row>
    <row r="38" spans="1:26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</row>
    <row r="39" spans="1:26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</row>
    <row r="40" spans="1:26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</row>
    <row r="41" spans="1:26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</row>
    <row r="42" spans="1:26">
      <c r="A42" s="307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</row>
    <row r="43" spans="1:26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</row>
    <row r="44" spans="1:26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</row>
    <row r="45" spans="1:26">
      <c r="A45" s="307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</row>
    <row r="46" spans="1:26">
      <c r="A46" s="307"/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</row>
    <row r="47" spans="1:26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</row>
    <row r="48" spans="1:26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</row>
    <row r="49" spans="1:26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</row>
    <row r="50" spans="1:26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</row>
    <row r="51" spans="1:26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</row>
    <row r="52" spans="1:26">
      <c r="A52" s="307"/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</row>
    <row r="53" spans="1:26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</row>
    <row r="54" spans="1:26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</row>
    <row r="55" spans="1:26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</row>
    <row r="56" spans="1:2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</row>
    <row r="57" spans="1:26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</row>
    <row r="58" spans="1:26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</row>
    <row r="59" spans="1:26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</row>
    <row r="60" spans="1:26">
      <c r="A60" s="307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</row>
    <row r="61" spans="1:26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</row>
    <row r="62" spans="1:26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</row>
    <row r="63" spans="1:26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</row>
    <row r="64" spans="1:26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</row>
    <row r="65" spans="1:26">
      <c r="A65" s="307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</row>
    <row r="66" spans="1:26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</row>
    <row r="67" spans="1:26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</row>
    <row r="68" spans="1:26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</row>
    <row r="69" spans="1:26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</row>
    <row r="70" spans="1:26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</row>
    <row r="71" spans="1:26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</row>
    <row r="72" spans="1:26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</row>
    <row r="73" spans="1:26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</row>
    <row r="74" spans="1:26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</row>
    <row r="75" spans="1:26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</row>
    <row r="76" spans="1:26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</row>
    <row r="77" spans="1:26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</row>
    <row r="78" spans="1:26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</row>
    <row r="79" spans="1:26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</row>
    <row r="80" spans="1:26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</row>
    <row r="81" spans="1:26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</row>
    <row r="82" spans="1:26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</row>
    <row r="83" spans="1:26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</row>
    <row r="84" spans="1:26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</row>
    <row r="85" spans="1:26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</row>
    <row r="86" spans="1:2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</row>
    <row r="87" spans="1:26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</row>
    <row r="88" spans="1:26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</row>
    <row r="89" spans="1:26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</row>
    <row r="90" spans="1:26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</row>
    <row r="91" spans="1:26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</row>
    <row r="92" spans="1:26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</row>
    <row r="93" spans="1:26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</row>
    <row r="94" spans="1:26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</row>
    <row r="95" spans="1:26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</row>
    <row r="96" spans="1:2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</row>
    <row r="97" spans="1:26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</row>
    <row r="98" spans="1:26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</row>
    <row r="99" spans="1:26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</row>
    <row r="100" spans="1:26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</row>
    <row r="101" spans="1:26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</row>
    <row r="102" spans="1:26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</row>
    <row r="103" spans="1:26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</row>
    <row r="104" spans="1:26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</row>
    <row r="105" spans="1:26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</row>
    <row r="106" spans="1:2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</row>
    <row r="107" spans="1:26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</row>
    <row r="108" spans="1:26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</row>
    <row r="109" spans="1:26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</row>
    <row r="110" spans="1:26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</row>
    <row r="111" spans="1:26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</row>
    <row r="112" spans="1:26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</row>
    <row r="113" spans="1:26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</row>
    <row r="114" spans="1:26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</row>
    <row r="115" spans="1:26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</row>
    <row r="116" spans="1:2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</row>
    <row r="117" spans="1:26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</row>
    <row r="118" spans="1:26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</row>
    <row r="119" spans="1:26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</row>
    <row r="120" spans="1:26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</row>
    <row r="121" spans="1:26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</row>
    <row r="122" spans="1:26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</row>
    <row r="123" spans="1:26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</row>
    <row r="124" spans="1:26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</row>
    <row r="125" spans="1:26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</row>
    <row r="126" spans="1: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</row>
    <row r="127" spans="1:26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</row>
    <row r="128" spans="1:26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</row>
    <row r="129" spans="1:26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</row>
    <row r="130" spans="1:26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</row>
    <row r="131" spans="1:26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</row>
    <row r="132" spans="1:26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</row>
    <row r="133" spans="1:26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</row>
    <row r="134" spans="1:26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</row>
    <row r="135" spans="1:26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</row>
    <row r="136" spans="1:2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</row>
    <row r="137" spans="1:26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</row>
    <row r="138" spans="1:26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</row>
    <row r="139" spans="1:26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</row>
    <row r="140" spans="1:26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</row>
    <row r="141" spans="1:26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</row>
    <row r="142" spans="1:26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</row>
    <row r="143" spans="1:26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</row>
    <row r="144" spans="1:26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</row>
    <row r="145" spans="1:26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</row>
    <row r="146" spans="1:2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</row>
    <row r="147" spans="1:26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</row>
    <row r="148" spans="1:26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</row>
    <row r="149" spans="1:26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</row>
    <row r="150" spans="1:26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</row>
    <row r="151" spans="1:26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</row>
    <row r="152" spans="1:26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</row>
    <row r="153" spans="1:26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</row>
    <row r="154" spans="1:26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</row>
    <row r="155" spans="1:26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</row>
    <row r="156" spans="1:2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</row>
    <row r="157" spans="1:26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</row>
    <row r="158" spans="1:26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</row>
    <row r="159" spans="1:26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</row>
    <row r="160" spans="1:26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</row>
    <row r="161" spans="1:26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</row>
    <row r="162" spans="1:26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</row>
    <row r="163" spans="1:26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</row>
    <row r="164" spans="1:26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</row>
    <row r="165" spans="1:26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</row>
    <row r="166" spans="1:2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</row>
    <row r="167" spans="1:26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</row>
    <row r="168" spans="1:26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</row>
    <row r="169" spans="1:26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</row>
    <row r="170" spans="1:26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</row>
    <row r="171" spans="1:26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</row>
    <row r="172" spans="1:26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</row>
    <row r="173" spans="1:26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</row>
    <row r="174" spans="1:26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</row>
    <row r="175" spans="1:26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</row>
    <row r="176" spans="1:2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</row>
    <row r="177" spans="1:26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</row>
    <row r="178" spans="1:26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</row>
    <row r="179" spans="1:26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</row>
    <row r="180" spans="1:26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</row>
    <row r="181" spans="1:26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</row>
    <row r="182" spans="1:26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</row>
    <row r="183" spans="1:26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</row>
    <row r="184" spans="1:26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</row>
    <row r="185" spans="1:26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</row>
    <row r="186" spans="1:2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</row>
    <row r="187" spans="1:26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</row>
    <row r="188" spans="1:26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</row>
    <row r="189" spans="1:26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</row>
    <row r="190" spans="1:26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</row>
    <row r="191" spans="1:26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</row>
    <row r="192" spans="1:26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</row>
    <row r="193" spans="1:26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</row>
    <row r="194" spans="1:26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</row>
    <row r="195" spans="1:26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</row>
    <row r="196" spans="1:2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</row>
    <row r="197" spans="1:26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</row>
    <row r="198" spans="1:26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</row>
    <row r="199" spans="1:26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</row>
    <row r="200" spans="1:26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</row>
    <row r="201" spans="1:26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</row>
    <row r="202" spans="1:26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</row>
    <row r="203" spans="1:26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</row>
    <row r="204" spans="1:26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</row>
    <row r="205" spans="1:26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</row>
    <row r="206" spans="1:2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</row>
    <row r="207" spans="1:26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</row>
    <row r="208" spans="1:26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 spans="1:26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</row>
    <row r="210" spans="1:26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</row>
    <row r="211" spans="1:26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</row>
    <row r="212" spans="1:26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</row>
    <row r="213" spans="1:26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</row>
    <row r="214" spans="1:26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</row>
    <row r="215" spans="1:26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</row>
    <row r="216" spans="1:2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</row>
    <row r="217" spans="1:26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</row>
    <row r="218" spans="1:26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</row>
    <row r="219" spans="1:26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spans="1:26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</row>
    <row r="221" spans="1:26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</row>
    <row r="222" spans="1:26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</row>
    <row r="223" spans="1:26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</row>
    <row r="224" spans="1:26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</row>
    <row r="225" spans="1:26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</row>
    <row r="226" spans="1: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</row>
    <row r="227" spans="1:26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</row>
    <row r="228" spans="1:26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</row>
    <row r="229" spans="1:26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</row>
    <row r="230" spans="1:26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</row>
    <row r="231" spans="1:26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</row>
    <row r="232" spans="1:26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</row>
    <row r="233" spans="1:26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</row>
    <row r="234" spans="1:26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spans="1:26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</row>
    <row r="236" spans="1:2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</row>
    <row r="237" spans="1:26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</row>
    <row r="238" spans="1:26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</row>
    <row r="239" spans="1:26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</row>
    <row r="240" spans="1:26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</row>
    <row r="241" spans="1:26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</row>
    <row r="242" spans="1:26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</row>
    <row r="243" spans="1:26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</row>
    <row r="244" spans="1:26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</row>
    <row r="245" spans="1:26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</row>
    <row r="246" spans="1:2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</row>
    <row r="247" spans="1:26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</row>
    <row r="248" spans="1:26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</row>
    <row r="249" spans="1:26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</row>
    <row r="250" spans="1:26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</row>
    <row r="251" spans="1:26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</row>
    <row r="252" spans="1:26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</row>
    <row r="253" spans="1:26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</row>
    <row r="254" spans="1:26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</row>
    <row r="255" spans="1:26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</row>
    <row r="256" spans="1:2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</row>
    <row r="257" spans="1:26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</row>
    <row r="258" spans="1:26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</row>
    <row r="259" spans="1:26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</row>
    <row r="260" spans="1:26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</row>
    <row r="261" spans="1:26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</row>
    <row r="262" spans="1:26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</row>
    <row r="263" spans="1:26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</row>
    <row r="264" spans="1:26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</row>
    <row r="265" spans="1:26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</row>
    <row r="266" spans="1:2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</row>
    <row r="267" spans="1:26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</row>
    <row r="268" spans="1:26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</row>
    <row r="269" spans="1:26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</row>
    <row r="270" spans="1:26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</row>
    <row r="271" spans="1:26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</row>
    <row r="272" spans="1:26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</row>
    <row r="273" spans="1:26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</row>
    <row r="274" spans="1:26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</row>
    <row r="275" spans="1:26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</row>
    <row r="276" spans="1:2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</row>
    <row r="277" spans="1:26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</row>
    <row r="278" spans="1:26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</row>
    <row r="279" spans="1:26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</row>
    <row r="280" spans="1:26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</row>
    <row r="281" spans="1:26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</row>
    <row r="282" spans="1:26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</row>
    <row r="283" spans="1:26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</row>
    <row r="284" spans="1:26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</row>
    <row r="285" spans="1:26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</row>
    <row r="286" spans="1:2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</row>
    <row r="287" spans="1:26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</row>
    <row r="288" spans="1:26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</row>
    <row r="289" spans="1:26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</row>
    <row r="290" spans="1:26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</row>
    <row r="291" spans="1:26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</row>
    <row r="292" spans="1:26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</row>
    <row r="293" spans="1:26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</row>
    <row r="294" spans="1:26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</row>
    <row r="295" spans="1:26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</row>
    <row r="296" spans="1:2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</row>
    <row r="297" spans="1:26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</row>
    <row r="298" spans="1:26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</row>
    <row r="299" spans="1:26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</row>
    <row r="300" spans="1:26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</row>
    <row r="301" spans="1:26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</row>
    <row r="302" spans="1:26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</row>
    <row r="303" spans="1:26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</row>
    <row r="304" spans="1:26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</row>
    <row r="305" spans="1:26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</row>
    <row r="306" spans="1:2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</row>
    <row r="307" spans="1:26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</row>
    <row r="308" spans="1:26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</row>
    <row r="309" spans="1:26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</row>
    <row r="310" spans="1:26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</row>
    <row r="311" spans="1:26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</row>
    <row r="312" spans="1:26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</row>
    <row r="313" spans="1:26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</row>
    <row r="314" spans="1:26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</row>
    <row r="315" spans="1:26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</row>
    <row r="316" spans="1:2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</row>
    <row r="317" spans="1:26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</row>
    <row r="318" spans="1:26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</row>
    <row r="319" spans="1:26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</row>
    <row r="320" spans="1:26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</row>
    <row r="321" spans="1:26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</row>
    <row r="322" spans="1:26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</row>
    <row r="323" spans="1:26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</row>
    <row r="324" spans="1:26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</row>
    <row r="325" spans="1:26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</row>
    <row r="326" spans="1: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</row>
    <row r="327" spans="1:26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</row>
    <row r="328" spans="1:26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</row>
    <row r="329" spans="1:26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</row>
    <row r="330" spans="1:26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</row>
    <row r="331" spans="1:26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</row>
    <row r="332" spans="1:26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</row>
    <row r="333" spans="1:26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</row>
    <row r="334" spans="1:26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</row>
    <row r="335" spans="1:26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</row>
    <row r="336" spans="1:2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</row>
    <row r="337" spans="1:26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</row>
    <row r="338" spans="1:26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</row>
    <row r="339" spans="1:26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</row>
    <row r="340" spans="1:26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</row>
    <row r="341" spans="1:26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</row>
    <row r="342" spans="1:26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</row>
    <row r="343" spans="1:26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</row>
    <row r="344" spans="1:26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</row>
    <row r="345" spans="1:26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</row>
    <row r="346" spans="1:2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</row>
    <row r="347" spans="1:26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</row>
    <row r="348" spans="1:26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</row>
    <row r="349" spans="1:26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</row>
    <row r="350" spans="1:26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</row>
    <row r="351" spans="1:26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</row>
    <row r="352" spans="1:26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</row>
    <row r="353" spans="1:26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</row>
    <row r="354" spans="1:26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</row>
    <row r="355" spans="1:26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</row>
    <row r="356" spans="1:2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</row>
    <row r="357" spans="1:26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</row>
    <row r="358" spans="1:26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</row>
    <row r="359" spans="1:26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</row>
    <row r="360" spans="1:26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</row>
    <row r="361" spans="1:26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</row>
    <row r="362" spans="1:26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</row>
    <row r="363" spans="1:26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</row>
    <row r="364" spans="1:26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</row>
    <row r="365" spans="1:26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</row>
    <row r="366" spans="1:2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</row>
    <row r="367" spans="1:26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</row>
    <row r="368" spans="1:26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</row>
    <row r="369" spans="1:26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</row>
    <row r="370" spans="1:26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</row>
    <row r="371" spans="1:26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</row>
    <row r="372" spans="1:26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</row>
    <row r="373" spans="1:26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</row>
    <row r="374" spans="1:26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</row>
    <row r="375" spans="1:26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</row>
    <row r="376" spans="1:2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</row>
    <row r="377" spans="1:26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</row>
    <row r="378" spans="1:26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</row>
    <row r="379" spans="1:26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</row>
    <row r="380" spans="1:26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</row>
    <row r="381" spans="1:26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</row>
    <row r="382" spans="1:26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</row>
    <row r="383" spans="1:26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</row>
    <row r="384" spans="1:26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</row>
    <row r="385" spans="1:26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</row>
    <row r="386" spans="1:2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</row>
    <row r="387" spans="1:26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</row>
    <row r="388" spans="1:26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</row>
    <row r="389" spans="1:26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</row>
    <row r="390" spans="1:26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</row>
    <row r="391" spans="1:26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</row>
    <row r="392" spans="1:26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</row>
    <row r="393" spans="1:26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</row>
    <row r="394" spans="1:26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</row>
    <row r="395" spans="1:26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</row>
    <row r="396" spans="1:2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</row>
    <row r="397" spans="1:26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</row>
    <row r="398" spans="1:26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</row>
    <row r="399" spans="1:26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</row>
    <row r="400" spans="1:26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</row>
    <row r="401" spans="1:26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</row>
    <row r="402" spans="1:26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</row>
    <row r="403" spans="1:26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</row>
    <row r="404" spans="1:26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</row>
    <row r="405" spans="1:26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</row>
    <row r="406" spans="1:2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</row>
    <row r="407" spans="1:26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</row>
    <row r="408" spans="1:26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</row>
    <row r="409" spans="1:26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</row>
    <row r="410" spans="1:26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</row>
    <row r="411" spans="1:26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</row>
    <row r="412" spans="1:26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</row>
    <row r="413" spans="1:26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</row>
    <row r="414" spans="1:26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</row>
    <row r="415" spans="1:26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</row>
    <row r="416" spans="1:2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</row>
    <row r="417" spans="1:26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</row>
    <row r="418" spans="1:26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</row>
    <row r="419" spans="1:26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</row>
    <row r="420" spans="1:26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</row>
    <row r="421" spans="1:26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</row>
    <row r="422" spans="1:26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</row>
    <row r="423" spans="1:26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</row>
    <row r="424" spans="1:26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</row>
    <row r="425" spans="1:26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</row>
    <row r="426" spans="1: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</row>
    <row r="427" spans="1:26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</row>
    <row r="428" spans="1:26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</row>
    <row r="429" spans="1:26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</row>
    <row r="430" spans="1:26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</row>
    <row r="431" spans="1:26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</row>
    <row r="432" spans="1:26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</row>
    <row r="433" spans="1:26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</row>
    <row r="434" spans="1:26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</row>
    <row r="435" spans="1:26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</row>
    <row r="436" spans="1:2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</row>
    <row r="437" spans="1:26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</row>
    <row r="438" spans="1:26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</row>
    <row r="439" spans="1:26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</row>
    <row r="440" spans="1:26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</row>
    <row r="441" spans="1:26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</row>
    <row r="442" spans="1:26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</row>
    <row r="443" spans="1:26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</row>
    <row r="444" spans="1:26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</row>
    <row r="445" spans="1:26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</row>
    <row r="446" spans="1:2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</row>
    <row r="447" spans="1:26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</row>
    <row r="448" spans="1:26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</row>
    <row r="449" spans="1:26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</row>
    <row r="450" spans="1:26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</row>
    <row r="451" spans="1:26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</row>
    <row r="452" spans="1:26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</row>
    <row r="453" spans="1:26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</row>
    <row r="454" spans="1:26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</row>
    <row r="455" spans="1:26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</row>
    <row r="456" spans="1:2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</row>
    <row r="457" spans="1:26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</row>
    <row r="458" spans="1:26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</row>
    <row r="459" spans="1:26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</row>
    <row r="460" spans="1:26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</row>
    <row r="461" spans="1:26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</row>
    <row r="462" spans="1:26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</row>
    <row r="463" spans="1:26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</row>
    <row r="464" spans="1:26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</row>
    <row r="465" spans="1:26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</row>
    <row r="466" spans="1:2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</row>
    <row r="467" spans="1:26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</row>
    <row r="468" spans="1:26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</row>
    <row r="469" spans="1:26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</row>
    <row r="470" spans="1:26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</row>
    <row r="471" spans="1:26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</row>
    <row r="472" spans="1:26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</row>
    <row r="473" spans="1:26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</row>
    <row r="474" spans="1:26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</row>
    <row r="475" spans="1:26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</row>
    <row r="476" spans="1:2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</row>
    <row r="477" spans="1:26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</row>
    <row r="478" spans="1:26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</row>
    <row r="479" spans="1:26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</row>
    <row r="480" spans="1:26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</row>
    <row r="481" spans="1:26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</row>
    <row r="482" spans="1:26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</row>
    <row r="483" spans="1:26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</row>
    <row r="484" spans="1:26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</row>
    <row r="485" spans="1:26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</row>
    <row r="486" spans="1:2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</row>
    <row r="487" spans="1:26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</row>
    <row r="488" spans="1:26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</row>
    <row r="489" spans="1:26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</row>
    <row r="490" spans="1:26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</row>
    <row r="491" spans="1:26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</row>
    <row r="492" spans="1:26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</row>
    <row r="493" spans="1:26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</row>
    <row r="494" spans="1:26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</row>
    <row r="495" spans="1:26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</row>
    <row r="496" spans="1:2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</row>
    <row r="497" spans="1:26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</row>
    <row r="498" spans="1:26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</row>
    <row r="499" spans="1:26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</row>
    <row r="500" spans="1:26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</row>
    <row r="501" spans="1:26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</row>
    <row r="502" spans="1:26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</row>
    <row r="503" spans="1:26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</row>
    <row r="504" spans="1:26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</row>
    <row r="505" spans="1:26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</row>
    <row r="506" spans="1:2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</row>
    <row r="507" spans="1:26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</row>
    <row r="508" spans="1:26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</row>
    <row r="509" spans="1:26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</row>
    <row r="510" spans="1:26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</row>
    <row r="511" spans="1:26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</row>
    <row r="512" spans="1:26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</row>
    <row r="513" spans="1:26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</row>
    <row r="514" spans="1:26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</row>
    <row r="515" spans="1:26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</row>
    <row r="516" spans="1:2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</row>
    <row r="517" spans="1:26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</row>
    <row r="518" spans="1:26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</row>
    <row r="519" spans="1:26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</row>
    <row r="520" spans="1:26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</row>
    <row r="521" spans="1:26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</row>
    <row r="522" spans="1:26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</row>
    <row r="523" spans="1:26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</row>
    <row r="524" spans="1:26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</row>
    <row r="525" spans="1:26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</row>
    <row r="526" spans="1: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</row>
    <row r="527" spans="1:26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</row>
    <row r="528" spans="1:26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</row>
    <row r="529" spans="1:26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</row>
    <row r="530" spans="1:26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</row>
    <row r="531" spans="1:26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</row>
    <row r="532" spans="1:26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</row>
    <row r="533" spans="1:26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</row>
    <row r="534" spans="1:26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</row>
    <row r="535" spans="1:26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</row>
    <row r="536" spans="1:2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</row>
    <row r="537" spans="1:26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</row>
    <row r="538" spans="1:26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</row>
    <row r="539" spans="1:26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</row>
    <row r="540" spans="1:26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</row>
    <row r="541" spans="1:26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</row>
    <row r="542" spans="1:26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</row>
    <row r="543" spans="1:26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</row>
    <row r="544" spans="1:26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</row>
    <row r="545" spans="1:26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</row>
    <row r="546" spans="1:2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</row>
    <row r="547" spans="1:26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</row>
    <row r="548" spans="1:26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</row>
    <row r="549" spans="1:26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</row>
    <row r="550" spans="1:26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</row>
    <row r="551" spans="1:26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</row>
    <row r="552" spans="1:26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</row>
    <row r="553" spans="1:26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</row>
    <row r="554" spans="1:26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</row>
    <row r="555" spans="1:26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</row>
    <row r="556" spans="1:2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</row>
    <row r="557" spans="1:26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</row>
    <row r="558" spans="1:26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</row>
    <row r="559" spans="1:26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</row>
    <row r="560" spans="1:26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</row>
    <row r="561" spans="1:26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</row>
    <row r="562" spans="1:26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</row>
    <row r="563" spans="1:26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</row>
    <row r="564" spans="1:26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</row>
    <row r="565" spans="1:26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</row>
    <row r="566" spans="1:2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</row>
    <row r="567" spans="1:26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</row>
    <row r="568" spans="1:26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</row>
    <row r="569" spans="1:26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</row>
    <row r="570" spans="1:26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</row>
    <row r="571" spans="1:26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</row>
    <row r="572" spans="1:26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</row>
    <row r="573" spans="1:26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</row>
    <row r="574" spans="1:26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</row>
    <row r="575" spans="1:26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</row>
    <row r="576" spans="1:2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</row>
    <row r="577" spans="1:26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</row>
    <row r="578" spans="1:26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</row>
    <row r="579" spans="1:26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</row>
    <row r="580" spans="1:26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</row>
    <row r="581" spans="1:26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</row>
    <row r="582" spans="1:26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</row>
    <row r="583" spans="1:26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</row>
    <row r="584" spans="1:26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</row>
    <row r="585" spans="1:26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</row>
    <row r="586" spans="1:2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</row>
    <row r="587" spans="1:26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</row>
    <row r="588" spans="1:26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</row>
    <row r="589" spans="1:26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</row>
    <row r="590" spans="1:26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</row>
    <row r="591" spans="1:26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</row>
    <row r="592" spans="1:26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</row>
    <row r="593" spans="1:26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</row>
    <row r="594" spans="1:26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</row>
    <row r="595" spans="1:26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</row>
    <row r="596" spans="1:2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</row>
    <row r="597" spans="1:26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</row>
    <row r="598" spans="1:26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</row>
    <row r="599" spans="1:26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</row>
    <row r="600" spans="1:26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</row>
    <row r="601" spans="1:26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</row>
    <row r="602" spans="1:26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</row>
    <row r="603" spans="1:26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</row>
    <row r="604" spans="1:26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</row>
    <row r="605" spans="1:26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</row>
    <row r="606" spans="1:2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</row>
    <row r="607" spans="1:26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</row>
    <row r="608" spans="1:26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</row>
    <row r="609" spans="1:26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</row>
    <row r="610" spans="1:26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</row>
    <row r="611" spans="1:26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</row>
    <row r="612" spans="1:26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</row>
    <row r="613" spans="1:26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</row>
    <row r="614" spans="1:26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</row>
    <row r="615" spans="1:26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</row>
    <row r="616" spans="1:2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</row>
    <row r="617" spans="1:26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</row>
    <row r="618" spans="1:26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</row>
    <row r="619" spans="1:26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</row>
    <row r="620" spans="1:26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</row>
    <row r="621" spans="1:26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</row>
    <row r="622" spans="1:26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</row>
    <row r="623" spans="1:26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</row>
    <row r="624" spans="1:26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</row>
    <row r="625" spans="1:26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</row>
    <row r="626" spans="1: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</row>
    <row r="627" spans="1:26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</row>
    <row r="628" spans="1:26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</row>
    <row r="629" spans="1:26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</row>
    <row r="630" spans="1:26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</row>
    <row r="631" spans="1:26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</row>
    <row r="632" spans="1:26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</row>
    <row r="633" spans="1:26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</row>
    <row r="634" spans="1:26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</row>
    <row r="635" spans="1:26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</row>
    <row r="636" spans="1:2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</row>
    <row r="637" spans="1:26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</row>
    <row r="638" spans="1:26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</row>
    <row r="639" spans="1:26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</row>
    <row r="640" spans="1:26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</row>
    <row r="641" spans="1:26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</row>
    <row r="642" spans="1:26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</row>
    <row r="643" spans="1:26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</row>
    <row r="644" spans="1:26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</row>
    <row r="645" spans="1:26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</row>
    <row r="646" spans="1:2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</row>
    <row r="647" spans="1:26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</row>
    <row r="648" spans="1:26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</row>
    <row r="649" spans="1:26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</row>
    <row r="650" spans="1:26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</row>
    <row r="651" spans="1:26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</row>
    <row r="652" spans="1:26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</row>
    <row r="653" spans="1:26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</row>
    <row r="654" spans="1:26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</row>
    <row r="655" spans="1:26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</row>
    <row r="656" spans="1:2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</row>
    <row r="657" spans="1:26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</row>
    <row r="658" spans="1:26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</row>
    <row r="659" spans="1:26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</row>
    <row r="660" spans="1:26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</row>
    <row r="661" spans="1:26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</row>
    <row r="662" spans="1:26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</row>
    <row r="663" spans="1:26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</row>
    <row r="664" spans="1:26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</row>
    <row r="665" spans="1:26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</row>
    <row r="666" spans="1:2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</row>
    <row r="667" spans="1:26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</row>
    <row r="668" spans="1:26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</row>
    <row r="669" spans="1:26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</row>
    <row r="670" spans="1:26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</row>
    <row r="671" spans="1:26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</row>
    <row r="672" spans="1:26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</row>
    <row r="673" spans="1:26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</row>
    <row r="674" spans="1:26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</row>
    <row r="675" spans="1:26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</row>
    <row r="676" spans="1:2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</row>
    <row r="677" spans="1:26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</row>
    <row r="678" spans="1:26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</row>
    <row r="679" spans="1:26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</row>
    <row r="680" spans="1:26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</row>
    <row r="681" spans="1:26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</row>
    <row r="682" spans="1:26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</row>
    <row r="683" spans="1:26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</row>
    <row r="684" spans="1:26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</row>
    <row r="685" spans="1:26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</row>
    <row r="686" spans="1:2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</row>
    <row r="687" spans="1:26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</row>
    <row r="688" spans="1:26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</row>
    <row r="689" spans="1:26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</row>
    <row r="690" spans="1:26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</row>
    <row r="691" spans="1:26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</row>
    <row r="692" spans="1:26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</row>
    <row r="693" spans="1:26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</row>
    <row r="694" spans="1:26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</row>
    <row r="695" spans="1:26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</row>
    <row r="696" spans="1:2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</row>
    <row r="697" spans="1:26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</row>
    <row r="698" spans="1:26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</row>
    <row r="699" spans="1:26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</row>
    <row r="700" spans="1:26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</row>
    <row r="701" spans="1:26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</row>
    <row r="702" spans="1:26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</row>
    <row r="703" spans="1:26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</row>
    <row r="704" spans="1:26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</row>
    <row r="705" spans="1:26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</row>
    <row r="706" spans="1:2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</row>
    <row r="707" spans="1:26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</row>
    <row r="708" spans="1:26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</row>
    <row r="709" spans="1:26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</row>
    <row r="710" spans="1:26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</row>
    <row r="711" spans="1:26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</row>
    <row r="712" spans="1:26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</row>
    <row r="713" spans="1:26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</row>
    <row r="714" spans="1:26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</row>
    <row r="715" spans="1:26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</row>
    <row r="716" spans="1:2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</row>
    <row r="717" spans="1:26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</row>
    <row r="718" spans="1:26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</row>
    <row r="719" spans="1:26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</row>
    <row r="720" spans="1:26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</row>
    <row r="721" spans="1:26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</row>
    <row r="722" spans="1:26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</row>
    <row r="723" spans="1:26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</row>
    <row r="724" spans="1:26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</row>
    <row r="725" spans="1:26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</row>
    <row r="726" spans="1: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</row>
    <row r="727" spans="1:26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</row>
    <row r="728" spans="1:26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</row>
    <row r="729" spans="1:26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</row>
    <row r="730" spans="1:26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</row>
    <row r="731" spans="1:26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</row>
    <row r="732" spans="1:26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</row>
    <row r="733" spans="1:26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</row>
    <row r="734" spans="1:26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</row>
    <row r="735" spans="1:26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</row>
    <row r="736" spans="1:2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</row>
    <row r="737" spans="1:26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</row>
    <row r="738" spans="1:26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</row>
    <row r="739" spans="1:26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</row>
    <row r="740" spans="1:26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</row>
    <row r="741" spans="1:26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</row>
    <row r="742" spans="1:26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</row>
    <row r="743" spans="1:26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</row>
    <row r="744" spans="1:26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</row>
    <row r="745" spans="1:26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</row>
    <row r="746" spans="1:2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</row>
    <row r="747" spans="1:26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</row>
    <row r="748" spans="1:26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</row>
    <row r="749" spans="1:26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</row>
    <row r="750" spans="1:26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</row>
    <row r="751" spans="1:26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</row>
    <row r="752" spans="1:26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</row>
    <row r="753" spans="1:26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</row>
    <row r="754" spans="1:26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</row>
    <row r="755" spans="1:26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</row>
    <row r="756" spans="1:2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</row>
    <row r="757" spans="1:26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</row>
    <row r="758" spans="1:26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</row>
    <row r="759" spans="1:26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</row>
    <row r="760" spans="1:26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</row>
    <row r="761" spans="1:26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</row>
    <row r="762" spans="1:26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</row>
    <row r="763" spans="1:26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</row>
    <row r="764" spans="1:26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</row>
    <row r="765" spans="1:26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</row>
    <row r="766" spans="1:2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</row>
    <row r="767" spans="1:26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</row>
    <row r="768" spans="1:26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</row>
    <row r="769" spans="1:26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</row>
    <row r="770" spans="1:26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</row>
    <row r="771" spans="1:26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</row>
    <row r="772" spans="1:26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</row>
    <row r="773" spans="1:26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</row>
    <row r="774" spans="1:26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</row>
    <row r="775" spans="1:26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</row>
    <row r="776" spans="1:2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</row>
    <row r="777" spans="1:26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</row>
    <row r="778" spans="1:26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</row>
    <row r="779" spans="1:26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</row>
    <row r="780" spans="1:26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</row>
    <row r="781" spans="1:26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</row>
    <row r="782" spans="1:26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</row>
    <row r="783" spans="1:26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</row>
    <row r="784" spans="1:26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</row>
    <row r="785" spans="1:26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</row>
    <row r="786" spans="1:2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</row>
    <row r="787" spans="1:26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</row>
    <row r="788" spans="1:26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</row>
    <row r="789" spans="1:26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</row>
    <row r="790" spans="1:26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</row>
    <row r="791" spans="1:26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</row>
    <row r="792" spans="1:26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</row>
    <row r="793" spans="1:26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</row>
    <row r="794" spans="1:26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</row>
    <row r="795" spans="1:26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</row>
    <row r="796" spans="1:2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</row>
    <row r="797" spans="1:26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</row>
    <row r="798" spans="1:26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</row>
    <row r="799" spans="1:26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</row>
    <row r="800" spans="1:26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</row>
    <row r="801" spans="1:26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</row>
    <row r="802" spans="1:26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</row>
    <row r="803" spans="1:26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</row>
    <row r="804" spans="1:26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</row>
    <row r="805" spans="1:26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</row>
    <row r="806" spans="1:2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</row>
    <row r="807" spans="1:26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</row>
    <row r="808" spans="1:26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</row>
    <row r="809" spans="1:26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</row>
    <row r="810" spans="1:26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</row>
    <row r="811" spans="1:26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</row>
    <row r="812" spans="1:26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</row>
    <row r="813" spans="1:26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</row>
    <row r="814" spans="1:26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</row>
    <row r="815" spans="1:26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</row>
    <row r="816" spans="1:2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</row>
    <row r="817" spans="1:26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</row>
    <row r="818" spans="1:26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</row>
    <row r="819" spans="1:26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</row>
    <row r="820" spans="1:26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</row>
    <row r="821" spans="1:26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</row>
    <row r="822" spans="1:26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</row>
    <row r="823" spans="1:26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</row>
    <row r="824" spans="1:26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</row>
    <row r="825" spans="1:26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</row>
    <row r="826" spans="1: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</row>
    <row r="827" spans="1:26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</row>
    <row r="828" spans="1:26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</row>
    <row r="829" spans="1:26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</row>
    <row r="830" spans="1:26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</row>
    <row r="831" spans="1:26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</row>
    <row r="832" spans="1:26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</row>
    <row r="833" spans="1:26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</row>
    <row r="834" spans="1:26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</row>
    <row r="835" spans="1:26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</row>
    <row r="836" spans="1:2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</row>
    <row r="837" spans="1:26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</row>
    <row r="838" spans="1:26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</row>
    <row r="839" spans="1:26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</row>
    <row r="840" spans="1:26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</row>
    <row r="841" spans="1:26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</row>
    <row r="842" spans="1:26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</row>
    <row r="843" spans="1:26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</row>
    <row r="844" spans="1:26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</row>
    <row r="845" spans="1:26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</row>
    <row r="846" spans="1:2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</row>
    <row r="847" spans="1:26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</row>
    <row r="848" spans="1:26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</row>
    <row r="849" spans="1:26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</row>
    <row r="850" spans="1:26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</row>
    <row r="851" spans="1:26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</row>
    <row r="852" spans="1:26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</row>
    <row r="853" spans="1:26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</row>
    <row r="854" spans="1:26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</row>
    <row r="855" spans="1:26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</row>
    <row r="856" spans="1:2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</row>
    <row r="857" spans="1:26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</row>
    <row r="858" spans="1:26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</row>
    <row r="859" spans="1:26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</row>
    <row r="860" spans="1:26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</row>
    <row r="861" spans="1:26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</row>
    <row r="862" spans="1:26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</row>
    <row r="863" spans="1:26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</row>
    <row r="864" spans="1:26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</row>
    <row r="865" spans="1:26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</row>
    <row r="866" spans="1:2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</row>
    <row r="867" spans="1:26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</row>
    <row r="868" spans="1:26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</row>
    <row r="869" spans="1:26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</row>
    <row r="870" spans="1:26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</row>
    <row r="871" spans="1:26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</row>
    <row r="872" spans="1:26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</row>
    <row r="873" spans="1:26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</row>
    <row r="874" spans="1:26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</row>
    <row r="875" spans="1:26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</row>
    <row r="876" spans="1:2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</row>
    <row r="877" spans="1:26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</row>
    <row r="878" spans="1:26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</row>
    <row r="879" spans="1:26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</row>
    <row r="880" spans="1:26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</row>
    <row r="881" spans="1:26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</row>
    <row r="882" spans="1:26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</row>
    <row r="883" spans="1:26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</row>
    <row r="884" spans="1:26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</row>
    <row r="885" spans="1:26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</row>
    <row r="886" spans="1:2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</row>
    <row r="887" spans="1:26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</row>
    <row r="888" spans="1:26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</row>
    <row r="889" spans="1:26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</row>
    <row r="890" spans="1:26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</row>
    <row r="891" spans="1:26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</row>
    <row r="892" spans="1:26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</row>
    <row r="893" spans="1:26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</row>
    <row r="894" spans="1:26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</row>
    <row r="895" spans="1:26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</row>
    <row r="896" spans="1:2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</row>
    <row r="897" spans="1:26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</row>
    <row r="898" spans="1:26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</row>
    <row r="899" spans="1:26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</row>
    <row r="900" spans="1:26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</row>
    <row r="901" spans="1:26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</row>
    <row r="902" spans="1:26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</row>
    <row r="903" spans="1:26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</row>
    <row r="904" spans="1:26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</row>
    <row r="905" spans="1:26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</row>
    <row r="906" spans="1:2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</row>
    <row r="907" spans="1:26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</row>
    <row r="908" spans="1:26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</row>
    <row r="909" spans="1:26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</row>
    <row r="910" spans="1:26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</row>
    <row r="911" spans="1:26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</row>
    <row r="912" spans="1:26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</row>
    <row r="913" spans="1:26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</row>
    <row r="914" spans="1:26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</row>
    <row r="915" spans="1:26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</row>
    <row r="916" spans="1:2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</row>
    <row r="917" spans="1:26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</row>
    <row r="918" spans="1:26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</row>
    <row r="919" spans="1:26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</row>
    <row r="920" spans="1:26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</row>
    <row r="921" spans="1:26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</row>
    <row r="922" spans="1:26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</row>
    <row r="923" spans="1:26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</row>
    <row r="924" spans="1:26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</row>
    <row r="925" spans="1:26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</row>
    <row r="926" spans="1: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</row>
    <row r="927" spans="1:26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</row>
    <row r="928" spans="1:26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</row>
    <row r="929" spans="1:26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</row>
    <row r="930" spans="1:26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</row>
    <row r="931" spans="1:26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</row>
    <row r="932" spans="1:26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</row>
    <row r="933" spans="1:26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</row>
    <row r="934" spans="1:26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</row>
    <row r="935" spans="1:26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</row>
    <row r="936" spans="1:2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</row>
    <row r="937" spans="1:26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</row>
    <row r="938" spans="1:26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</row>
    <row r="939" spans="1:26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</row>
    <row r="940" spans="1:26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</row>
    <row r="941" spans="1:26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</row>
    <row r="942" spans="1:26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</row>
    <row r="943" spans="1:26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</row>
    <row r="944" spans="1:26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</row>
    <row r="945" spans="1:26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</row>
    <row r="946" spans="1:2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</row>
    <row r="947" spans="1:26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</row>
    <row r="948" spans="1:26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</row>
    <row r="949" spans="1:26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</row>
    <row r="950" spans="1:26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</row>
    <row r="951" spans="1:26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</row>
    <row r="952" spans="1:26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</row>
    <row r="953" spans="1:26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</row>
    <row r="954" spans="1:26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</row>
    <row r="955" spans="1:26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</row>
    <row r="956" spans="1:2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</row>
    <row r="957" spans="1:26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</row>
    <row r="958" spans="1:26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</row>
    <row r="959" spans="1:26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</row>
    <row r="960" spans="1:26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</row>
    <row r="961" spans="1:26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</row>
    <row r="962" spans="1:26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</row>
    <row r="963" spans="1:26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</row>
    <row r="964" spans="1:26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</row>
    <row r="965" spans="1:26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</row>
    <row r="966" spans="1:26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</row>
    <row r="967" spans="1:26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</row>
    <row r="968" spans="1:26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</row>
    <row r="969" spans="1:26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</row>
    <row r="970" spans="1:26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</row>
    <row r="971" spans="1:26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</row>
    <row r="972" spans="1:26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</row>
    <row r="973" spans="1:26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</row>
    <row r="974" spans="1:26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</row>
    <row r="975" spans="1:26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</row>
    <row r="976" spans="1:26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</row>
    <row r="977" spans="1:26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</row>
    <row r="978" spans="1:26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</row>
    <row r="979" spans="1:26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</row>
    <row r="980" spans="1:26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</row>
    <row r="981" spans="1:26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</row>
    <row r="982" spans="1:26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</row>
    <row r="983" spans="1:26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</row>
    <row r="984" spans="1:26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</row>
    <row r="985" spans="1:26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</row>
    <row r="986" spans="1:26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</row>
    <row r="987" spans="1:26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</row>
    <row r="988" spans="1:26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</row>
    <row r="989" spans="1:26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</row>
    <row r="990" spans="1:26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</row>
    <row r="991" spans="1:26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</row>
    <row r="992" spans="1:26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</row>
    <row r="993" spans="1:26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</row>
    <row r="994" spans="1:26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</row>
    <row r="995" spans="1:26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</row>
    <row r="996" spans="1:26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</row>
    <row r="997" spans="1:26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</row>
    <row r="998" spans="1:26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</row>
    <row r="999" spans="1:26">
      <c r="A999" s="307"/>
      <c r="B999" s="307"/>
      <c r="C999" s="307"/>
      <c r="D999" s="307"/>
      <c r="E999" s="307"/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7"/>
      <c r="V999" s="307"/>
      <c r="W999" s="307"/>
      <c r="X999" s="307"/>
      <c r="Y999" s="307"/>
      <c r="Z999" s="307"/>
    </row>
    <row r="1000" spans="1:26">
      <c r="A1000" s="307"/>
      <c r="B1000" s="307"/>
      <c r="C1000" s="307"/>
      <c r="D1000" s="307"/>
      <c r="E1000" s="307"/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7"/>
      <c r="V1000" s="307"/>
      <c r="W1000" s="307"/>
      <c r="X1000" s="307"/>
      <c r="Y1000" s="307"/>
      <c r="Z1000" s="307"/>
    </row>
    <row r="1001" spans="1:26">
      <c r="A1001" s="307"/>
      <c r="B1001" s="307"/>
      <c r="C1001" s="307"/>
      <c r="D1001" s="307"/>
      <c r="E1001" s="307"/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7"/>
      <c r="V1001" s="307"/>
      <c r="W1001" s="307"/>
      <c r="X1001" s="307"/>
      <c r="Y1001" s="307"/>
      <c r="Z1001" s="307"/>
    </row>
    <row r="1002" spans="1:26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27"/>
      <c r="U1002" s="327"/>
      <c r="V1002" s="327"/>
      <c r="W1002" s="327"/>
      <c r="X1002" s="327"/>
      <c r="Y1002" s="327"/>
      <c r="Z1002" s="327"/>
    </row>
  </sheetData>
  <mergeCells count="45"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  <mergeCell ref="E16:G16"/>
    <mergeCell ref="H16:I16"/>
    <mergeCell ref="K16:M16"/>
    <mergeCell ref="E17:G17"/>
    <mergeCell ref="H17:I17"/>
    <mergeCell ref="K17:M17"/>
    <mergeCell ref="K18:M18"/>
    <mergeCell ref="K19:M19"/>
    <mergeCell ref="K20:M20"/>
    <mergeCell ref="K21:M21"/>
    <mergeCell ref="E11:G11"/>
    <mergeCell ref="H11:I11"/>
    <mergeCell ref="K11:M11"/>
    <mergeCell ref="E15:G15"/>
    <mergeCell ref="H15:I15"/>
    <mergeCell ref="K15:M15"/>
    <mergeCell ref="E7:G7"/>
    <mergeCell ref="H7:I7"/>
    <mergeCell ref="K7:M7"/>
    <mergeCell ref="H9:I9"/>
    <mergeCell ref="K9:M9"/>
    <mergeCell ref="E8:G8"/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</mergeCells>
  <hyperlinks>
    <hyperlink ref="N1" location="'Theo dõi hợp đồng'!A1" display="←"/>
  </hyperlinks>
  <printOptions horizontalCentered="1"/>
  <pageMargins left="0.7" right="0.7" top="0.75" bottom="0.75" header="0" footer="0"/>
  <pageSetup fitToHeight="0" pageOrder="overThenDown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2"/>
  <sheetViews>
    <sheetView tabSelected="1" workbookViewId="0">
      <selection activeCell="H15" sqref="H15:I15"/>
    </sheetView>
  </sheetViews>
  <sheetFormatPr defaultColWidth="14.42578125" defaultRowHeight="12.75" customHeight="1"/>
  <cols>
    <col min="1" max="1" width="6.42578125" customWidth="1"/>
    <col min="2" max="2" width="30.85546875" customWidth="1"/>
    <col min="3" max="3" width="14.85546875" bestFit="1" customWidth="1"/>
    <col min="4" max="4" width="10.5703125" bestFit="1" customWidth="1"/>
    <col min="5" max="5" width="7.140625" customWidth="1"/>
    <col min="10" max="10" width="17.28515625" customWidth="1"/>
  </cols>
  <sheetData>
    <row r="1" spans="1:26" ht="45">
      <c r="A1" s="412" t="s">
        <v>183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06" t="s">
        <v>148</v>
      </c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26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1:26">
      <c r="A3" s="413" t="s">
        <v>149</v>
      </c>
      <c r="B3" s="415" t="s">
        <v>150</v>
      </c>
      <c r="C3" s="415" t="s">
        <v>151</v>
      </c>
      <c r="D3" s="415" t="s">
        <v>152</v>
      </c>
      <c r="E3" s="415" t="s">
        <v>153</v>
      </c>
      <c r="F3" s="417" t="s">
        <v>154</v>
      </c>
      <c r="G3" s="416"/>
      <c r="H3" s="417" t="s">
        <v>155</v>
      </c>
      <c r="I3" s="416"/>
      <c r="J3" s="417" t="s">
        <v>156</v>
      </c>
      <c r="K3" s="418"/>
      <c r="L3" s="416"/>
      <c r="M3" s="415" t="s">
        <v>157</v>
      </c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ht="45">
      <c r="A4" s="414"/>
      <c r="B4" s="416"/>
      <c r="C4" s="416"/>
      <c r="D4" s="416"/>
      <c r="E4" s="416"/>
      <c r="F4" s="309" t="s">
        <v>158</v>
      </c>
      <c r="G4" s="309" t="s">
        <v>33</v>
      </c>
      <c r="H4" s="309" t="s">
        <v>158</v>
      </c>
      <c r="I4" s="309" t="s">
        <v>33</v>
      </c>
      <c r="J4" s="309" t="s">
        <v>159</v>
      </c>
      <c r="K4" s="310" t="s">
        <v>156</v>
      </c>
      <c r="L4" s="309" t="s">
        <v>160</v>
      </c>
      <c r="M4" s="416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</row>
    <row r="5" spans="1:26" ht="32.25" customHeight="1">
      <c r="A5" s="311">
        <v>1</v>
      </c>
      <c r="B5" s="312" t="s">
        <v>184</v>
      </c>
      <c r="C5" s="313" t="s">
        <v>161</v>
      </c>
      <c r="D5" s="314">
        <v>1</v>
      </c>
      <c r="E5" s="314" t="s">
        <v>162</v>
      </c>
      <c r="F5" s="315"/>
      <c r="G5" s="316">
        <f>F5*D5</f>
        <v>0</v>
      </c>
      <c r="H5" s="317">
        <f>C10</f>
        <v>1618950000</v>
      </c>
      <c r="I5" s="316">
        <f>H5*D5</f>
        <v>1618950000</v>
      </c>
      <c r="J5" s="316">
        <v>28020000</v>
      </c>
      <c r="K5" s="318"/>
      <c r="L5" s="316">
        <f>G5*0.07%</f>
        <v>0</v>
      </c>
      <c r="M5" s="316">
        <f>I5-G5</f>
        <v>1618950000</v>
      </c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>
      <c r="A6" s="307"/>
      <c r="B6" s="307"/>
      <c r="C6" s="307"/>
      <c r="D6" s="307"/>
      <c r="E6" s="307"/>
      <c r="F6" s="319"/>
      <c r="G6" s="319"/>
      <c r="H6" s="319"/>
      <c r="I6" s="319"/>
      <c r="J6" s="319"/>
      <c r="K6" s="319"/>
      <c r="L6" s="319"/>
      <c r="M6" s="319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</row>
    <row r="7" spans="1:26" ht="15">
      <c r="A7" s="307"/>
      <c r="B7" s="320" t="s">
        <v>163</v>
      </c>
      <c r="C7" s="307"/>
      <c r="D7" s="307"/>
      <c r="E7" s="419"/>
      <c r="F7" s="330"/>
      <c r="G7" s="330"/>
      <c r="H7" s="419"/>
      <c r="I7" s="330"/>
      <c r="J7" s="307"/>
      <c r="K7" s="419"/>
      <c r="L7" s="330"/>
      <c r="M7" s="330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1:26" ht="15">
      <c r="A8" s="307"/>
      <c r="B8" s="321" t="s">
        <v>164</v>
      </c>
      <c r="C8" s="322">
        <f>SUM(G5)</f>
        <v>0</v>
      </c>
      <c r="D8" s="323"/>
      <c r="E8" s="419"/>
      <c r="F8" s="330"/>
      <c r="G8" s="330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</row>
    <row r="9" spans="1:26" ht="15">
      <c r="A9" s="307"/>
      <c r="B9" s="321" t="s">
        <v>165</v>
      </c>
      <c r="C9" s="324">
        <f>'Theo dõi hợp đồng'!E81</f>
        <v>1748466000</v>
      </c>
      <c r="D9" s="307"/>
      <c r="E9" s="419"/>
      <c r="F9" s="330"/>
      <c r="G9" s="330"/>
      <c r="H9" s="420"/>
      <c r="I9" s="330"/>
      <c r="J9" s="307"/>
      <c r="K9" s="419"/>
      <c r="L9" s="330"/>
      <c r="M9" s="330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</row>
    <row r="10" spans="1:26" ht="15">
      <c r="A10" s="307"/>
      <c r="B10" s="321" t="s">
        <v>166</v>
      </c>
      <c r="C10" s="324">
        <f>C9/1.08</f>
        <v>1618950000</v>
      </c>
      <c r="D10" s="307"/>
      <c r="E10" s="307"/>
      <c r="F10" s="307"/>
      <c r="G10" s="307"/>
      <c r="H10" s="319"/>
      <c r="I10" s="319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</row>
    <row r="11" spans="1:26" ht="15">
      <c r="A11" s="307"/>
      <c r="B11" s="321" t="s">
        <v>156</v>
      </c>
      <c r="C11" s="322">
        <f>SUM(J5:L5)</f>
        <v>28020000</v>
      </c>
      <c r="D11" s="307"/>
      <c r="E11" s="419"/>
      <c r="F11" s="330"/>
      <c r="G11" s="330"/>
      <c r="H11" s="420"/>
      <c r="I11" s="330"/>
      <c r="J11" s="307"/>
      <c r="K11" s="419"/>
      <c r="L11" s="330"/>
      <c r="M11" s="330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</row>
    <row r="12" spans="1:26" ht="15">
      <c r="A12" s="307"/>
      <c r="B12" s="321" t="s">
        <v>167</v>
      </c>
      <c r="C12" s="322">
        <f>C10*5%</f>
        <v>80947500</v>
      </c>
      <c r="D12" s="319"/>
      <c r="E12" s="307"/>
      <c r="F12" s="307"/>
      <c r="G12" s="307"/>
      <c r="H12" s="319"/>
      <c r="I12" s="319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</row>
    <row r="13" spans="1:26" ht="15">
      <c r="A13" s="307"/>
      <c r="B13" s="325" t="s">
        <v>168</v>
      </c>
      <c r="C13" s="322">
        <f>C10*5%</f>
        <v>80947500</v>
      </c>
      <c r="D13" s="319"/>
      <c r="E13" s="307"/>
      <c r="F13" s="307"/>
      <c r="G13" s="307"/>
      <c r="H13" s="319"/>
      <c r="I13" s="319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</row>
    <row r="14" spans="1:26" ht="15">
      <c r="A14" s="307"/>
      <c r="B14" s="325" t="s">
        <v>169</v>
      </c>
      <c r="C14" s="322">
        <f>C10*1%</f>
        <v>16189500</v>
      </c>
      <c r="D14" s="319"/>
      <c r="E14" s="307"/>
      <c r="F14" s="307"/>
      <c r="G14" s="307"/>
      <c r="H14" s="319"/>
      <c r="I14" s="319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</row>
    <row r="15" spans="1:26" ht="15">
      <c r="A15" s="307"/>
      <c r="B15" s="321" t="s">
        <v>170</v>
      </c>
      <c r="C15" s="322">
        <f>C10*25%</f>
        <v>404737500</v>
      </c>
      <c r="D15" s="319"/>
      <c r="E15" s="419"/>
      <c r="F15" s="330"/>
      <c r="G15" s="330"/>
      <c r="H15" s="420"/>
      <c r="I15" s="330"/>
      <c r="J15" s="307"/>
      <c r="K15" s="419"/>
      <c r="L15" s="330"/>
      <c r="M15" s="330"/>
      <c r="N15" s="307"/>
      <c r="O15" s="307"/>
      <c r="P15" s="328">
        <v>1748466000</v>
      </c>
      <c r="Q15" s="307"/>
      <c r="R15" s="307"/>
      <c r="S15" s="307"/>
      <c r="T15" s="307"/>
      <c r="U15" s="307"/>
      <c r="V15" s="307"/>
      <c r="W15" s="307"/>
      <c r="X15" s="307"/>
      <c r="Y15" s="307"/>
      <c r="Z15" s="307"/>
    </row>
    <row r="16" spans="1:26" ht="15">
      <c r="A16" s="307"/>
      <c r="B16" s="321" t="s">
        <v>171</v>
      </c>
      <c r="C16" s="322">
        <f>C15/0.7*30%</f>
        <v>173458928.5714286</v>
      </c>
      <c r="D16" s="319"/>
      <c r="E16" s="419"/>
      <c r="F16" s="330"/>
      <c r="G16" s="330"/>
      <c r="H16" s="420"/>
      <c r="I16" s="330"/>
      <c r="J16" s="307"/>
      <c r="K16" s="419"/>
      <c r="L16" s="330"/>
      <c r="M16" s="330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</row>
    <row r="17" spans="1:26" ht="15">
      <c r="A17" s="307"/>
      <c r="B17" s="321" t="s">
        <v>172</v>
      </c>
      <c r="C17" s="322">
        <f>C8+C11+C12+C13+C14+C15+C16</f>
        <v>784300928.57142854</v>
      </c>
      <c r="D17" s="307"/>
      <c r="E17" s="419"/>
      <c r="F17" s="330"/>
      <c r="G17" s="330"/>
      <c r="H17" s="420"/>
      <c r="I17" s="330"/>
      <c r="J17" s="307"/>
      <c r="K17" s="419"/>
      <c r="L17" s="330"/>
      <c r="M17" s="330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</row>
    <row r="18" spans="1:26" ht="15">
      <c r="A18" s="307"/>
      <c r="B18" s="321" t="s">
        <v>173</v>
      </c>
      <c r="C18" s="322">
        <f>C10-C17</f>
        <v>834649071.42857146</v>
      </c>
      <c r="D18" s="307"/>
      <c r="E18" s="419"/>
      <c r="F18" s="330"/>
      <c r="G18" s="330"/>
      <c r="H18" s="419"/>
      <c r="I18" s="330"/>
      <c r="J18" s="307"/>
      <c r="K18" s="419"/>
      <c r="L18" s="330"/>
      <c r="M18" s="330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</row>
    <row r="19" spans="1:26" ht="15">
      <c r="A19" s="307"/>
      <c r="B19" s="321" t="s">
        <v>174</v>
      </c>
      <c r="C19" s="326">
        <f>C18/C10</f>
        <v>0.51554962872761445</v>
      </c>
      <c r="D19" s="307"/>
      <c r="E19" s="419"/>
      <c r="F19" s="330"/>
      <c r="G19" s="330"/>
      <c r="H19" s="419"/>
      <c r="I19" s="330"/>
      <c r="J19" s="307"/>
      <c r="K19" s="419"/>
      <c r="L19" s="330"/>
      <c r="M19" s="330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</row>
    <row r="20" spans="1:26" ht="15">
      <c r="A20" s="307"/>
      <c r="B20" s="321" t="s">
        <v>175</v>
      </c>
      <c r="C20" s="326">
        <f>C18/C9</f>
        <v>0.4773607673403838</v>
      </c>
      <c r="D20" s="307"/>
      <c r="E20" s="419"/>
      <c r="F20" s="330"/>
      <c r="G20" s="330"/>
      <c r="H20" s="420"/>
      <c r="I20" s="330"/>
      <c r="J20" s="307"/>
      <c r="K20" s="419"/>
      <c r="L20" s="330"/>
      <c r="M20" s="330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</row>
    <row r="21" spans="1:26">
      <c r="A21" s="307"/>
      <c r="B21" s="419"/>
      <c r="C21" s="330"/>
      <c r="D21" s="307"/>
      <c r="E21" s="419"/>
      <c r="F21" s="330"/>
      <c r="G21" s="330"/>
      <c r="H21" s="420"/>
      <c r="I21" s="330"/>
      <c r="J21" s="307"/>
      <c r="K21" s="419"/>
      <c r="L21" s="330"/>
      <c r="M21" s="330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</row>
    <row r="22" spans="1:26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</row>
    <row r="23" spans="1:26">
      <c r="A23" s="307"/>
      <c r="B23" s="307"/>
      <c r="C23" s="422" t="s">
        <v>176</v>
      </c>
      <c r="D23" s="330"/>
      <c r="E23" s="330"/>
      <c r="F23" s="307"/>
      <c r="G23" s="307"/>
      <c r="H23" s="307"/>
      <c r="I23" s="422" t="s">
        <v>177</v>
      </c>
      <c r="J23" s="330"/>
      <c r="K23" s="330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</row>
    <row r="24" spans="1:26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</row>
    <row r="25" spans="1:26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</row>
    <row r="26" spans="1:26">
      <c r="A26" s="307"/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</row>
    <row r="27" spans="1:26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</row>
    <row r="28" spans="1:26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</row>
    <row r="29" spans="1:26">
      <c r="A29" s="307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</row>
    <row r="30" spans="1:26">
      <c r="A30" s="307"/>
      <c r="B30" s="307"/>
      <c r="C30" s="422" t="s">
        <v>178</v>
      </c>
      <c r="D30" s="330"/>
      <c r="E30" s="330"/>
      <c r="F30" s="307"/>
      <c r="G30" s="307"/>
      <c r="H30" s="307"/>
      <c r="I30" s="422" t="s">
        <v>179</v>
      </c>
      <c r="J30" s="330"/>
      <c r="K30" s="330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</row>
    <row r="31" spans="1:26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</row>
    <row r="32" spans="1:26">
      <c r="A32" s="307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</row>
    <row r="33" spans="1:26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</row>
    <row r="34" spans="1:26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</row>
    <row r="35" spans="1:26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  <row r="36" spans="1:26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</row>
    <row r="37" spans="1:26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</row>
    <row r="38" spans="1:26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</row>
    <row r="39" spans="1:26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</row>
    <row r="40" spans="1:26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</row>
    <row r="41" spans="1:26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</row>
    <row r="42" spans="1:26">
      <c r="A42" s="307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</row>
    <row r="43" spans="1:26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</row>
    <row r="44" spans="1:26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</row>
    <row r="45" spans="1:26">
      <c r="A45" s="307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</row>
    <row r="46" spans="1:26">
      <c r="A46" s="307"/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</row>
    <row r="47" spans="1:26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</row>
    <row r="48" spans="1:26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</row>
    <row r="49" spans="1:26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</row>
    <row r="50" spans="1:26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</row>
    <row r="51" spans="1:26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</row>
    <row r="52" spans="1:26">
      <c r="A52" s="307"/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</row>
    <row r="53" spans="1:26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</row>
    <row r="54" spans="1:26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</row>
    <row r="55" spans="1:26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</row>
    <row r="56" spans="1:2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</row>
    <row r="57" spans="1:26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</row>
    <row r="58" spans="1:26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</row>
    <row r="59" spans="1:26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</row>
    <row r="60" spans="1:26">
      <c r="A60" s="307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</row>
    <row r="61" spans="1:26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</row>
    <row r="62" spans="1:26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</row>
    <row r="63" spans="1:26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</row>
    <row r="64" spans="1:26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</row>
    <row r="65" spans="1:26">
      <c r="A65" s="307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</row>
    <row r="66" spans="1:26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</row>
    <row r="67" spans="1:26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</row>
    <row r="68" spans="1:26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</row>
    <row r="69" spans="1:26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</row>
    <row r="70" spans="1:26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</row>
    <row r="71" spans="1:26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</row>
    <row r="72" spans="1:26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</row>
    <row r="73" spans="1:26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</row>
    <row r="74" spans="1:26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</row>
    <row r="75" spans="1:26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</row>
    <row r="76" spans="1:26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</row>
    <row r="77" spans="1:26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</row>
    <row r="78" spans="1:26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</row>
    <row r="79" spans="1:26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</row>
    <row r="80" spans="1:26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</row>
    <row r="81" spans="1:26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</row>
    <row r="82" spans="1:26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</row>
    <row r="83" spans="1:26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</row>
    <row r="84" spans="1:26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</row>
    <row r="85" spans="1:26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</row>
    <row r="86" spans="1:2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</row>
    <row r="87" spans="1:26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</row>
    <row r="88" spans="1:26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</row>
    <row r="89" spans="1:26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</row>
    <row r="90" spans="1:26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</row>
    <row r="91" spans="1:26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</row>
    <row r="92" spans="1:26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</row>
    <row r="93" spans="1:26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</row>
    <row r="94" spans="1:26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</row>
    <row r="95" spans="1:26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</row>
    <row r="96" spans="1:2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</row>
    <row r="97" spans="1:26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</row>
    <row r="98" spans="1:26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</row>
    <row r="99" spans="1:26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</row>
    <row r="100" spans="1:26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</row>
    <row r="101" spans="1:26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</row>
    <row r="102" spans="1:26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</row>
    <row r="103" spans="1:26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</row>
    <row r="104" spans="1:26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</row>
    <row r="105" spans="1:26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</row>
    <row r="106" spans="1:2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</row>
    <row r="107" spans="1:26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</row>
    <row r="108" spans="1:26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</row>
    <row r="109" spans="1:26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</row>
    <row r="110" spans="1:26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</row>
    <row r="111" spans="1:26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</row>
    <row r="112" spans="1:26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</row>
    <row r="113" spans="1:26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</row>
    <row r="114" spans="1:26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</row>
    <row r="115" spans="1:26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</row>
    <row r="116" spans="1:2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</row>
    <row r="117" spans="1:26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</row>
    <row r="118" spans="1:26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</row>
    <row r="119" spans="1:26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</row>
    <row r="120" spans="1:26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</row>
    <row r="121" spans="1:26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</row>
    <row r="122" spans="1:26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</row>
    <row r="123" spans="1:26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</row>
    <row r="124" spans="1:26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</row>
    <row r="125" spans="1:26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</row>
    <row r="126" spans="1: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</row>
    <row r="127" spans="1:26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</row>
    <row r="128" spans="1:26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</row>
    <row r="129" spans="1:26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</row>
    <row r="130" spans="1:26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</row>
    <row r="131" spans="1:26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</row>
    <row r="132" spans="1:26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</row>
    <row r="133" spans="1:26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</row>
    <row r="134" spans="1:26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</row>
    <row r="135" spans="1:26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</row>
    <row r="136" spans="1:2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</row>
    <row r="137" spans="1:26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</row>
    <row r="138" spans="1:26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</row>
    <row r="139" spans="1:26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</row>
    <row r="140" spans="1:26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</row>
    <row r="141" spans="1:26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</row>
    <row r="142" spans="1:26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</row>
    <row r="143" spans="1:26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</row>
    <row r="144" spans="1:26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</row>
    <row r="145" spans="1:26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</row>
    <row r="146" spans="1:2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</row>
    <row r="147" spans="1:26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</row>
    <row r="148" spans="1:26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</row>
    <row r="149" spans="1:26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</row>
    <row r="150" spans="1:26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</row>
    <row r="151" spans="1:26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</row>
    <row r="152" spans="1:26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</row>
    <row r="153" spans="1:26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</row>
    <row r="154" spans="1:26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</row>
    <row r="155" spans="1:26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</row>
    <row r="156" spans="1:2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</row>
    <row r="157" spans="1:26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</row>
    <row r="158" spans="1:26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</row>
    <row r="159" spans="1:26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</row>
    <row r="160" spans="1:26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</row>
    <row r="161" spans="1:26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</row>
    <row r="162" spans="1:26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</row>
    <row r="163" spans="1:26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</row>
    <row r="164" spans="1:26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</row>
    <row r="165" spans="1:26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</row>
    <row r="166" spans="1:2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</row>
    <row r="167" spans="1:26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</row>
    <row r="168" spans="1:26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</row>
    <row r="169" spans="1:26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</row>
    <row r="170" spans="1:26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</row>
    <row r="171" spans="1:26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</row>
    <row r="172" spans="1:26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</row>
    <row r="173" spans="1:26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</row>
    <row r="174" spans="1:26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</row>
    <row r="175" spans="1:26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</row>
    <row r="176" spans="1:2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</row>
    <row r="177" spans="1:26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</row>
    <row r="178" spans="1:26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</row>
    <row r="179" spans="1:26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</row>
    <row r="180" spans="1:26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</row>
    <row r="181" spans="1:26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</row>
    <row r="182" spans="1:26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</row>
    <row r="183" spans="1:26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</row>
    <row r="184" spans="1:26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</row>
    <row r="185" spans="1:26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</row>
    <row r="186" spans="1:2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</row>
    <row r="187" spans="1:26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</row>
    <row r="188" spans="1:26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</row>
    <row r="189" spans="1:26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</row>
    <row r="190" spans="1:26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</row>
    <row r="191" spans="1:26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</row>
    <row r="192" spans="1:26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</row>
    <row r="193" spans="1:26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</row>
    <row r="194" spans="1:26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</row>
    <row r="195" spans="1:26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</row>
    <row r="196" spans="1:2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</row>
    <row r="197" spans="1:26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</row>
    <row r="198" spans="1:26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</row>
    <row r="199" spans="1:26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</row>
    <row r="200" spans="1:26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</row>
    <row r="201" spans="1:26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</row>
    <row r="202" spans="1:26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</row>
    <row r="203" spans="1:26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</row>
    <row r="204" spans="1:26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</row>
    <row r="205" spans="1:26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</row>
    <row r="206" spans="1:2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</row>
    <row r="207" spans="1:26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</row>
    <row r="208" spans="1:26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 spans="1:26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</row>
    <row r="210" spans="1:26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</row>
    <row r="211" spans="1:26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</row>
    <row r="212" spans="1:26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</row>
    <row r="213" spans="1:26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</row>
    <row r="214" spans="1:26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</row>
    <row r="215" spans="1:26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</row>
    <row r="216" spans="1:2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</row>
    <row r="217" spans="1:26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</row>
    <row r="218" spans="1:26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</row>
    <row r="219" spans="1:26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spans="1:26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</row>
    <row r="221" spans="1:26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</row>
    <row r="222" spans="1:26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</row>
    <row r="223" spans="1:26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</row>
    <row r="224" spans="1:26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</row>
    <row r="225" spans="1:26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</row>
    <row r="226" spans="1: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</row>
    <row r="227" spans="1:26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</row>
    <row r="228" spans="1:26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</row>
    <row r="229" spans="1:26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</row>
    <row r="230" spans="1:26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</row>
    <row r="231" spans="1:26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</row>
    <row r="232" spans="1:26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</row>
    <row r="233" spans="1:26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</row>
    <row r="234" spans="1:26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spans="1:26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</row>
    <row r="236" spans="1:2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</row>
    <row r="237" spans="1:26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</row>
    <row r="238" spans="1:26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</row>
    <row r="239" spans="1:26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</row>
    <row r="240" spans="1:26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</row>
    <row r="241" spans="1:26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</row>
    <row r="242" spans="1:26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</row>
    <row r="243" spans="1:26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</row>
    <row r="244" spans="1:26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</row>
    <row r="245" spans="1:26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</row>
    <row r="246" spans="1:2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</row>
    <row r="247" spans="1:26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</row>
    <row r="248" spans="1:26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</row>
    <row r="249" spans="1:26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</row>
    <row r="250" spans="1:26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</row>
    <row r="251" spans="1:26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</row>
    <row r="252" spans="1:26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</row>
    <row r="253" spans="1:26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</row>
    <row r="254" spans="1:26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</row>
    <row r="255" spans="1:26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</row>
    <row r="256" spans="1:2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</row>
    <row r="257" spans="1:26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</row>
    <row r="258" spans="1:26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</row>
    <row r="259" spans="1:26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</row>
    <row r="260" spans="1:26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</row>
    <row r="261" spans="1:26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</row>
    <row r="262" spans="1:26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</row>
    <row r="263" spans="1:26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</row>
    <row r="264" spans="1:26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</row>
    <row r="265" spans="1:26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</row>
    <row r="266" spans="1:2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</row>
    <row r="267" spans="1:26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</row>
    <row r="268" spans="1:26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</row>
    <row r="269" spans="1:26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</row>
    <row r="270" spans="1:26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</row>
    <row r="271" spans="1:26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</row>
    <row r="272" spans="1:26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</row>
    <row r="273" spans="1:26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</row>
    <row r="274" spans="1:26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</row>
    <row r="275" spans="1:26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</row>
    <row r="276" spans="1:2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</row>
    <row r="277" spans="1:26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</row>
    <row r="278" spans="1:26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</row>
    <row r="279" spans="1:26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</row>
    <row r="280" spans="1:26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</row>
    <row r="281" spans="1:26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</row>
    <row r="282" spans="1:26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</row>
    <row r="283" spans="1:26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</row>
    <row r="284" spans="1:26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</row>
    <row r="285" spans="1:26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</row>
    <row r="286" spans="1:2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</row>
    <row r="287" spans="1:26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</row>
    <row r="288" spans="1:26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</row>
    <row r="289" spans="1:26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</row>
    <row r="290" spans="1:26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</row>
    <row r="291" spans="1:26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</row>
    <row r="292" spans="1:26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</row>
    <row r="293" spans="1:26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</row>
    <row r="294" spans="1:26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</row>
    <row r="295" spans="1:26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</row>
    <row r="296" spans="1:2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</row>
    <row r="297" spans="1:26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</row>
    <row r="298" spans="1:26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</row>
    <row r="299" spans="1:26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</row>
    <row r="300" spans="1:26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</row>
    <row r="301" spans="1:26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</row>
    <row r="302" spans="1:26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</row>
    <row r="303" spans="1:26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</row>
    <row r="304" spans="1:26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</row>
    <row r="305" spans="1:26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</row>
    <row r="306" spans="1:2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</row>
    <row r="307" spans="1:26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</row>
    <row r="308" spans="1:26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</row>
    <row r="309" spans="1:26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</row>
    <row r="310" spans="1:26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</row>
    <row r="311" spans="1:26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</row>
    <row r="312" spans="1:26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</row>
    <row r="313" spans="1:26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</row>
    <row r="314" spans="1:26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</row>
    <row r="315" spans="1:26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</row>
    <row r="316" spans="1:2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</row>
    <row r="317" spans="1:26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</row>
    <row r="318" spans="1:26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</row>
    <row r="319" spans="1:26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</row>
    <row r="320" spans="1:26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</row>
    <row r="321" spans="1:26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</row>
    <row r="322" spans="1:26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</row>
    <row r="323" spans="1:26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</row>
    <row r="324" spans="1:26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</row>
    <row r="325" spans="1:26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</row>
    <row r="326" spans="1: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</row>
    <row r="327" spans="1:26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</row>
    <row r="328" spans="1:26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</row>
    <row r="329" spans="1:26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</row>
    <row r="330" spans="1:26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</row>
    <row r="331" spans="1:26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</row>
    <row r="332" spans="1:26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</row>
    <row r="333" spans="1:26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</row>
    <row r="334" spans="1:26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</row>
    <row r="335" spans="1:26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</row>
    <row r="336" spans="1:2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</row>
    <row r="337" spans="1:26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</row>
    <row r="338" spans="1:26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</row>
    <row r="339" spans="1:26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</row>
    <row r="340" spans="1:26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</row>
    <row r="341" spans="1:26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</row>
    <row r="342" spans="1:26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</row>
    <row r="343" spans="1:26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</row>
    <row r="344" spans="1:26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</row>
    <row r="345" spans="1:26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</row>
    <row r="346" spans="1:2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</row>
    <row r="347" spans="1:26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</row>
    <row r="348" spans="1:26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</row>
    <row r="349" spans="1:26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</row>
    <row r="350" spans="1:26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</row>
    <row r="351" spans="1:26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</row>
    <row r="352" spans="1:26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</row>
    <row r="353" spans="1:26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</row>
    <row r="354" spans="1:26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</row>
    <row r="355" spans="1:26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</row>
    <row r="356" spans="1:2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</row>
    <row r="357" spans="1:26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</row>
    <row r="358" spans="1:26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</row>
    <row r="359" spans="1:26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</row>
    <row r="360" spans="1:26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</row>
    <row r="361" spans="1:26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</row>
    <row r="362" spans="1:26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</row>
    <row r="363" spans="1:26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</row>
    <row r="364" spans="1:26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</row>
    <row r="365" spans="1:26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</row>
    <row r="366" spans="1:2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</row>
    <row r="367" spans="1:26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</row>
    <row r="368" spans="1:26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</row>
    <row r="369" spans="1:26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</row>
    <row r="370" spans="1:26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</row>
    <row r="371" spans="1:26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</row>
    <row r="372" spans="1:26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</row>
    <row r="373" spans="1:26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</row>
    <row r="374" spans="1:26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</row>
    <row r="375" spans="1:26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</row>
    <row r="376" spans="1:2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</row>
    <row r="377" spans="1:26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</row>
    <row r="378" spans="1:26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</row>
    <row r="379" spans="1:26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</row>
    <row r="380" spans="1:26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</row>
    <row r="381" spans="1:26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</row>
    <row r="382" spans="1:26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</row>
    <row r="383" spans="1:26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</row>
    <row r="384" spans="1:26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</row>
    <row r="385" spans="1:26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</row>
    <row r="386" spans="1:2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</row>
    <row r="387" spans="1:26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</row>
    <row r="388" spans="1:26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</row>
    <row r="389" spans="1:26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</row>
    <row r="390" spans="1:26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</row>
    <row r="391" spans="1:26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</row>
    <row r="392" spans="1:26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</row>
    <row r="393" spans="1:26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</row>
    <row r="394" spans="1:26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</row>
    <row r="395" spans="1:26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</row>
    <row r="396" spans="1:2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</row>
    <row r="397" spans="1:26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</row>
    <row r="398" spans="1:26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</row>
    <row r="399" spans="1:26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</row>
    <row r="400" spans="1:26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</row>
    <row r="401" spans="1:26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</row>
    <row r="402" spans="1:26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</row>
    <row r="403" spans="1:26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</row>
    <row r="404" spans="1:26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</row>
    <row r="405" spans="1:26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</row>
    <row r="406" spans="1:2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</row>
    <row r="407" spans="1:26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</row>
    <row r="408" spans="1:26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</row>
    <row r="409" spans="1:26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</row>
    <row r="410" spans="1:26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</row>
    <row r="411" spans="1:26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</row>
    <row r="412" spans="1:26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</row>
    <row r="413" spans="1:26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</row>
    <row r="414" spans="1:26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</row>
    <row r="415" spans="1:26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</row>
    <row r="416" spans="1:2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</row>
    <row r="417" spans="1:26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</row>
    <row r="418" spans="1:26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</row>
    <row r="419" spans="1:26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</row>
    <row r="420" spans="1:26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</row>
    <row r="421" spans="1:26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</row>
    <row r="422" spans="1:26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</row>
    <row r="423" spans="1:26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</row>
    <row r="424" spans="1:26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</row>
    <row r="425" spans="1:26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</row>
    <row r="426" spans="1: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</row>
    <row r="427" spans="1:26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</row>
    <row r="428" spans="1:26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</row>
    <row r="429" spans="1:26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</row>
    <row r="430" spans="1:26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</row>
    <row r="431" spans="1:26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</row>
    <row r="432" spans="1:26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</row>
    <row r="433" spans="1:26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</row>
    <row r="434" spans="1:26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</row>
    <row r="435" spans="1:26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</row>
    <row r="436" spans="1:2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</row>
    <row r="437" spans="1:26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</row>
    <row r="438" spans="1:26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</row>
    <row r="439" spans="1:26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</row>
    <row r="440" spans="1:26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</row>
    <row r="441" spans="1:26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</row>
    <row r="442" spans="1:26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</row>
    <row r="443" spans="1:26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</row>
    <row r="444" spans="1:26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</row>
    <row r="445" spans="1:26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</row>
    <row r="446" spans="1:2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</row>
    <row r="447" spans="1:26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</row>
    <row r="448" spans="1:26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</row>
    <row r="449" spans="1:26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</row>
    <row r="450" spans="1:26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</row>
    <row r="451" spans="1:26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</row>
    <row r="452" spans="1:26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</row>
    <row r="453" spans="1:26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</row>
    <row r="454" spans="1:26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</row>
    <row r="455" spans="1:26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</row>
    <row r="456" spans="1:2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</row>
    <row r="457" spans="1:26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</row>
    <row r="458" spans="1:26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</row>
    <row r="459" spans="1:26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</row>
    <row r="460" spans="1:26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</row>
    <row r="461" spans="1:26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</row>
    <row r="462" spans="1:26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</row>
    <row r="463" spans="1:26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</row>
    <row r="464" spans="1:26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</row>
    <row r="465" spans="1:26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</row>
    <row r="466" spans="1:2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</row>
    <row r="467" spans="1:26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</row>
    <row r="468" spans="1:26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</row>
    <row r="469" spans="1:26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</row>
    <row r="470" spans="1:26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</row>
    <row r="471" spans="1:26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</row>
    <row r="472" spans="1:26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</row>
    <row r="473" spans="1:26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</row>
    <row r="474" spans="1:26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</row>
    <row r="475" spans="1:26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</row>
    <row r="476" spans="1:2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</row>
    <row r="477" spans="1:26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</row>
    <row r="478" spans="1:26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</row>
    <row r="479" spans="1:26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</row>
    <row r="480" spans="1:26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</row>
    <row r="481" spans="1:26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</row>
    <row r="482" spans="1:26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</row>
    <row r="483" spans="1:26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</row>
    <row r="484" spans="1:26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</row>
    <row r="485" spans="1:26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</row>
    <row r="486" spans="1:2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</row>
    <row r="487" spans="1:26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</row>
    <row r="488" spans="1:26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</row>
    <row r="489" spans="1:26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</row>
    <row r="490" spans="1:26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</row>
    <row r="491" spans="1:26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</row>
    <row r="492" spans="1:26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</row>
    <row r="493" spans="1:26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</row>
    <row r="494" spans="1:26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</row>
    <row r="495" spans="1:26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</row>
    <row r="496" spans="1:2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</row>
    <row r="497" spans="1:26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</row>
    <row r="498" spans="1:26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</row>
    <row r="499" spans="1:26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</row>
    <row r="500" spans="1:26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</row>
    <row r="501" spans="1:26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</row>
    <row r="502" spans="1:26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</row>
    <row r="503" spans="1:26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</row>
    <row r="504" spans="1:26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</row>
    <row r="505" spans="1:26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</row>
    <row r="506" spans="1:2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</row>
    <row r="507" spans="1:26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</row>
    <row r="508" spans="1:26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</row>
    <row r="509" spans="1:26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</row>
    <row r="510" spans="1:26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</row>
    <row r="511" spans="1:26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</row>
    <row r="512" spans="1:26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</row>
    <row r="513" spans="1:26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</row>
    <row r="514" spans="1:26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</row>
    <row r="515" spans="1:26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</row>
    <row r="516" spans="1:2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</row>
    <row r="517" spans="1:26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</row>
    <row r="518" spans="1:26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</row>
    <row r="519" spans="1:26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</row>
    <row r="520" spans="1:26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</row>
    <row r="521" spans="1:26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</row>
    <row r="522" spans="1:26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</row>
    <row r="523" spans="1:26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</row>
    <row r="524" spans="1:26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</row>
    <row r="525" spans="1:26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</row>
    <row r="526" spans="1: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</row>
    <row r="527" spans="1:26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</row>
    <row r="528" spans="1:26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</row>
    <row r="529" spans="1:26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</row>
    <row r="530" spans="1:26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</row>
    <row r="531" spans="1:26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</row>
    <row r="532" spans="1:26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</row>
    <row r="533" spans="1:26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</row>
    <row r="534" spans="1:26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</row>
    <row r="535" spans="1:26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</row>
    <row r="536" spans="1:2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</row>
    <row r="537" spans="1:26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</row>
    <row r="538" spans="1:26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</row>
    <row r="539" spans="1:26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</row>
    <row r="540" spans="1:26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</row>
    <row r="541" spans="1:26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</row>
    <row r="542" spans="1:26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</row>
    <row r="543" spans="1:26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</row>
    <row r="544" spans="1:26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</row>
    <row r="545" spans="1:26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</row>
    <row r="546" spans="1:2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</row>
    <row r="547" spans="1:26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</row>
    <row r="548" spans="1:26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</row>
    <row r="549" spans="1:26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</row>
    <row r="550" spans="1:26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</row>
    <row r="551" spans="1:26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</row>
    <row r="552" spans="1:26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</row>
    <row r="553" spans="1:26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</row>
    <row r="554" spans="1:26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</row>
    <row r="555" spans="1:26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</row>
    <row r="556" spans="1:2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</row>
    <row r="557" spans="1:26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</row>
    <row r="558" spans="1:26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</row>
    <row r="559" spans="1:26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</row>
    <row r="560" spans="1:26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</row>
    <row r="561" spans="1:26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</row>
    <row r="562" spans="1:26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</row>
    <row r="563" spans="1:26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</row>
    <row r="564" spans="1:26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</row>
    <row r="565" spans="1:26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</row>
    <row r="566" spans="1:2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</row>
    <row r="567" spans="1:26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</row>
    <row r="568" spans="1:26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</row>
    <row r="569" spans="1:26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</row>
    <row r="570" spans="1:26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</row>
    <row r="571" spans="1:26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</row>
    <row r="572" spans="1:26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</row>
    <row r="573" spans="1:26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</row>
    <row r="574" spans="1:26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</row>
    <row r="575" spans="1:26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</row>
    <row r="576" spans="1:2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</row>
    <row r="577" spans="1:26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</row>
    <row r="578" spans="1:26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</row>
    <row r="579" spans="1:26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</row>
    <row r="580" spans="1:26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</row>
    <row r="581" spans="1:26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</row>
    <row r="582" spans="1:26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</row>
    <row r="583" spans="1:26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</row>
    <row r="584" spans="1:26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</row>
    <row r="585" spans="1:26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</row>
    <row r="586" spans="1:2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</row>
    <row r="587" spans="1:26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</row>
    <row r="588" spans="1:26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</row>
    <row r="589" spans="1:26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</row>
    <row r="590" spans="1:26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</row>
    <row r="591" spans="1:26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</row>
    <row r="592" spans="1:26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</row>
    <row r="593" spans="1:26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</row>
    <row r="594" spans="1:26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</row>
    <row r="595" spans="1:26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</row>
    <row r="596" spans="1:2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</row>
    <row r="597" spans="1:26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</row>
    <row r="598" spans="1:26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</row>
    <row r="599" spans="1:26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</row>
    <row r="600" spans="1:26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</row>
    <row r="601" spans="1:26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</row>
    <row r="602" spans="1:26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</row>
    <row r="603" spans="1:26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</row>
    <row r="604" spans="1:26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</row>
    <row r="605" spans="1:26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</row>
    <row r="606" spans="1:2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</row>
    <row r="607" spans="1:26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</row>
    <row r="608" spans="1:26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</row>
    <row r="609" spans="1:26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</row>
    <row r="610" spans="1:26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</row>
    <row r="611" spans="1:26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</row>
    <row r="612" spans="1:26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</row>
    <row r="613" spans="1:26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</row>
    <row r="614" spans="1:26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</row>
    <row r="615" spans="1:26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</row>
    <row r="616" spans="1:2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</row>
    <row r="617" spans="1:26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</row>
    <row r="618" spans="1:26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</row>
    <row r="619" spans="1:26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</row>
    <row r="620" spans="1:26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</row>
    <row r="621" spans="1:26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</row>
    <row r="622" spans="1:26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</row>
    <row r="623" spans="1:26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</row>
    <row r="624" spans="1:26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</row>
    <row r="625" spans="1:26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</row>
    <row r="626" spans="1: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</row>
    <row r="627" spans="1:26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</row>
    <row r="628" spans="1:26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</row>
    <row r="629" spans="1:26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</row>
    <row r="630" spans="1:26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</row>
    <row r="631" spans="1:26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</row>
    <row r="632" spans="1:26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</row>
    <row r="633" spans="1:26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</row>
    <row r="634" spans="1:26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</row>
    <row r="635" spans="1:26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</row>
    <row r="636" spans="1:2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</row>
    <row r="637" spans="1:26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</row>
    <row r="638" spans="1:26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</row>
    <row r="639" spans="1:26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</row>
    <row r="640" spans="1:26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</row>
    <row r="641" spans="1:26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</row>
    <row r="642" spans="1:26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</row>
    <row r="643" spans="1:26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</row>
    <row r="644" spans="1:26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</row>
    <row r="645" spans="1:26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</row>
    <row r="646" spans="1:2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</row>
    <row r="647" spans="1:26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</row>
    <row r="648" spans="1:26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</row>
    <row r="649" spans="1:26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</row>
    <row r="650" spans="1:26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</row>
    <row r="651" spans="1:26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</row>
    <row r="652" spans="1:26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</row>
    <row r="653" spans="1:26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</row>
    <row r="654" spans="1:26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</row>
    <row r="655" spans="1:26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</row>
    <row r="656" spans="1:2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</row>
    <row r="657" spans="1:26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</row>
    <row r="658" spans="1:26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</row>
    <row r="659" spans="1:26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</row>
    <row r="660" spans="1:26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</row>
    <row r="661" spans="1:26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</row>
    <row r="662" spans="1:26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</row>
    <row r="663" spans="1:26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</row>
    <row r="664" spans="1:26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</row>
    <row r="665" spans="1:26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</row>
    <row r="666" spans="1:2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</row>
    <row r="667" spans="1:26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</row>
    <row r="668" spans="1:26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</row>
    <row r="669" spans="1:26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</row>
    <row r="670" spans="1:26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</row>
    <row r="671" spans="1:26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</row>
    <row r="672" spans="1:26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</row>
    <row r="673" spans="1:26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</row>
    <row r="674" spans="1:26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</row>
    <row r="675" spans="1:26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</row>
    <row r="676" spans="1:2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</row>
    <row r="677" spans="1:26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</row>
    <row r="678" spans="1:26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</row>
    <row r="679" spans="1:26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</row>
    <row r="680" spans="1:26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</row>
    <row r="681" spans="1:26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</row>
    <row r="682" spans="1:26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</row>
    <row r="683" spans="1:26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</row>
    <row r="684" spans="1:26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</row>
    <row r="685" spans="1:26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</row>
    <row r="686" spans="1:2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</row>
    <row r="687" spans="1:26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</row>
    <row r="688" spans="1:26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</row>
    <row r="689" spans="1:26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</row>
    <row r="690" spans="1:26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</row>
    <row r="691" spans="1:26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</row>
    <row r="692" spans="1:26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</row>
    <row r="693" spans="1:26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</row>
    <row r="694" spans="1:26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</row>
    <row r="695" spans="1:26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</row>
    <row r="696" spans="1:2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</row>
    <row r="697" spans="1:26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</row>
    <row r="698" spans="1:26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</row>
    <row r="699" spans="1:26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</row>
    <row r="700" spans="1:26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</row>
    <row r="701" spans="1:26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</row>
    <row r="702" spans="1:26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</row>
    <row r="703" spans="1:26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</row>
    <row r="704" spans="1:26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</row>
    <row r="705" spans="1:26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</row>
    <row r="706" spans="1:2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</row>
    <row r="707" spans="1:26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</row>
    <row r="708" spans="1:26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</row>
    <row r="709" spans="1:26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</row>
    <row r="710" spans="1:26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</row>
    <row r="711" spans="1:26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</row>
    <row r="712" spans="1:26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</row>
    <row r="713" spans="1:26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</row>
    <row r="714" spans="1:26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</row>
    <row r="715" spans="1:26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</row>
    <row r="716" spans="1:2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</row>
    <row r="717" spans="1:26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</row>
    <row r="718" spans="1:26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</row>
    <row r="719" spans="1:26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</row>
    <row r="720" spans="1:26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</row>
    <row r="721" spans="1:26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</row>
    <row r="722" spans="1:26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</row>
    <row r="723" spans="1:26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</row>
    <row r="724" spans="1:26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</row>
    <row r="725" spans="1:26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</row>
    <row r="726" spans="1: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</row>
    <row r="727" spans="1:26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</row>
    <row r="728" spans="1:26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</row>
    <row r="729" spans="1:26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</row>
    <row r="730" spans="1:26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</row>
    <row r="731" spans="1:26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</row>
    <row r="732" spans="1:26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</row>
    <row r="733" spans="1:26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</row>
    <row r="734" spans="1:26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</row>
    <row r="735" spans="1:26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</row>
    <row r="736" spans="1:2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</row>
    <row r="737" spans="1:26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</row>
    <row r="738" spans="1:26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</row>
    <row r="739" spans="1:26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</row>
    <row r="740" spans="1:26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</row>
    <row r="741" spans="1:26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</row>
    <row r="742" spans="1:26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</row>
    <row r="743" spans="1:26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</row>
    <row r="744" spans="1:26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</row>
    <row r="745" spans="1:26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</row>
    <row r="746" spans="1:2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</row>
    <row r="747" spans="1:26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</row>
    <row r="748" spans="1:26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</row>
    <row r="749" spans="1:26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</row>
    <row r="750" spans="1:26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</row>
    <row r="751" spans="1:26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</row>
    <row r="752" spans="1:26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</row>
    <row r="753" spans="1:26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</row>
    <row r="754" spans="1:26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</row>
    <row r="755" spans="1:26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</row>
    <row r="756" spans="1:2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</row>
    <row r="757" spans="1:26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</row>
    <row r="758" spans="1:26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</row>
    <row r="759" spans="1:26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</row>
    <row r="760" spans="1:26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</row>
    <row r="761" spans="1:26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</row>
    <row r="762" spans="1:26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</row>
    <row r="763" spans="1:26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</row>
    <row r="764" spans="1:26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</row>
    <row r="765" spans="1:26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</row>
    <row r="766" spans="1:2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</row>
    <row r="767" spans="1:26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</row>
    <row r="768" spans="1:26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</row>
    <row r="769" spans="1:26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</row>
    <row r="770" spans="1:26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</row>
    <row r="771" spans="1:26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</row>
    <row r="772" spans="1:26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</row>
    <row r="773" spans="1:26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</row>
    <row r="774" spans="1:26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</row>
    <row r="775" spans="1:26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</row>
    <row r="776" spans="1:2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</row>
    <row r="777" spans="1:26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</row>
    <row r="778" spans="1:26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</row>
    <row r="779" spans="1:26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</row>
    <row r="780" spans="1:26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</row>
    <row r="781" spans="1:26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</row>
    <row r="782" spans="1:26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</row>
    <row r="783" spans="1:26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</row>
    <row r="784" spans="1:26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</row>
    <row r="785" spans="1:26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</row>
    <row r="786" spans="1:2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</row>
    <row r="787" spans="1:26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</row>
    <row r="788" spans="1:26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</row>
    <row r="789" spans="1:26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</row>
    <row r="790" spans="1:26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</row>
    <row r="791" spans="1:26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</row>
    <row r="792" spans="1:26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</row>
    <row r="793" spans="1:26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</row>
    <row r="794" spans="1:26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</row>
    <row r="795" spans="1:26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</row>
    <row r="796" spans="1:2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</row>
    <row r="797" spans="1:26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</row>
    <row r="798" spans="1:26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</row>
    <row r="799" spans="1:26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</row>
    <row r="800" spans="1:26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</row>
    <row r="801" spans="1:26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</row>
    <row r="802" spans="1:26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</row>
    <row r="803" spans="1:26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</row>
    <row r="804" spans="1:26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</row>
    <row r="805" spans="1:26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</row>
    <row r="806" spans="1:2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</row>
    <row r="807" spans="1:26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</row>
    <row r="808" spans="1:26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</row>
    <row r="809" spans="1:26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</row>
    <row r="810" spans="1:26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</row>
    <row r="811" spans="1:26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</row>
    <row r="812" spans="1:26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</row>
    <row r="813" spans="1:26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</row>
    <row r="814" spans="1:26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</row>
    <row r="815" spans="1:26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</row>
    <row r="816" spans="1:2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</row>
    <row r="817" spans="1:26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</row>
    <row r="818" spans="1:26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</row>
    <row r="819" spans="1:26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</row>
    <row r="820" spans="1:26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</row>
    <row r="821" spans="1:26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</row>
    <row r="822" spans="1:26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</row>
    <row r="823" spans="1:26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</row>
    <row r="824" spans="1:26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</row>
    <row r="825" spans="1:26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</row>
    <row r="826" spans="1: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</row>
    <row r="827" spans="1:26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</row>
    <row r="828" spans="1:26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</row>
    <row r="829" spans="1:26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</row>
    <row r="830" spans="1:26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</row>
    <row r="831" spans="1:26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</row>
    <row r="832" spans="1:26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</row>
    <row r="833" spans="1:26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</row>
    <row r="834" spans="1:26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</row>
    <row r="835" spans="1:26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</row>
    <row r="836" spans="1:2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</row>
    <row r="837" spans="1:26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</row>
    <row r="838" spans="1:26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</row>
    <row r="839" spans="1:26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</row>
    <row r="840" spans="1:26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</row>
    <row r="841" spans="1:26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</row>
    <row r="842" spans="1:26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</row>
    <row r="843" spans="1:26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</row>
    <row r="844" spans="1:26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</row>
    <row r="845" spans="1:26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</row>
    <row r="846" spans="1:2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</row>
    <row r="847" spans="1:26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</row>
    <row r="848" spans="1:26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</row>
    <row r="849" spans="1:26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</row>
    <row r="850" spans="1:26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</row>
    <row r="851" spans="1:26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</row>
    <row r="852" spans="1:26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</row>
    <row r="853" spans="1:26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</row>
    <row r="854" spans="1:26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</row>
    <row r="855" spans="1:26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</row>
    <row r="856" spans="1:2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</row>
    <row r="857" spans="1:26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</row>
    <row r="858" spans="1:26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</row>
    <row r="859" spans="1:26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</row>
    <row r="860" spans="1:26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</row>
    <row r="861" spans="1:26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</row>
    <row r="862" spans="1:26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</row>
    <row r="863" spans="1:26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</row>
    <row r="864" spans="1:26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</row>
    <row r="865" spans="1:26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</row>
    <row r="866" spans="1:2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</row>
    <row r="867" spans="1:26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</row>
    <row r="868" spans="1:26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</row>
    <row r="869" spans="1:26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</row>
    <row r="870" spans="1:26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</row>
    <row r="871" spans="1:26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</row>
    <row r="872" spans="1:26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</row>
    <row r="873" spans="1:26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</row>
    <row r="874" spans="1:26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</row>
    <row r="875" spans="1:26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</row>
    <row r="876" spans="1:2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</row>
    <row r="877" spans="1:26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</row>
    <row r="878" spans="1:26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</row>
    <row r="879" spans="1:26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</row>
    <row r="880" spans="1:26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</row>
    <row r="881" spans="1:26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</row>
    <row r="882" spans="1:26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</row>
    <row r="883" spans="1:26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</row>
    <row r="884" spans="1:26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</row>
    <row r="885" spans="1:26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</row>
    <row r="886" spans="1:2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</row>
    <row r="887" spans="1:26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</row>
    <row r="888" spans="1:26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</row>
    <row r="889" spans="1:26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</row>
    <row r="890" spans="1:26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</row>
    <row r="891" spans="1:26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</row>
    <row r="892" spans="1:26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</row>
    <row r="893" spans="1:26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</row>
    <row r="894" spans="1:26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</row>
    <row r="895" spans="1:26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</row>
    <row r="896" spans="1:2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</row>
    <row r="897" spans="1:26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</row>
    <row r="898" spans="1:26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</row>
    <row r="899" spans="1:26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</row>
    <row r="900" spans="1:26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</row>
    <row r="901" spans="1:26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</row>
    <row r="902" spans="1:26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</row>
    <row r="903" spans="1:26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</row>
    <row r="904" spans="1:26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</row>
    <row r="905" spans="1:26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</row>
    <row r="906" spans="1:2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</row>
    <row r="907" spans="1:26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</row>
    <row r="908" spans="1:26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</row>
    <row r="909" spans="1:26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</row>
    <row r="910" spans="1:26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</row>
    <row r="911" spans="1:26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</row>
    <row r="912" spans="1:26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</row>
    <row r="913" spans="1:26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</row>
    <row r="914" spans="1:26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</row>
    <row r="915" spans="1:26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</row>
    <row r="916" spans="1:2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</row>
    <row r="917" spans="1:26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</row>
    <row r="918" spans="1:26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</row>
    <row r="919" spans="1:26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</row>
    <row r="920" spans="1:26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</row>
    <row r="921" spans="1:26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</row>
    <row r="922" spans="1:26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</row>
    <row r="923" spans="1:26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</row>
    <row r="924" spans="1:26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</row>
    <row r="925" spans="1:26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</row>
    <row r="926" spans="1: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</row>
    <row r="927" spans="1:26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</row>
    <row r="928" spans="1:26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</row>
    <row r="929" spans="1:26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</row>
    <row r="930" spans="1:26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</row>
    <row r="931" spans="1:26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</row>
    <row r="932" spans="1:26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</row>
    <row r="933" spans="1:26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</row>
    <row r="934" spans="1:26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</row>
    <row r="935" spans="1:26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</row>
    <row r="936" spans="1:2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</row>
    <row r="937" spans="1:26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</row>
    <row r="938" spans="1:26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</row>
    <row r="939" spans="1:26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</row>
    <row r="940" spans="1:26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</row>
    <row r="941" spans="1:26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</row>
    <row r="942" spans="1:26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</row>
    <row r="943" spans="1:26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</row>
    <row r="944" spans="1:26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</row>
    <row r="945" spans="1:26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</row>
    <row r="946" spans="1:2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</row>
    <row r="947" spans="1:26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</row>
    <row r="948" spans="1:26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</row>
    <row r="949" spans="1:26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</row>
    <row r="950" spans="1:26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</row>
    <row r="951" spans="1:26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</row>
    <row r="952" spans="1:26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</row>
    <row r="953" spans="1:26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</row>
    <row r="954" spans="1:26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</row>
    <row r="955" spans="1:26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</row>
    <row r="956" spans="1:2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</row>
    <row r="957" spans="1:26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</row>
    <row r="958" spans="1:26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</row>
    <row r="959" spans="1:26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</row>
    <row r="960" spans="1:26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</row>
    <row r="961" spans="1:26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</row>
    <row r="962" spans="1:26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</row>
    <row r="963" spans="1:26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</row>
    <row r="964" spans="1:26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</row>
    <row r="965" spans="1:26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</row>
    <row r="966" spans="1:26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</row>
    <row r="967" spans="1:26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</row>
    <row r="968" spans="1:26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</row>
    <row r="969" spans="1:26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</row>
    <row r="970" spans="1:26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</row>
    <row r="971" spans="1:26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</row>
    <row r="972" spans="1:26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</row>
    <row r="973" spans="1:26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</row>
    <row r="974" spans="1:26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</row>
    <row r="975" spans="1:26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</row>
    <row r="976" spans="1:26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</row>
    <row r="977" spans="1:26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</row>
    <row r="978" spans="1:26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</row>
    <row r="979" spans="1:26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</row>
    <row r="980" spans="1:26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</row>
    <row r="981" spans="1:26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</row>
    <row r="982" spans="1:26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</row>
    <row r="983" spans="1:26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</row>
    <row r="984" spans="1:26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</row>
    <row r="985" spans="1:26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</row>
    <row r="986" spans="1:26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</row>
    <row r="987" spans="1:26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</row>
    <row r="988" spans="1:26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</row>
    <row r="989" spans="1:26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</row>
    <row r="990" spans="1:26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</row>
    <row r="991" spans="1:26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</row>
    <row r="992" spans="1:26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</row>
    <row r="993" spans="1:26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</row>
    <row r="994" spans="1:26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</row>
    <row r="995" spans="1:26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</row>
    <row r="996" spans="1:26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</row>
    <row r="997" spans="1:26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</row>
    <row r="998" spans="1:26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</row>
    <row r="999" spans="1:26">
      <c r="A999" s="307"/>
      <c r="B999" s="307"/>
      <c r="C999" s="307"/>
      <c r="D999" s="307"/>
      <c r="E999" s="307"/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7"/>
      <c r="V999" s="307"/>
      <c r="W999" s="307"/>
      <c r="X999" s="307"/>
      <c r="Y999" s="307"/>
      <c r="Z999" s="307"/>
    </row>
    <row r="1000" spans="1:26">
      <c r="A1000" s="307"/>
      <c r="B1000" s="307"/>
      <c r="C1000" s="307"/>
      <c r="D1000" s="307"/>
      <c r="E1000" s="307"/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7"/>
      <c r="V1000" s="307"/>
      <c r="W1000" s="307"/>
      <c r="X1000" s="307"/>
      <c r="Y1000" s="307"/>
      <c r="Z1000" s="307"/>
    </row>
    <row r="1001" spans="1:26">
      <c r="A1001" s="307"/>
      <c r="B1001" s="307"/>
      <c r="C1001" s="307"/>
      <c r="D1001" s="307"/>
      <c r="E1001" s="307"/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7"/>
      <c r="V1001" s="307"/>
      <c r="W1001" s="307"/>
      <c r="X1001" s="307"/>
      <c r="Y1001" s="307"/>
      <c r="Z1001" s="307"/>
    </row>
    <row r="1002" spans="1:26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27"/>
      <c r="U1002" s="327"/>
      <c r="V1002" s="327"/>
      <c r="W1002" s="327"/>
      <c r="X1002" s="327"/>
      <c r="Y1002" s="327"/>
      <c r="Z1002" s="327"/>
    </row>
  </sheetData>
  <mergeCells count="46">
    <mergeCell ref="C30:E30"/>
    <mergeCell ref="I30:K30"/>
    <mergeCell ref="E17:G17"/>
    <mergeCell ref="H17:I17"/>
    <mergeCell ref="E18:G18"/>
    <mergeCell ref="H18:I18"/>
    <mergeCell ref="E19:G19"/>
    <mergeCell ref="H19:I19"/>
    <mergeCell ref="H20:I20"/>
    <mergeCell ref="B21:C21"/>
    <mergeCell ref="E21:G21"/>
    <mergeCell ref="H21:I21"/>
    <mergeCell ref="C23:E23"/>
    <mergeCell ref="I23:K23"/>
    <mergeCell ref="K20:M20"/>
    <mergeCell ref="K21:M21"/>
    <mergeCell ref="E11:G11"/>
    <mergeCell ref="H11:I11"/>
    <mergeCell ref="K11:M11"/>
    <mergeCell ref="E15:G15"/>
    <mergeCell ref="H15:I15"/>
    <mergeCell ref="E16:G16"/>
    <mergeCell ref="H16:I16"/>
    <mergeCell ref="E20:G20"/>
    <mergeCell ref="K15:M15"/>
    <mergeCell ref="K16:M16"/>
    <mergeCell ref="K17:M17"/>
    <mergeCell ref="K18:M18"/>
    <mergeCell ref="K19:M19"/>
    <mergeCell ref="H9:I9"/>
    <mergeCell ref="K9:M9"/>
    <mergeCell ref="H3:I3"/>
    <mergeCell ref="J3:L3"/>
    <mergeCell ref="E7:G7"/>
    <mergeCell ref="H7:I7"/>
    <mergeCell ref="K7:M7"/>
    <mergeCell ref="E8:G8"/>
    <mergeCell ref="E9:G9"/>
    <mergeCell ref="A1:M1"/>
    <mergeCell ref="A3:A4"/>
    <mergeCell ref="B3:B4"/>
    <mergeCell ref="C3:C4"/>
    <mergeCell ref="D3:D4"/>
    <mergeCell ref="E3:E4"/>
    <mergeCell ref="F3:G3"/>
    <mergeCell ref="M3:M4"/>
  </mergeCells>
  <hyperlinks>
    <hyperlink ref="N1" location="'Theo dõi hợp đồng'!A1" display="←"/>
  </hyperlinks>
  <printOptions horizontalCentered="1"/>
  <pageMargins left="0.7" right="0.7" top="0.75" bottom="0.75" header="0" footer="0"/>
  <pageSetup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Theo dõi hợp đồng</vt:lpstr>
      <vt:lpstr>Theo dõi DIGICON</vt:lpstr>
      <vt:lpstr>Theo dõi Nhật Nam</vt:lpstr>
      <vt:lpstr>HĐ68.2025</vt:lpstr>
      <vt:lpstr>HĐ02.2026</vt:lpstr>
      <vt:lpstr>HĐ04.2026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2026-03-04T00:25:49Z</dcterms:created>
  <dcterms:modified xsi:type="dcterms:W3CDTF">2026-03-04T00:26:04Z</dcterms:modified>
</cp:coreProperties>
</file>